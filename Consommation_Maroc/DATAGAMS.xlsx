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 tabRatio="862"/>
  </bookViews>
  <sheets>
    <sheet name="20pdts2007" sheetId="1" r:id="rId1"/>
    <sheet name="20pdts2014" sheetId="3" r:id="rId2"/>
    <sheet name="60pdts2007" sheetId="2" r:id="rId3"/>
    <sheet name="60pdts2014" sheetId="4" r:id="rId4"/>
    <sheet name="TOTAL-20-pdts" sheetId="6" r:id="rId5"/>
    <sheet name="TOTAL-60-pdts" sheetId="7" r:id="rId6"/>
    <sheet name="Cmoyen" sheetId="5" r:id="rId7"/>
    <sheet name="Synthèse-20" sheetId="8" r:id="rId8"/>
    <sheet name="Synthèse-60" sheetId="9" r:id="rId9"/>
    <sheet name="Result-Corresp_20-60" sheetId="11" r:id="rId10"/>
    <sheet name="Res global" sheetId="12" r:id="rId11"/>
    <sheet name="Nomenclature 60" sheetId="10" r:id="rId12"/>
    <sheet name="FINAL" sheetId="13" r:id="rId13"/>
    <sheet name="article 1-A" sheetId="14" r:id="rId14"/>
    <sheet name="ANNEXE 1-A" sheetId="15" r:id="rId15"/>
    <sheet name="Analys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<sst xmlns="http://schemas.openxmlformats.org/spreadsheetml/2006/main" count="6765" uniqueCount="513">
  <si>
    <t>beta-07</t>
  </si>
  <si>
    <t>M1</t>
  </si>
  <si>
    <t>M2</t>
  </si>
  <si>
    <t>Q1</t>
  </si>
  <si>
    <t>Q2</t>
  </si>
  <si>
    <t>Q3</t>
  </si>
  <si>
    <t>Q4</t>
  </si>
  <si>
    <t>Q5</t>
  </si>
  <si>
    <t>Elasticité-revenu 2007</t>
  </si>
  <si>
    <t>Elasticité-Prix 2007</t>
  </si>
  <si>
    <t>CB</t>
  </si>
  <si>
    <t>CB-2007</t>
  </si>
  <si>
    <t>A00</t>
  </si>
  <si>
    <t>B05</t>
  </si>
  <si>
    <t>C00</t>
  </si>
  <si>
    <t>D01</t>
  </si>
  <si>
    <t>D02</t>
  </si>
  <si>
    <t>D03</t>
  </si>
  <si>
    <t>D04</t>
  </si>
  <si>
    <t>D05</t>
  </si>
  <si>
    <t>D23</t>
  </si>
  <si>
    <t>E00</t>
  </si>
  <si>
    <t>F45</t>
  </si>
  <si>
    <t>G00</t>
  </si>
  <si>
    <t>H55</t>
  </si>
  <si>
    <t>I01</t>
  </si>
  <si>
    <t>I02</t>
  </si>
  <si>
    <t>J00</t>
  </si>
  <si>
    <t>K00</t>
  </si>
  <si>
    <t>L75</t>
  </si>
  <si>
    <t>MN0</t>
  </si>
  <si>
    <t>OP0</t>
  </si>
  <si>
    <t>alpha-07</t>
  </si>
  <si>
    <t>CMIN</t>
  </si>
  <si>
    <t>Cmoyen</t>
  </si>
  <si>
    <t>beta-14</t>
  </si>
  <si>
    <t>Elasticité-revenu 2014</t>
  </si>
  <si>
    <t>Elasticité-Prix 2014</t>
  </si>
  <si>
    <t>CB-2014</t>
  </si>
  <si>
    <t>alpha-14</t>
  </si>
  <si>
    <t>VAR Elasticité-revenu 2014/2007</t>
  </si>
  <si>
    <t xml:space="preserve">G01    </t>
  </si>
  <si>
    <t>G01</t>
  </si>
  <si>
    <t xml:space="preserve">G02    </t>
  </si>
  <si>
    <t>G02</t>
  </si>
  <si>
    <t xml:space="preserve">G03    </t>
  </si>
  <si>
    <t>G03</t>
  </si>
  <si>
    <t xml:space="preserve">G04    </t>
  </si>
  <si>
    <t>G04</t>
  </si>
  <si>
    <t xml:space="preserve">G05    </t>
  </si>
  <si>
    <t>G05</t>
  </si>
  <si>
    <t xml:space="preserve">G06    </t>
  </si>
  <si>
    <t>G06</t>
  </si>
  <si>
    <t xml:space="preserve">G07    </t>
  </si>
  <si>
    <t>G07</t>
  </si>
  <si>
    <t xml:space="preserve">G08    </t>
  </si>
  <si>
    <t>G08</t>
  </si>
  <si>
    <t xml:space="preserve">G09    </t>
  </si>
  <si>
    <t>G09</t>
  </si>
  <si>
    <t xml:space="preserve">G10    </t>
  </si>
  <si>
    <t>G10</t>
  </si>
  <si>
    <t xml:space="preserve">G11    </t>
  </si>
  <si>
    <t>G11</t>
  </si>
  <si>
    <t xml:space="preserve">G12    </t>
  </si>
  <si>
    <t>G12</t>
  </si>
  <si>
    <t xml:space="preserve">G13    </t>
  </si>
  <si>
    <t>G13</t>
  </si>
  <si>
    <t xml:space="preserve">G14    </t>
  </si>
  <si>
    <t>G14</t>
  </si>
  <si>
    <t xml:space="preserve">G15    </t>
  </si>
  <si>
    <t>G15</t>
  </si>
  <si>
    <t xml:space="preserve">G17    </t>
  </si>
  <si>
    <t>G17</t>
  </si>
  <si>
    <t xml:space="preserve">G18    </t>
  </si>
  <si>
    <t>G18</t>
  </si>
  <si>
    <t xml:space="preserve">G21    </t>
  </si>
  <si>
    <t>G21</t>
  </si>
  <si>
    <t xml:space="preserve">G22    </t>
  </si>
  <si>
    <t>G22</t>
  </si>
  <si>
    <t xml:space="preserve">G23    </t>
  </si>
  <si>
    <t>G23</t>
  </si>
  <si>
    <t xml:space="preserve">G24    </t>
  </si>
  <si>
    <t>G24</t>
  </si>
  <si>
    <t xml:space="preserve">G25    </t>
  </si>
  <si>
    <t>G25</t>
  </si>
  <si>
    <t xml:space="preserve">G26    </t>
  </si>
  <si>
    <t>G26</t>
  </si>
  <si>
    <t xml:space="preserve">G27    </t>
  </si>
  <si>
    <t>G27</t>
  </si>
  <si>
    <t xml:space="preserve">G28    </t>
  </si>
  <si>
    <t>G28</t>
  </si>
  <si>
    <t xml:space="preserve">G31    </t>
  </si>
  <si>
    <t>G31</t>
  </si>
  <si>
    <t xml:space="preserve">G32    </t>
  </si>
  <si>
    <t>G32</t>
  </si>
  <si>
    <t xml:space="preserve">G33    </t>
  </si>
  <si>
    <t>G33</t>
  </si>
  <si>
    <t xml:space="preserve">G34    </t>
  </si>
  <si>
    <t>G34</t>
  </si>
  <si>
    <t xml:space="preserve">G41    </t>
  </si>
  <si>
    <t>G41</t>
  </si>
  <si>
    <t xml:space="preserve">G42    </t>
  </si>
  <si>
    <t>G42</t>
  </si>
  <si>
    <t xml:space="preserve">G43    </t>
  </si>
  <si>
    <t>G43</t>
  </si>
  <si>
    <t xml:space="preserve">G44    </t>
  </si>
  <si>
    <t>G44</t>
  </si>
  <si>
    <t xml:space="preserve">G45    </t>
  </si>
  <si>
    <t>G45</t>
  </si>
  <si>
    <t xml:space="preserve">G46    </t>
  </si>
  <si>
    <t>G46</t>
  </si>
  <si>
    <t xml:space="preserve">G47    </t>
  </si>
  <si>
    <t>G47</t>
  </si>
  <si>
    <t xml:space="preserve">G51    </t>
  </si>
  <si>
    <t>G51</t>
  </si>
  <si>
    <t xml:space="preserve">G52    </t>
  </si>
  <si>
    <t>G52</t>
  </si>
  <si>
    <t xml:space="preserve">G53    </t>
  </si>
  <si>
    <t>G53</t>
  </si>
  <si>
    <t xml:space="preserve">G61    </t>
  </si>
  <si>
    <t>G61</t>
  </si>
  <si>
    <t xml:space="preserve">G62    </t>
  </si>
  <si>
    <t>G62</t>
  </si>
  <si>
    <t xml:space="preserve">G63    </t>
  </si>
  <si>
    <t>G63</t>
  </si>
  <si>
    <t xml:space="preserve">G71    </t>
  </si>
  <si>
    <t>G71</t>
  </si>
  <si>
    <t xml:space="preserve">G72    </t>
  </si>
  <si>
    <t>G72</t>
  </si>
  <si>
    <t xml:space="preserve">G73    </t>
  </si>
  <si>
    <t>G73</t>
  </si>
  <si>
    <t xml:space="preserve">G74    </t>
  </si>
  <si>
    <t>G74</t>
  </si>
  <si>
    <t xml:space="preserve">G75    </t>
  </si>
  <si>
    <t>G75</t>
  </si>
  <si>
    <t xml:space="preserve">G76    </t>
  </si>
  <si>
    <t>G76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</si>
  <si>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</si>
  <si>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</si>
  <si>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</si>
  <si>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</si>
  <si>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</si>
  <si>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</si>
  <si>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</si>
  <si>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</si>
  <si>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</si>
  <si>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G91</t>
  </si>
  <si>
    <t>G92</t>
  </si>
  <si>
    <t>G93</t>
  </si>
  <si>
    <t>G94</t>
  </si>
  <si>
    <t>Q1-60-14</t>
  </si>
  <si>
    <t>Q2-60-14</t>
  </si>
  <si>
    <t>Q3-60-14</t>
  </si>
  <si>
    <t>Q4-60-14</t>
  </si>
  <si>
    <t>Q5-60-14</t>
  </si>
  <si>
    <t>DAM_G01</t>
  </si>
  <si>
    <t>DAM_G02</t>
  </si>
  <si>
    <t>DAM_G03</t>
  </si>
  <si>
    <t>DAM_G04</t>
  </si>
  <si>
    <t>DAM_G05</t>
  </si>
  <si>
    <t>DAM_G06</t>
  </si>
  <si>
    <t>DAM_G07</t>
  </si>
  <si>
    <t>DAM_G08</t>
  </si>
  <si>
    <t>DAM_G09</t>
  </si>
  <si>
    <t>DAM_G10</t>
  </si>
  <si>
    <t>DAM_G11</t>
  </si>
  <si>
    <t>DAM_G12</t>
  </si>
  <si>
    <t>DAM_G13</t>
  </si>
  <si>
    <t>DAM_G14</t>
  </si>
  <si>
    <t>DAM_G15</t>
  </si>
  <si>
    <t>DAM_G17</t>
  </si>
  <si>
    <t>DAM_G18</t>
  </si>
  <si>
    <t>DAM_G21</t>
  </si>
  <si>
    <t>DAM_G22</t>
  </si>
  <si>
    <t>DAM_G23</t>
  </si>
  <si>
    <t>DAM_G24</t>
  </si>
  <si>
    <t>DAM_G25</t>
  </si>
  <si>
    <t>DAM_G26</t>
  </si>
  <si>
    <t>DAM_G27</t>
  </si>
  <si>
    <t>DAM_G28</t>
  </si>
  <si>
    <t>DAM_G31</t>
  </si>
  <si>
    <t>DAM_G32</t>
  </si>
  <si>
    <t>DAM_G33</t>
  </si>
  <si>
    <t>DAM_G34</t>
  </si>
  <si>
    <t>DAM_G41</t>
  </si>
  <si>
    <t>DAM_G42</t>
  </si>
  <si>
    <t>DAM_G43</t>
  </si>
  <si>
    <t>DAM_G44</t>
  </si>
  <si>
    <t>DAM_G45</t>
  </si>
  <si>
    <t>DAM_G46</t>
  </si>
  <si>
    <t>DAM_G47</t>
  </si>
  <si>
    <t>DAM_G51</t>
  </si>
  <si>
    <t>DAM_G52</t>
  </si>
  <si>
    <t>DAM_G53</t>
  </si>
  <si>
    <t>DAM_G61</t>
  </si>
  <si>
    <t>DAM_G62</t>
  </si>
  <si>
    <t>DAM_G63</t>
  </si>
  <si>
    <t>DAM_G71</t>
  </si>
  <si>
    <t>DAM_G72</t>
  </si>
  <si>
    <t>DAM_G73</t>
  </si>
  <si>
    <t>DAM_G74</t>
  </si>
  <si>
    <t>DAM_G75</t>
  </si>
  <si>
    <t>DAM_G76</t>
  </si>
  <si>
    <t>G77</t>
  </si>
  <si>
    <t>DAM_G77</t>
  </si>
  <si>
    <t>DAM_G81</t>
  </si>
  <si>
    <t>DAM_G82</t>
  </si>
  <si>
    <t>DAM_G83</t>
  </si>
  <si>
    <t>DAM_G84</t>
  </si>
  <si>
    <t>DAM_G85</t>
  </si>
  <si>
    <t>DAM_G86</t>
  </si>
  <si>
    <t>DAM_G87</t>
  </si>
  <si>
    <t>DAM_G88</t>
  </si>
  <si>
    <t>DAM_G89</t>
  </si>
  <si>
    <t>DAM_G91</t>
  </si>
  <si>
    <t>DAM_G92</t>
  </si>
  <si>
    <t>DAM_G93</t>
  </si>
  <si>
    <t>DAM_G94</t>
  </si>
  <si>
    <t>G95</t>
  </si>
  <si>
    <t>DAM_G95</t>
  </si>
  <si>
    <t>beta</t>
  </si>
  <si>
    <t xml:space="preserve">Elasticité-revenu </t>
  </si>
  <si>
    <t>Elasticité-Prix</t>
  </si>
  <si>
    <t>alpha</t>
  </si>
  <si>
    <t>Cmin-2007</t>
  </si>
  <si>
    <t>Cmoyen-2007</t>
  </si>
  <si>
    <t>Cmin-2014</t>
  </si>
  <si>
    <t>Cmoyen-2014</t>
  </si>
  <si>
    <t>Elasticité-revenu-2007</t>
  </si>
  <si>
    <t>Elasticité-Prix-2007</t>
  </si>
  <si>
    <t>Elasticité-revenu-2014</t>
  </si>
  <si>
    <t>Elasticité-Prix-2014</t>
  </si>
  <si>
    <t>Q1-20-07</t>
  </si>
  <si>
    <t>Q2-20-07</t>
  </si>
  <si>
    <t>Q3-20-07</t>
  </si>
  <si>
    <t>Q4-20-07</t>
  </si>
  <si>
    <t>Q5-20-07</t>
  </si>
  <si>
    <t>Q1-20-14</t>
  </si>
  <si>
    <t>Q2-20-14</t>
  </si>
  <si>
    <t>Q3-20-14</t>
  </si>
  <si>
    <t>Q4-20-14</t>
  </si>
  <si>
    <t>Q5-20-14</t>
  </si>
  <si>
    <t>total-20-07</t>
  </si>
  <si>
    <t>total-20-14</t>
  </si>
  <si>
    <t>total-60-07</t>
  </si>
  <si>
    <t>total-60-14</t>
  </si>
  <si>
    <t>DAMA00</t>
  </si>
  <si>
    <t>DAMB05</t>
  </si>
  <si>
    <t>DAMC00</t>
  </si>
  <si>
    <t>DAMD01</t>
  </si>
  <si>
    <t>DAMD02</t>
  </si>
  <si>
    <t>DAMD03</t>
  </si>
  <si>
    <t>DAMD04</t>
  </si>
  <si>
    <t>DAMD05</t>
  </si>
  <si>
    <t>DAMD23</t>
  </si>
  <si>
    <t>DAME00</t>
  </si>
  <si>
    <t>DAMF45</t>
  </si>
  <si>
    <t>DAMG00</t>
  </si>
  <si>
    <t>DAMH55</t>
  </si>
  <si>
    <t>DAMI01</t>
  </si>
  <si>
    <t>DAMI02</t>
  </si>
  <si>
    <t>DAMJ00</t>
  </si>
  <si>
    <t>DAMK00</t>
  </si>
  <si>
    <t>DAML75</t>
  </si>
  <si>
    <t>DAMMN0</t>
  </si>
  <si>
    <t>DAMOP0</t>
  </si>
  <si>
    <t>Q1-60-07</t>
  </si>
  <si>
    <t>Q2-60-07</t>
  </si>
  <si>
    <t>Q3-60-07</t>
  </si>
  <si>
    <t>Q4-60-07</t>
  </si>
  <si>
    <t>Q5-60-07</t>
  </si>
  <si>
    <t>National</t>
  </si>
  <si>
    <t>Milieu Urbain</t>
  </si>
  <si>
    <t>Milieu Rural</t>
  </si>
  <si>
    <t>Quintile 1</t>
  </si>
  <si>
    <t>Quintile 2</t>
  </si>
  <si>
    <t>Quintile 3</t>
  </si>
  <si>
    <t>Quintile 4</t>
  </si>
  <si>
    <t>Quintile 5</t>
  </si>
  <si>
    <t>tot-rev-2007</t>
  </si>
  <si>
    <t>Moy-rev-2007_mil</t>
  </si>
  <si>
    <t>Moy-rev-2007_qui</t>
  </si>
  <si>
    <t>tot-prix- 2007</t>
  </si>
  <si>
    <t>Moy-prix- 2007_mil</t>
  </si>
  <si>
    <t>Moy-prix- 2007_qui</t>
  </si>
  <si>
    <t>tot-rev-2014</t>
  </si>
  <si>
    <t>Moy-rev-2014_mil</t>
  </si>
  <si>
    <t>Moy-rev-2014_qui</t>
  </si>
  <si>
    <t>tot-prix- 2014</t>
  </si>
  <si>
    <t>Moy-prix- 2014_mil</t>
  </si>
  <si>
    <t>Moy-prix- 2014_qui</t>
  </si>
  <si>
    <t>Variation Elasticité-revenu 2014/2007</t>
  </si>
  <si>
    <t>Variation Elasticité-Prix 2014/2007</t>
  </si>
  <si>
    <t>tot-rev-14/07</t>
  </si>
  <si>
    <t>Moy-rev-14/07_mil</t>
  </si>
  <si>
    <t>Moy-rev-14/07_qui</t>
  </si>
  <si>
    <t>tot-prix- 14/07</t>
  </si>
  <si>
    <t>Moy-prix- 14/07_mil</t>
  </si>
  <si>
    <t>Moy-prix- 14/07_qui</t>
  </si>
  <si>
    <t>National-2007</t>
  </si>
  <si>
    <t>Milieu-2007- Urbain</t>
  </si>
  <si>
    <t>Milieu-2007- Rural</t>
  </si>
  <si>
    <t>Q2007- 1</t>
  </si>
  <si>
    <t>Q2007- 2</t>
  </si>
  <si>
    <t>Q2007- 3</t>
  </si>
  <si>
    <t>Q2007- 4</t>
  </si>
  <si>
    <t>Q2007- 5</t>
  </si>
  <si>
    <t>enqres</t>
  </si>
  <si>
    <t>elrev</t>
  </si>
  <si>
    <t>elpri</t>
  </si>
  <si>
    <t>ncn</t>
  </si>
  <si>
    <t>enq</t>
  </si>
  <si>
    <t>National-2014</t>
  </si>
  <si>
    <t>Milieu-2014- Urbain</t>
  </si>
  <si>
    <t>Milieu-2014- Rural</t>
  </si>
  <si>
    <t>Q2014- 1</t>
  </si>
  <si>
    <t>Q2014- 2</t>
  </si>
  <si>
    <t>Q2014- 3</t>
  </si>
  <si>
    <t>Q2014- 4</t>
  </si>
  <si>
    <t>Q2014- 5</t>
  </si>
  <si>
    <t>Elas-revenu 2007</t>
  </si>
  <si>
    <t>URB</t>
  </si>
  <si>
    <t>RUR</t>
  </si>
  <si>
    <t>Elas-Prix 2007</t>
  </si>
  <si>
    <t>M URB</t>
  </si>
  <si>
    <t>M RUR</t>
  </si>
  <si>
    <t>Q- 1</t>
  </si>
  <si>
    <t>Q- 2</t>
  </si>
  <si>
    <t>Q- 3</t>
  </si>
  <si>
    <t>Q- 4</t>
  </si>
  <si>
    <t>Q- 5</t>
  </si>
  <si>
    <t>Elas-revenu 2014</t>
  </si>
  <si>
    <t>Elas-Prix 2014</t>
  </si>
  <si>
    <t>0/1 ALIMENTATION - BOISSONS ET TABAC</t>
  </si>
  <si>
    <t>Agriculture, forêt et services annexes</t>
  </si>
  <si>
    <t>01 CEREALES ET PRODUITS A BASE DE CEREALES</t>
  </si>
  <si>
    <t>Pêche, aquaculture</t>
  </si>
  <si>
    <t>02 LAIT, PRODUITS LAITIERS ET OEUFS</t>
  </si>
  <si>
    <t>Industrie d’extraction</t>
  </si>
  <si>
    <t>03 CORPS GRAS</t>
  </si>
  <si>
    <t>Industries alimentaires et tabac</t>
  </si>
  <si>
    <t>04 VIANDES ET VOLAILLES</t>
  </si>
  <si>
    <t>Industries du textile et du cuir</t>
  </si>
  <si>
    <t>05 POISSONS</t>
  </si>
  <si>
    <t>Industrie chimique et parachimique</t>
  </si>
  <si>
    <t>06 LEGUMES FRAIS</t>
  </si>
  <si>
    <t>Industrie mécanique, métallurgique et électrique</t>
  </si>
  <si>
    <t>07 LEGUMES SECS OU EN CONSERVE</t>
  </si>
  <si>
    <t>Autres industries manufac. hors raffinage pétrole</t>
  </si>
  <si>
    <t>08 FRUITS</t>
  </si>
  <si>
    <t>D06</t>
  </si>
  <si>
    <t>Raffinage de pétrole et autres produits d’énergie</t>
  </si>
  <si>
    <t>09 SUCRE, PRODUITS SUCRES, PRODUITS A BASE DE CHOCOLAT ET PRODUITS POUR DESSERTS ET PATISSERIE</t>
  </si>
  <si>
    <t>Electricité et eau</t>
  </si>
  <si>
    <t>10  PRODUITS A BASE DE CHOCOLAT POUR LES PETITS DEJEUNERS, PRODUITS POUR DESSERTS ET PATISSERIE</t>
  </si>
  <si>
    <t>Bâtiment et travaux publics</t>
  </si>
  <si>
    <t>11 THE, CAFE ET PLANTES D'INFUSION</t>
  </si>
  <si>
    <t>Commerce</t>
  </si>
  <si>
    <t>12 ASSAISONNEMENTS ALIMENTAIRES ET DIVERS PRODUIT  ALIMENTAIRES N.C.A</t>
  </si>
  <si>
    <t>Hôtels et restaurants</t>
  </si>
  <si>
    <t>13 BOISSONS NON ALCOOLISEES</t>
  </si>
  <si>
    <t>Transports</t>
  </si>
  <si>
    <t>14 BOISSONS ALCOOLISEES</t>
  </si>
  <si>
    <t>Postes et télécommunications</t>
  </si>
  <si>
    <t>15 ALIMENTS ET BOISSONS PRIS A L'EXTERIEUR</t>
  </si>
  <si>
    <t>Activités financières et assurances</t>
  </si>
  <si>
    <t>16 TABAC, CIGARETTE ET AUTRES PRODUITS A FUMER</t>
  </si>
  <si>
    <t>Immobilier, location et serv. rendus entreprises</t>
  </si>
  <si>
    <t>17 DIVERSES DEPENSES LIEES A L'ACQUISITION DES PRODUITS ALIMENTAIRES (N.C. LE TRANSPORT)</t>
  </si>
  <si>
    <t>Administration publique et sécurité sociale</t>
  </si>
  <si>
    <t>18 DEPENSES EXCEPTIONNELLES : ACHATS DE PRODUITS ALIMENTAIRES</t>
  </si>
  <si>
    <t>MNO</t>
  </si>
  <si>
    <t>Education, santé et action sociale</t>
  </si>
  <si>
    <t>2. H A B I L L E M E N T (y.c chaussures)</t>
  </si>
  <si>
    <t>Autres services non financiers</t>
  </si>
  <si>
    <t>21 VETEMENTS DE DESSUS POUR ADULTE</t>
  </si>
  <si>
    <t>22 VETEMENTS DE DESSUS POUR ENFANTS</t>
  </si>
  <si>
    <t>23 ACCESSOIRES D'HABILLEMENT</t>
  </si>
  <si>
    <t>24 CHEMISERIE ET AUTRES LINGERIES</t>
  </si>
  <si>
    <t>25 TISSUS D'HABILLEMENT, LAINE ET MERCERIE</t>
  </si>
  <si>
    <t>26 LAYETTE POUR BEBE</t>
  </si>
  <si>
    <t>27 AUTRES DEPENSES D'HABILLEMENT</t>
  </si>
  <si>
    <t>28 CHAUSSURES</t>
  </si>
  <si>
    <t>3. HABITATION ET DEPENSES D'ENERGIE</t>
  </si>
  <si>
    <t>31 LOYERS ET CHARGES</t>
  </si>
  <si>
    <t>32 ENTRETIEN ET REPARATION</t>
  </si>
  <si>
    <t>33 CHAUFFAGE, ECLAIRAGE, EAU, DEPENSE D'ENERGIE</t>
  </si>
  <si>
    <t>34 AUTRES DEPENSES D'HABITATION</t>
  </si>
  <si>
    <t>4. EQUIPEMENTS MENAGERS</t>
  </si>
  <si>
    <t>41 MOBILIER ET LINGE DE MAISON</t>
  </si>
  <si>
    <t>42 USTENSILES ET AUTRES ARTICLES DE CUISINE</t>
  </si>
  <si>
    <t>43 APPAREILS MENAGERS</t>
  </si>
  <si>
    <t>44 APPAREILS ET ARTICLES D'ECLAIRAGE</t>
  </si>
  <si>
    <t>45 BRICOLAGE QUINCAILLERIE ET DIVERS ARTICLES MENAGERS n.c.a</t>
  </si>
  <si>
    <t>46 BIENS ET SERVICES D'ENTRETIEN</t>
  </si>
  <si>
    <t>47 AUTRES DEPENSES LIEES AUX EQUIPEMENTS MENAGERS n.c.a</t>
  </si>
  <si>
    <t>5. HYGIENE ET SOINS MEDICAUX</t>
  </si>
  <si>
    <t>51 PRODUITS ET SERVICES DE TOILETTE ET D'HYGIENE</t>
  </si>
  <si>
    <t>52/53 SOINS MEDICAUX</t>
  </si>
  <si>
    <t>6. TRANSPORTS ET COMMUNICATIONS</t>
  </si>
  <si>
    <t>61 TRANSPORT PRIVE</t>
  </si>
  <si>
    <t>62 ACHAT DE SERVICES DE TRANSPORT EN COMMUN</t>
  </si>
  <si>
    <t>(n-c les transports professionnels et les transports liés aux vacances)</t>
  </si>
  <si>
    <t>63 COMMUNICATION</t>
  </si>
  <si>
    <t>7. LOISIRS, SPECTACLE, ENSEIGNEMENT ET CULTURE</t>
  </si>
  <si>
    <t>71 APPAREILS ET ACCESSOIRES ELECTRONIQUES ET RECREATIFS</t>
  </si>
  <si>
    <t>72 AUTRES ARTICLES RECREATIFS ET FRAIS DE LOCATION DES BIENS  RECREATIFS</t>
  </si>
  <si>
    <t>73 DIVERTISSEMENT ET CULTURE (n.c hôtels, cafés, restaurants)</t>
  </si>
  <si>
    <t>74 FRAIS DE VACANCES ET DE WEEK-END</t>
  </si>
  <si>
    <t>75/76 ENSEIGNEMENT</t>
  </si>
  <si>
    <t>8. AUTRES BIENS ET SERVICES</t>
  </si>
  <si>
    <t>81 BIJOUX ET HORLOGERIE</t>
  </si>
  <si>
    <t>82 MATERIEL ET FOURNITURES DE PAPETERIE ET DE DESSIN</t>
  </si>
  <si>
    <t>83 MAROQUINERIE, ARTICLES DE VOYAGE</t>
  </si>
  <si>
    <t>84 AUTRE ARTICLE PERSONNELS</t>
  </si>
  <si>
    <t>85 DEPENSES DIVERSES</t>
  </si>
  <si>
    <t>86 DEPENSES JURIDIQUES</t>
  </si>
  <si>
    <t>87 ASSURANCES</t>
  </si>
  <si>
    <t>88 SERVICES BANCAIRES</t>
  </si>
  <si>
    <t>9. PAIEMENTS FISCAUX, TRANSFERTS ETREMBOURSEMENT DES PRÊTS</t>
  </si>
  <si>
    <t>91 PAIEMENTS FISCAUX (non liés à l'exercice d'activité professionnelle)</t>
  </si>
  <si>
    <t>92 TRANSFERTS EN  ESPECE</t>
  </si>
  <si>
    <t>93 TRANSFERTS EN NATURE</t>
  </si>
  <si>
    <t>94 REMBOURSEMENT DES PRETS</t>
  </si>
  <si>
    <t>95 TRANSFERT EN FAVEUR DES MEMBRES ABSENTS VIVANT DANS DES</t>
  </si>
  <si>
    <t>Produit NCN20</t>
  </si>
  <si>
    <t>elas-LES-2007-M1</t>
  </si>
  <si>
    <t>elas-LES-2014-M1</t>
  </si>
  <si>
    <t>elas-LES-2007-M2</t>
  </si>
  <si>
    <t>elas-LES-2014-M2</t>
  </si>
  <si>
    <t>Produit ENQ</t>
  </si>
  <si>
    <t>ElasLES_2007-M1</t>
  </si>
  <si>
    <t>ElasLES_2014-M1</t>
  </si>
  <si>
    <t>ElasLES_2007-M2</t>
  </si>
  <si>
    <t>ElasLES_2014-M2</t>
  </si>
  <si>
    <t xml:space="preserve">A00 </t>
  </si>
  <si>
    <t xml:space="preserve">B05 </t>
  </si>
  <si>
    <t xml:space="preserve">C00 </t>
  </si>
  <si>
    <t xml:space="preserve">D01 </t>
  </si>
  <si>
    <t xml:space="preserve">D02 </t>
  </si>
  <si>
    <t xml:space="preserve">D03 </t>
  </si>
  <si>
    <t xml:space="preserve">D04 </t>
  </si>
  <si>
    <t xml:space="preserve">D05 </t>
  </si>
  <si>
    <t xml:space="preserve">D23 </t>
  </si>
  <si>
    <t xml:space="preserve">E00 </t>
  </si>
  <si>
    <t xml:space="preserve">F45 </t>
  </si>
  <si>
    <t xml:space="preserve">G00 </t>
  </si>
  <si>
    <t xml:space="preserve">H55 </t>
  </si>
  <si>
    <t xml:space="preserve">I01 </t>
  </si>
  <si>
    <t xml:space="preserve">I02 </t>
  </si>
  <si>
    <t xml:space="preserve">J00 </t>
  </si>
  <si>
    <t xml:space="preserve">K00 </t>
  </si>
  <si>
    <t xml:space="preserve">L75 </t>
  </si>
  <si>
    <t xml:space="preserve">MN0 </t>
  </si>
  <si>
    <t xml:space="preserve">OP0 </t>
  </si>
  <si>
    <t>NCN</t>
  </si>
  <si>
    <t>ENQ-2</t>
  </si>
  <si>
    <t>egalNCN</t>
  </si>
  <si>
    <t>egalENQ</t>
  </si>
  <si>
    <t>egalTWO</t>
  </si>
  <si>
    <t>G16</t>
  </si>
  <si>
    <t>Urbain</t>
  </si>
  <si>
    <t>Rural</t>
  </si>
  <si>
    <t>Milieu de résidence</t>
  </si>
  <si>
    <t>Classe sociale ou quintile</t>
  </si>
  <si>
    <t>Elasticité-prix 2007</t>
  </si>
  <si>
    <t>Agriculture forestry and related services</t>
  </si>
  <si>
    <t>Agriculture, foret et services annexes</t>
  </si>
  <si>
    <t>Fishing aquaculture</t>
  </si>
  <si>
    <t>Extractive industry</t>
  </si>
  <si>
    <t>Food and tobacco industries</t>
  </si>
  <si>
    <t>Textile and leather industries</t>
  </si>
  <si>
    <t>Industries textile et du cuir</t>
  </si>
  <si>
    <t>Chemical and parachemical industry</t>
  </si>
  <si>
    <t>Mechanical metallurgical and electrical industry</t>
  </si>
  <si>
    <t>Other manufacturing industries excluding petroleum refining</t>
  </si>
  <si>
    <t>Autres industries manufacturières hors raffinage de pétrole</t>
  </si>
  <si>
    <t>Oil refining and other energy products</t>
  </si>
  <si>
    <t>Raffinage de pétrole et autres produits d'énergie</t>
  </si>
  <si>
    <t>Production and distribution of electricity water</t>
  </si>
  <si>
    <t>Production et distribution d'électricité, d'eau</t>
  </si>
  <si>
    <t>Construction and public works</t>
  </si>
  <si>
    <t>Trade and repair</t>
  </si>
  <si>
    <t>Commerce et réparation</t>
  </si>
  <si>
    <t>Hotels and restaurants</t>
  </si>
  <si>
    <t>Transport</t>
  </si>
  <si>
    <t>Posts and telecommunications</t>
  </si>
  <si>
    <t>Financial and insurance activities</t>
  </si>
  <si>
    <t>Real estate rental and business services</t>
  </si>
  <si>
    <t>Immobilier, location et services aux entreprises</t>
  </si>
  <si>
    <t>General public administration and social security</t>
  </si>
  <si>
    <t>Administration publique générale et sécurité sociale</t>
  </si>
  <si>
    <t>Education health and social action</t>
  </si>
  <si>
    <t>Other non-financial services</t>
  </si>
  <si>
    <t>Elasticité-prix 2014</t>
  </si>
  <si>
    <t>Coefficient de variation entre les quintiles</t>
  </si>
  <si>
    <t>Elasticité-revenu</t>
  </si>
  <si>
    <t>rang 2007</t>
  </si>
  <si>
    <t>rang 2014</t>
  </si>
  <si>
    <t>Valeur de consommation minimale 2007</t>
  </si>
  <si>
    <t>Valeur de consommation moyenne 2007</t>
  </si>
  <si>
    <t>Alpha 2007</t>
  </si>
  <si>
    <t>Coefficient budgétaire 2007</t>
  </si>
  <si>
    <t>Valeur de consommation minimale 2014</t>
  </si>
  <si>
    <t>Valeur de consommation moyenne 2014</t>
  </si>
  <si>
    <t>Alpha 2014</t>
  </si>
  <si>
    <t>Coefficient budgétaire 2014</t>
  </si>
  <si>
    <t>Variation de l'élasticité-revenu entre 2007 et 2014</t>
  </si>
  <si>
    <t>Variation de l'élasticité-Prix entre 2007 et 2014</t>
  </si>
  <si>
    <t>baisse</t>
  </si>
  <si>
    <t>HAUSSE</t>
  </si>
  <si>
    <t>Contribution à la croissance en élasticité-revenu entre 2007 et 2014</t>
  </si>
  <si>
    <t>Contribution à la croissance en élasticité-Prix 
entre 2007 et 2014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</si>
</sst>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.000"/>
    <numFmt numFmtId="177" formatCode="0.0%"/>
    <numFmt numFmtId="178" formatCode="0.000"/>
  </numFmts>
  <fonts count="43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1"/>
      <color theme="1"/>
      <name val="Times New Roman"/>
      <charset val="134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5"/>
      <color theme="1"/>
      <name val="Times New Roman"/>
      <charset val="134"/>
    </font>
    <font>
      <sz val="15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sz val="12"/>
      <color rgb="FF808000"/>
      <name val="Times New Roman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8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19" applyNumberFormat="0" applyAlignment="0" applyProtection="0">
      <alignment vertical="center"/>
    </xf>
    <xf numFmtId="0" fontId="33" fillId="10" borderId="20" applyNumberFormat="0" applyAlignment="0" applyProtection="0">
      <alignment vertical="center"/>
    </xf>
    <xf numFmtId="0" fontId="34" fillId="10" borderId="19" applyNumberFormat="0" applyAlignment="0" applyProtection="0">
      <alignment vertical="center"/>
    </xf>
    <xf numFmtId="0" fontId="35" fillId="11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</cellStyleXfs>
  <cellXfs count="29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9" fontId="3" fillId="0" borderId="0" xfId="3" applyFont="1" applyBorder="1" applyAlignment="1">
      <alignment horizontal="right" vertical="center" wrapText="1" indent="2"/>
    </xf>
    <xf numFmtId="9" fontId="6" fillId="2" borderId="0" xfId="3" applyFont="1" applyFill="1" applyBorder="1" applyAlignment="1">
      <alignment horizontal="right" vertical="center" wrapText="1" indent="2"/>
    </xf>
    <xf numFmtId="9" fontId="6" fillId="0" borderId="0" xfId="3" applyFont="1" applyBorder="1" applyAlignment="1">
      <alignment horizontal="right" vertical="center" wrapText="1" indent="2"/>
    </xf>
    <xf numFmtId="0" fontId="1" fillId="0" borderId="0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center" wrapText="1"/>
    </xf>
    <xf numFmtId="9" fontId="8" fillId="0" borderId="0" xfId="3" applyFont="1" applyBorder="1" applyAlignment="1">
      <alignment horizontal="right" vertical="center" wrapText="1" indent="2"/>
    </xf>
    <xf numFmtId="9" fontId="9" fillId="2" borderId="0" xfId="3" applyFont="1" applyFill="1" applyBorder="1" applyAlignment="1">
      <alignment horizontal="right" vertical="center" wrapText="1" indent="2"/>
    </xf>
    <xf numFmtId="9" fontId="9" fillId="0" borderId="0" xfId="3" applyFont="1" applyBorder="1" applyAlignment="1">
      <alignment horizontal="right" vertical="center" wrapText="1" indent="2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9" fontId="3" fillId="3" borderId="1" xfId="3" applyFont="1" applyFill="1" applyBorder="1" applyAlignment="1">
      <alignment horizontal="right" vertical="center" wrapText="1" indent="2"/>
    </xf>
    <xf numFmtId="9" fontId="6" fillId="3" borderId="1" xfId="3" applyFont="1" applyFill="1" applyBorder="1" applyAlignment="1">
      <alignment horizontal="right" vertical="center" wrapText="1" indent="2"/>
    </xf>
    <xf numFmtId="0" fontId="0" fillId="0" borderId="0" xfId="0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 wrapText="1"/>
    </xf>
    <xf numFmtId="9" fontId="3" fillId="3" borderId="0" xfId="3" applyFont="1" applyFill="1" applyBorder="1" applyAlignment="1">
      <alignment horizontal="right" vertical="center" wrapText="1" indent="2"/>
    </xf>
    <xf numFmtId="9" fontId="6" fillId="3" borderId="0" xfId="3" applyFont="1" applyFill="1" applyBorder="1" applyAlignment="1">
      <alignment horizontal="right" vertical="center" wrapText="1" indent="2"/>
    </xf>
    <xf numFmtId="0" fontId="1" fillId="3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 wrapText="1"/>
    </xf>
    <xf numFmtId="9" fontId="3" fillId="4" borderId="0" xfId="3" applyFont="1" applyFill="1" applyBorder="1" applyAlignment="1">
      <alignment horizontal="right" vertical="center" wrapText="1" indent="2"/>
    </xf>
    <xf numFmtId="9" fontId="6" fillId="4" borderId="0" xfId="3" applyFont="1" applyFill="1" applyBorder="1" applyAlignment="1">
      <alignment horizontal="right" vertical="center" wrapText="1" indent="2"/>
    </xf>
    <xf numFmtId="0" fontId="1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9" fontId="3" fillId="0" borderId="2" xfId="3" applyFont="1" applyBorder="1" applyAlignment="1">
      <alignment horizontal="right" vertical="center" wrapText="1" indent="2"/>
    </xf>
    <xf numFmtId="9" fontId="6" fillId="2" borderId="2" xfId="3" applyFont="1" applyFill="1" applyBorder="1" applyAlignment="1">
      <alignment horizontal="right" vertical="center" wrapText="1" indent="2"/>
    </xf>
    <xf numFmtId="9" fontId="6" fillId="0" borderId="2" xfId="3" applyFont="1" applyBorder="1" applyAlignment="1">
      <alignment horizontal="right" vertical="center" wrapText="1" indent="2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3" fillId="0" borderId="1" xfId="3" applyFont="1" applyBorder="1" applyAlignment="1">
      <alignment horizontal="right" vertical="center" wrapText="1" indent="2"/>
    </xf>
    <xf numFmtId="9" fontId="6" fillId="2" borderId="1" xfId="3" applyFont="1" applyFill="1" applyBorder="1" applyAlignment="1">
      <alignment horizontal="right" vertical="center" wrapText="1" indent="2"/>
    </xf>
    <xf numFmtId="9" fontId="6" fillId="0" borderId="1" xfId="3" applyFont="1" applyBorder="1" applyAlignment="1">
      <alignment horizontal="right" vertical="center" wrapText="1" indent="2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 wrapText="1"/>
    </xf>
    <xf numFmtId="9" fontId="3" fillId="4" borderId="2" xfId="3" applyFont="1" applyFill="1" applyBorder="1" applyAlignment="1">
      <alignment horizontal="right" vertical="center" wrapText="1" indent="2"/>
    </xf>
    <xf numFmtId="9" fontId="6" fillId="4" borderId="2" xfId="3" applyFont="1" applyFill="1" applyBorder="1" applyAlignment="1">
      <alignment horizontal="right" vertical="center" wrapText="1" indent="2"/>
    </xf>
    <xf numFmtId="9" fontId="10" fillId="0" borderId="0" xfId="3" applyFont="1" applyBorder="1" applyAlignment="1">
      <alignment horizontal="right" vertical="center" wrapText="1" indent="2"/>
    </xf>
    <xf numFmtId="0" fontId="2" fillId="2" borderId="0" xfId="0" applyFont="1" applyFill="1"/>
    <xf numFmtId="0" fontId="2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2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3" fontId="6" fillId="0" borderId="0" xfId="0" applyNumberFormat="1" applyFont="1" applyBorder="1" applyAlignment="1">
      <alignment horizontal="right" vertical="center" wrapText="1" indent="1"/>
    </xf>
    <xf numFmtId="3" fontId="6" fillId="2" borderId="0" xfId="0" applyNumberFormat="1" applyFont="1" applyFill="1" applyBorder="1" applyAlignment="1">
      <alignment horizontal="right" vertical="center" wrapText="1" indent="1"/>
    </xf>
    <xf numFmtId="0" fontId="7" fillId="2" borderId="0" xfId="0" applyFont="1" applyFill="1" applyAlignment="1">
      <alignment horizontal="center" wrapText="1"/>
    </xf>
    <xf numFmtId="176" fontId="6" fillId="0" borderId="0" xfId="0" applyNumberFormat="1" applyFont="1" applyBorder="1" applyAlignment="1">
      <alignment horizontal="right" vertical="center" wrapText="1" indent="1"/>
    </xf>
    <xf numFmtId="177" fontId="6" fillId="0" borderId="0" xfId="3" applyNumberFormat="1" applyFont="1" applyBorder="1" applyAlignment="1">
      <alignment horizontal="right" vertical="center" wrapText="1" indent="1"/>
    </xf>
    <xf numFmtId="177" fontId="6" fillId="2" borderId="0" xfId="3" applyNumberFormat="1" applyFont="1" applyFill="1" applyBorder="1" applyAlignment="1">
      <alignment horizontal="right" vertical="center" wrapText="1" indent="1"/>
    </xf>
    <xf numFmtId="0" fontId="7" fillId="2" borderId="2" xfId="0" applyFont="1" applyFill="1" applyBorder="1" applyAlignment="1">
      <alignment horizontal="left" vertical="center" wrapText="1"/>
    </xf>
    <xf numFmtId="3" fontId="7" fillId="2" borderId="2" xfId="0" applyNumberFormat="1" applyFont="1" applyFill="1" applyBorder="1" applyAlignment="1">
      <alignment horizontal="right" vertical="center" wrapText="1" indent="1"/>
    </xf>
    <xf numFmtId="0" fontId="2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2" fontId="12" fillId="0" borderId="0" xfId="0" applyNumberFormat="1" applyFont="1" applyBorder="1" applyAlignment="1">
      <alignment horizontal="center" vertical="center" wrapText="1"/>
    </xf>
    <xf numFmtId="2" fontId="1" fillId="2" borderId="0" xfId="0" applyNumberFormat="1" applyFont="1" applyFill="1" applyBorder="1" applyAlignment="1">
      <alignment horizontal="center" vertical="center" wrapText="1"/>
    </xf>
    <xf numFmtId="2" fontId="13" fillId="0" borderId="0" xfId="0" applyNumberFormat="1" applyFont="1" applyBorder="1" applyAlignment="1">
      <alignment horizontal="center" vertical="center" wrapText="1"/>
    </xf>
    <xf numFmtId="2" fontId="13" fillId="2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9" fontId="13" fillId="0" borderId="0" xfId="3" applyFont="1" applyBorder="1" applyAlignment="1">
      <alignment horizontal="center" vertical="center" wrapText="1"/>
    </xf>
    <xf numFmtId="9" fontId="13" fillId="2" borderId="0" xfId="3" applyFont="1" applyFill="1" applyBorder="1" applyAlignment="1">
      <alignment horizontal="center" vertical="center" wrapText="1"/>
    </xf>
    <xf numFmtId="9" fontId="6" fillId="2" borderId="0" xfId="3" applyFont="1" applyFill="1" applyBorder="1" applyAlignment="1">
      <alignment horizontal="center" vertical="center" wrapText="1"/>
    </xf>
    <xf numFmtId="3" fontId="13" fillId="0" borderId="0" xfId="3" applyNumberFormat="1" applyFont="1" applyBorder="1" applyAlignment="1">
      <alignment horizontal="right" vertical="center" wrapText="1" indent="3"/>
    </xf>
    <xf numFmtId="0" fontId="1" fillId="2" borderId="0" xfId="0" applyFont="1" applyFill="1" applyBorder="1" applyAlignment="1">
      <alignment horizontal="left" vertical="center" wrapText="1"/>
    </xf>
    <xf numFmtId="2" fontId="7" fillId="2" borderId="0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Border="1"/>
    <xf numFmtId="0" fontId="0" fillId="2" borderId="0" xfId="0" applyFill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15" fillId="0" borderId="0" xfId="0" applyFont="1" applyBorder="1" applyAlignment="1">
      <alignment horizontal="left" vertical="center" indent="1"/>
    </xf>
    <xf numFmtId="4" fontId="15" fillId="0" borderId="0" xfId="0" applyNumberFormat="1" applyFont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indent="2"/>
    </xf>
    <xf numFmtId="4" fontId="16" fillId="0" borderId="0" xfId="0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" fontId="16" fillId="2" borderId="2" xfId="0" applyNumberFormat="1" applyFont="1" applyFill="1" applyBorder="1" applyAlignment="1">
      <alignment horizontal="center" vertical="center"/>
    </xf>
    <xf numFmtId="4" fontId="16" fillId="2" borderId="0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17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14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178" fontId="15" fillId="5" borderId="1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178" fontId="15" fillId="6" borderId="1" xfId="0" applyNumberFormat="1" applyFont="1" applyFill="1" applyBorder="1" applyAlignment="1">
      <alignment horizontal="center" vertical="center" wrapText="1"/>
    </xf>
    <xf numFmtId="0" fontId="15" fillId="5" borderId="0" xfId="0" applyFont="1" applyFill="1" applyBorder="1" applyAlignment="1">
      <alignment horizontal="center" vertical="center" wrapText="1"/>
    </xf>
    <xf numFmtId="178" fontId="15" fillId="5" borderId="0" xfId="0" applyNumberFormat="1" applyFont="1" applyFill="1" applyBorder="1" applyAlignment="1">
      <alignment horizontal="center" vertical="center" wrapText="1"/>
    </xf>
    <xf numFmtId="0" fontId="15" fillId="6" borderId="0" xfId="0" applyFont="1" applyFill="1" applyBorder="1" applyAlignment="1">
      <alignment horizontal="center" vertical="center" wrapText="1"/>
    </xf>
    <xf numFmtId="178" fontId="15" fillId="6" borderId="0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178" fontId="15" fillId="5" borderId="2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178" fontId="15" fillId="6" borderId="2" xfId="0" applyNumberFormat="1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178" fontId="15" fillId="5" borderId="3" xfId="0" applyNumberFormat="1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178" fontId="15" fillId="6" borderId="3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1" fontId="0" fillId="0" borderId="0" xfId="0" applyNumberFormat="1"/>
    <xf numFmtId="0" fontId="0" fillId="2" borderId="0" xfId="0" applyFill="1" applyAlignment="1">
      <alignment horizontal="center" vertical="center"/>
    </xf>
    <xf numFmtId="1" fontId="0" fillId="2" borderId="0" xfId="0" applyNumberFormat="1" applyFill="1"/>
    <xf numFmtId="0" fontId="14" fillId="0" borderId="1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2" fontId="16" fillId="0" borderId="0" xfId="0" applyNumberFormat="1" applyFont="1" applyBorder="1" applyAlignment="1">
      <alignment horizontal="center" vertical="center" wrapText="1"/>
    </xf>
    <xf numFmtId="1" fontId="16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2" fontId="16" fillId="2" borderId="2" xfId="0" applyNumberFormat="1" applyFont="1" applyFill="1" applyBorder="1" applyAlignment="1">
      <alignment horizontal="center" vertical="center" wrapText="1"/>
    </xf>
    <xf numFmtId="1" fontId="20" fillId="2" borderId="2" xfId="0" applyNumberFormat="1" applyFont="1" applyFill="1" applyBorder="1" applyAlignment="1">
      <alignment horizontal="center" vertical="center" wrapText="1"/>
    </xf>
    <xf numFmtId="2" fontId="16" fillId="2" borderId="0" xfId="0" applyNumberFormat="1" applyFont="1" applyFill="1" applyBorder="1" applyAlignment="1">
      <alignment horizontal="center" vertical="center" wrapText="1"/>
    </xf>
    <xf numFmtId="1" fontId="20" fillId="2" borderId="0" xfId="0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center" vertical="center" wrapText="1"/>
    </xf>
    <xf numFmtId="1" fontId="16" fillId="2" borderId="2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right" vertical="center" indent="1"/>
    </xf>
    <xf numFmtId="4" fontId="0" fillId="0" borderId="7" xfId="0" applyNumberFormat="1" applyBorder="1" applyAlignment="1">
      <alignment horizontal="right" vertical="center" indent="1"/>
    </xf>
    <xf numFmtId="0" fontId="0" fillId="0" borderId="8" xfId="0" applyBorder="1" applyAlignment="1">
      <alignment horizontal="center" vertical="center"/>
    </xf>
    <xf numFmtId="4" fontId="0" fillId="0" borderId="8" xfId="0" applyNumberFormat="1" applyBorder="1" applyAlignment="1">
      <alignment horizontal="right" vertical="center" indent="1"/>
    </xf>
    <xf numFmtId="4" fontId="0" fillId="0" borderId="9" xfId="0" applyNumberFormat="1" applyBorder="1" applyAlignment="1">
      <alignment horizontal="right" vertical="center" indent="1"/>
    </xf>
    <xf numFmtId="4" fontId="0" fillId="0" borderId="10" xfId="0" applyNumberFormat="1" applyBorder="1" applyAlignment="1">
      <alignment horizontal="right" vertical="center" indent="1"/>
    </xf>
    <xf numFmtId="4" fontId="0" fillId="0" borderId="11" xfId="0" applyNumberFormat="1" applyBorder="1" applyAlignment="1">
      <alignment horizontal="right" vertical="center" inden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0" xfId="0" applyFill="1" applyBorder="1" applyAlignment="1">
      <alignment vertical="center" wrapText="1"/>
    </xf>
    <xf numFmtId="0" fontId="0" fillId="7" borderId="0" xfId="0" applyFill="1" applyBorder="1" applyAlignment="1">
      <alignment horizontal="center" vertical="center"/>
    </xf>
    <xf numFmtId="4" fontId="16" fillId="7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2" fontId="21" fillId="0" borderId="0" xfId="0" applyNumberFormat="1" applyFont="1" applyBorder="1" applyAlignment="1">
      <alignment horizontal="center" vertical="center" wrapText="1"/>
    </xf>
    <xf numFmtId="2" fontId="21" fillId="2" borderId="0" xfId="0" applyNumberFormat="1" applyFont="1" applyFill="1" applyBorder="1" applyAlignment="1">
      <alignment horizontal="center" vertical="center" wrapText="1"/>
    </xf>
    <xf numFmtId="4" fontId="18" fillId="0" borderId="8" xfId="0" applyNumberFormat="1" applyFont="1" applyBorder="1" applyAlignment="1">
      <alignment horizontal="right" vertical="center" wrapText="1" indent="1"/>
    </xf>
    <xf numFmtId="2" fontId="18" fillId="0" borderId="0" xfId="0" applyNumberFormat="1" applyFont="1" applyBorder="1" applyAlignment="1">
      <alignment horizontal="right" vertical="center" wrapText="1" indent="1"/>
    </xf>
    <xf numFmtId="2" fontId="18" fillId="0" borderId="9" xfId="0" applyNumberFormat="1" applyFont="1" applyBorder="1" applyAlignment="1">
      <alignment horizontal="right" vertical="center" wrapText="1" indent="1"/>
    </xf>
    <xf numFmtId="4" fontId="0" fillId="0" borderId="8" xfId="0" applyNumberFormat="1" applyBorder="1" applyAlignment="1">
      <alignment horizontal="right" vertical="center" wrapText="1" indent="1"/>
    </xf>
    <xf numFmtId="2" fontId="0" fillId="0" borderId="0" xfId="0" applyNumberFormat="1" applyBorder="1" applyAlignment="1">
      <alignment horizontal="right" vertical="center" wrapText="1" indent="1"/>
    </xf>
    <xf numFmtId="2" fontId="0" fillId="0" borderId="9" xfId="0" applyNumberFormat="1" applyBorder="1" applyAlignment="1">
      <alignment horizontal="right" vertical="center" wrapText="1" indent="1"/>
    </xf>
    <xf numFmtId="4" fontId="18" fillId="2" borderId="10" xfId="0" applyNumberFormat="1" applyFont="1" applyFill="1" applyBorder="1" applyAlignment="1">
      <alignment horizontal="right" vertical="center" wrapText="1" indent="1"/>
    </xf>
    <xf numFmtId="2" fontId="18" fillId="2" borderId="2" xfId="0" applyNumberFormat="1" applyFont="1" applyFill="1" applyBorder="1" applyAlignment="1">
      <alignment horizontal="right" vertical="center" wrapText="1" indent="1"/>
    </xf>
    <xf numFmtId="2" fontId="18" fillId="2" borderId="11" xfId="0" applyNumberFormat="1" applyFont="1" applyFill="1" applyBorder="1" applyAlignment="1">
      <alignment horizontal="right" vertical="center" wrapText="1" indent="1"/>
    </xf>
    <xf numFmtId="4" fontId="0" fillId="2" borderId="10" xfId="0" applyNumberFormat="1" applyFill="1" applyBorder="1" applyAlignment="1">
      <alignment horizontal="right" vertical="center" wrapText="1" indent="1"/>
    </xf>
    <xf numFmtId="2" fontId="0" fillId="2" borderId="2" xfId="0" applyNumberFormat="1" applyFill="1" applyBorder="1" applyAlignment="1">
      <alignment horizontal="right" vertical="center" wrapText="1" indent="1"/>
    </xf>
    <xf numFmtId="2" fontId="0" fillId="2" borderId="11" xfId="0" applyNumberFormat="1" applyFill="1" applyBorder="1" applyAlignment="1">
      <alignment horizontal="right" vertical="center" wrapText="1" indent="1"/>
    </xf>
    <xf numFmtId="9" fontId="0" fillId="0" borderId="0" xfId="3" applyFont="1" applyBorder="1" applyAlignment="1">
      <alignment horizontal="right" vertical="center" wrapText="1" indent="1"/>
    </xf>
    <xf numFmtId="9" fontId="0" fillId="2" borderId="0" xfId="3" applyFont="1" applyFill="1" applyBorder="1" applyAlignment="1">
      <alignment horizontal="right" vertical="center" wrapText="1" indent="1"/>
    </xf>
    <xf numFmtId="9" fontId="18" fillId="0" borderId="0" xfId="3" applyFont="1" applyBorder="1" applyAlignment="1">
      <alignment horizontal="right" vertical="center" wrapText="1" indent="1"/>
    </xf>
    <xf numFmtId="0" fontId="0" fillId="0" borderId="0" xfId="0" applyAlignment="1">
      <alignment horizontal="center" vertical="center" wrapText="1"/>
    </xf>
    <xf numFmtId="3" fontId="22" fillId="0" borderId="0" xfId="0" applyNumberFormat="1" applyFont="1" applyAlignment="1">
      <alignment horizontal="right" vertical="center" wrapText="1"/>
    </xf>
    <xf numFmtId="3" fontId="22" fillId="2" borderId="0" xfId="0" applyNumberFormat="1" applyFont="1" applyFill="1" applyAlignment="1">
      <alignment horizontal="right" vertical="center" wrapText="1"/>
    </xf>
    <xf numFmtId="0" fontId="0" fillId="0" borderId="0" xfId="0" applyBorder="1"/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3" fontId="0" fillId="0" borderId="7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8" xfId="0" applyBorder="1"/>
    <xf numFmtId="0" fontId="0" fillId="0" borderId="10" xfId="0" applyBorder="1" applyAlignment="1">
      <alignment horizontal="center" vertical="center"/>
    </xf>
    <xf numFmtId="3" fontId="0" fillId="0" borderId="11" xfId="0" applyNumberFormat="1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3" fontId="0" fillId="0" borderId="2" xfId="0" applyNumberFormat="1" applyBorder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4" fontId="0" fillId="0" borderId="8" xfId="0" applyNumberFormat="1" applyBorder="1" applyAlignment="1">
      <alignment horizontal="center" vertical="center" wrapText="1"/>
    </xf>
    <xf numFmtId="4" fontId="0" fillId="0" borderId="9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" fontId="0" fillId="0" borderId="10" xfId="0" applyNumberFormat="1" applyBorder="1" applyAlignment="1">
      <alignment horizontal="center" vertical="center" wrapText="1"/>
    </xf>
    <xf numFmtId="4" fontId="0" fillId="0" borderId="11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right" vertical="center" wrapText="1"/>
    </xf>
    <xf numFmtId="3" fontId="0" fillId="0" borderId="7" xfId="0" applyNumberFormat="1" applyBorder="1" applyAlignment="1">
      <alignment horizontal="right" vertical="center" wrapText="1"/>
    </xf>
    <xf numFmtId="3" fontId="0" fillId="0" borderId="8" xfId="0" applyNumberFormat="1" applyBorder="1" applyAlignment="1">
      <alignment horizontal="right" vertical="center" wrapText="1"/>
    </xf>
    <xf numFmtId="3" fontId="0" fillId="0" borderId="9" xfId="0" applyNumberFormat="1" applyBorder="1" applyAlignment="1">
      <alignment horizontal="right" vertical="center" wrapText="1"/>
    </xf>
    <xf numFmtId="3" fontId="0" fillId="0" borderId="10" xfId="0" applyNumberFormat="1" applyBorder="1" applyAlignment="1">
      <alignment horizontal="right" vertical="center" wrapText="1"/>
    </xf>
    <xf numFmtId="3" fontId="0" fillId="0" borderId="11" xfId="0" applyNumberFormat="1" applyBorder="1" applyAlignment="1">
      <alignment horizontal="right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14" fillId="0" borderId="15" xfId="0" applyFont="1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176" fontId="0" fillId="0" borderId="0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0" fillId="0" borderId="6" xfId="0" applyBorder="1" applyAlignment="1">
      <alignment horizont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4" fontId="0" fillId="0" borderId="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3" xfId="0" applyBorder="1" applyAlignment="1">
      <alignment horizontal="center" wrapText="1"/>
    </xf>
    <xf numFmtId="3" fontId="0" fillId="0" borderId="0" xfId="0" applyNumberFormat="1" applyBorder="1" applyAlignment="1">
      <alignment horizontal="right" vertical="center" wrapText="1"/>
    </xf>
    <xf numFmtId="0" fontId="0" fillId="0" borderId="14" xfId="0" applyBorder="1" applyAlignment="1">
      <alignment horizontal="center" wrapText="1"/>
    </xf>
    <xf numFmtId="3" fontId="0" fillId="0" borderId="2" xfId="0" applyNumberFormat="1" applyBorder="1" applyAlignment="1">
      <alignment horizontal="right" vertical="center" wrapText="1"/>
    </xf>
    <xf numFmtId="177" fontId="0" fillId="0" borderId="6" xfId="3" applyNumberFormat="1" applyFont="1" applyBorder="1" applyAlignment="1">
      <alignment horizontal="center" vertical="center" wrapText="1"/>
    </xf>
    <xf numFmtId="177" fontId="0" fillId="0" borderId="1" xfId="3" applyNumberFormat="1" applyFont="1" applyBorder="1" applyAlignment="1">
      <alignment horizontal="center" vertical="center" wrapText="1"/>
    </xf>
    <xf numFmtId="9" fontId="0" fillId="0" borderId="1" xfId="3" applyNumberFormat="1" applyFont="1" applyBorder="1" applyAlignment="1">
      <alignment horizontal="right" vertical="center" wrapText="1" indent="1"/>
    </xf>
    <xf numFmtId="9" fontId="0" fillId="0" borderId="7" xfId="3" applyNumberFormat="1" applyFont="1" applyBorder="1" applyAlignment="1">
      <alignment horizontal="right" vertical="center" wrapText="1" indent="1"/>
    </xf>
    <xf numFmtId="177" fontId="0" fillId="0" borderId="8" xfId="3" applyNumberFormat="1" applyFont="1" applyBorder="1" applyAlignment="1">
      <alignment horizontal="center" vertical="center" wrapText="1"/>
    </xf>
    <xf numFmtId="177" fontId="0" fillId="0" borderId="0" xfId="3" applyNumberFormat="1" applyFont="1" applyBorder="1" applyAlignment="1">
      <alignment horizontal="center" vertical="center" wrapText="1"/>
    </xf>
    <xf numFmtId="9" fontId="0" fillId="0" borderId="0" xfId="3" applyNumberFormat="1" applyFont="1" applyBorder="1" applyAlignment="1">
      <alignment horizontal="right" vertical="center" wrapText="1" indent="1"/>
    </xf>
    <xf numFmtId="9" fontId="0" fillId="0" borderId="9" xfId="3" applyNumberFormat="1" applyFont="1" applyBorder="1" applyAlignment="1">
      <alignment horizontal="right" vertical="center" wrapText="1" indent="1"/>
    </xf>
    <xf numFmtId="177" fontId="0" fillId="0" borderId="10" xfId="3" applyNumberFormat="1" applyFont="1" applyBorder="1" applyAlignment="1">
      <alignment horizontal="center" vertical="center" wrapText="1"/>
    </xf>
    <xf numFmtId="177" fontId="0" fillId="0" borderId="2" xfId="3" applyNumberFormat="1" applyFont="1" applyBorder="1" applyAlignment="1">
      <alignment horizontal="center" vertical="center" wrapText="1"/>
    </xf>
    <xf numFmtId="9" fontId="0" fillId="0" borderId="2" xfId="3" applyNumberFormat="1" applyFont="1" applyBorder="1" applyAlignment="1">
      <alignment horizontal="right" vertical="center" wrapText="1" indent="1"/>
    </xf>
    <xf numFmtId="9" fontId="0" fillId="0" borderId="11" xfId="3" applyNumberFormat="1" applyFont="1" applyBorder="1" applyAlignment="1">
      <alignment horizontal="righ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">
    <dxf>
      <font>
        <color theme="0" tint="-0.14996795556505"/>
      </font>
    </dxf>
  </dxfs>
  <tableStyles count="0" defaultTableStyle="TableStyleMedium2" defaultPivotStyle="PivotStyleLight16"/>
  <colors>
    <mruColors>
      <color rgb="00CCCCFF"/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3"/>
  <sheetViews>
    <sheetView tabSelected="1" workbookViewId="0">
      <selection activeCell="AE2" sqref="AE2:AI21"/>
    </sheetView>
  </sheetViews>
  <sheetFormatPr defaultColWidth="10.287037037037" defaultRowHeight="14.4"/>
  <cols>
    <col min="1" max="1" width="8.57407407407407" style="266" customWidth="1"/>
    <col min="2" max="8" width="9.57407407407407" style="266" customWidth="1"/>
    <col min="9" max="9" width="10.287037037037" style="266"/>
    <col min="10" max="10" width="9.71296296296296" style="266" customWidth="1"/>
    <col min="11" max="12" width="6.13888888888889" style="266" customWidth="1"/>
    <col min="13" max="14" width="5.57407407407407" style="266" customWidth="1"/>
    <col min="15" max="16" width="6.13888888888889" style="266" customWidth="1"/>
    <col min="17" max="17" width="7.13888888888889" style="266" customWidth="1"/>
    <col min="18" max="18" width="10.287037037037" style="266"/>
    <col min="19" max="19" width="9.71296296296296" style="266" customWidth="1"/>
    <col min="20" max="21" width="7.57407407407407" style="266" customWidth="1"/>
    <col min="22" max="22" width="6.28703703703704" style="266" customWidth="1"/>
    <col min="23" max="23" width="6.42592592592593" style="266" customWidth="1"/>
    <col min="24" max="24" width="7.28703703703704" style="266" customWidth="1"/>
    <col min="25" max="25" width="6.42592592592593" style="266" customWidth="1"/>
    <col min="26" max="26" width="6.57407407407407" style="266" customWidth="1"/>
    <col min="27" max="27" width="10.287037037037" style="266"/>
    <col min="28" max="28" width="5.13888888888889" style="266" customWidth="1"/>
    <col min="29" max="35" width="11.5740740740741" style="266" customWidth="1"/>
    <col min="36" max="36" width="8" style="266" customWidth="1"/>
    <col min="37" max="16384" width="10.287037037037" style="266"/>
  </cols>
  <sheetData>
    <row r="1" ht="43.95" spans="1:36">
      <c r="A1" s="266" t="s">
        <v>0</v>
      </c>
      <c r="B1" s="159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160" t="s">
        <v>7</v>
      </c>
      <c r="J1" s="264" t="s">
        <v>8</v>
      </c>
      <c r="K1" s="159" t="s">
        <v>1</v>
      </c>
      <c r="L1" s="160" t="s">
        <v>2</v>
      </c>
      <c r="M1" s="159" t="s">
        <v>3</v>
      </c>
      <c r="N1" s="98" t="s">
        <v>4</v>
      </c>
      <c r="O1" s="98" t="s">
        <v>5</v>
      </c>
      <c r="P1" s="98" t="s">
        <v>6</v>
      </c>
      <c r="Q1" s="160" t="s">
        <v>7</v>
      </c>
      <c r="S1" s="264" t="s">
        <v>9</v>
      </c>
      <c r="T1" s="159" t="s">
        <v>1</v>
      </c>
      <c r="U1" s="160" t="s">
        <v>2</v>
      </c>
      <c r="V1" s="159" t="s">
        <v>3</v>
      </c>
      <c r="W1" s="98" t="s">
        <v>4</v>
      </c>
      <c r="X1" s="98" t="s">
        <v>5</v>
      </c>
      <c r="Y1" s="98" t="s">
        <v>6</v>
      </c>
      <c r="Z1" s="160" t="s">
        <v>7</v>
      </c>
      <c r="AB1" s="98" t="s">
        <v>10</v>
      </c>
      <c r="AC1" s="98" t="s">
        <v>1</v>
      </c>
      <c r="AD1" s="98" t="s">
        <v>2</v>
      </c>
      <c r="AE1" s="98" t="s">
        <v>3</v>
      </c>
      <c r="AF1" s="98" t="s">
        <v>4</v>
      </c>
      <c r="AG1" s="98" t="s">
        <v>5</v>
      </c>
      <c r="AH1" s="98" t="s">
        <v>6</v>
      </c>
      <c r="AI1" s="160" t="s">
        <v>7</v>
      </c>
      <c r="AJ1" s="266" t="s">
        <v>11</v>
      </c>
    </row>
    <row r="2" spans="1:36">
      <c r="A2" s="243" t="s">
        <v>12</v>
      </c>
      <c r="B2" s="243">
        <v>0.0820532</v>
      </c>
      <c r="C2" s="289">
        <v>0.1443764</v>
      </c>
      <c r="D2" s="289">
        <v>0.1737262</v>
      </c>
      <c r="E2" s="289">
        <v>0.1675444</v>
      </c>
      <c r="F2" s="289">
        <v>0.1276257</v>
      </c>
      <c r="G2" s="289">
        <v>0.1394096</v>
      </c>
      <c r="H2" s="290">
        <v>0.0621852</v>
      </c>
      <c r="J2" s="243" t="s">
        <v>12</v>
      </c>
      <c r="K2" s="227">
        <f>B2/AC2</f>
        <v>0.604695708410038</v>
      </c>
      <c r="L2" s="228">
        <f t="shared" ref="L2" si="0">C2/AD2</f>
        <v>0.864850863218035</v>
      </c>
      <c r="M2" s="227">
        <f t="shared" ref="M2:M21" si="1">D2/AE2</f>
        <v>1.05948177275013</v>
      </c>
      <c r="N2" s="265">
        <f t="shared" ref="N2:N21" si="2">E2/AF2</f>
        <v>1.00430473775396</v>
      </c>
      <c r="O2" s="265">
        <f t="shared" ref="O2:O21" si="3">F2/AG2</f>
        <v>0.76665567022553</v>
      </c>
      <c r="P2" s="265">
        <f t="shared" ref="P2:P21" si="4">G2/AH2</f>
        <v>0.874441900287917</v>
      </c>
      <c r="Q2" s="228">
        <f t="shared" ref="Q2:Q21" si="5">H2/AI2</f>
        <v>0.505131218059668</v>
      </c>
      <c r="S2" s="243" t="s">
        <v>12</v>
      </c>
      <c r="T2" s="227">
        <f>IF(T24=0,0,((1-B2)*(K24/T24))-1)</f>
        <v>-0.637894395670571</v>
      </c>
      <c r="U2" s="228">
        <f t="shared" ref="U2:Z2" si="6">IF(U24=0,0,((1-C2)*(L24/U24))-1)</f>
        <v>-0.931092977355449</v>
      </c>
      <c r="V2" s="227">
        <f t="shared" si="6"/>
        <v>-1.0635157313244</v>
      </c>
      <c r="W2" s="265">
        <f t="shared" si="6"/>
        <v>-1.02364817607857</v>
      </c>
      <c r="X2" s="265">
        <f t="shared" si="6"/>
        <v>-0.848293273789231</v>
      </c>
      <c r="Y2" s="265">
        <f t="shared" si="6"/>
        <v>-0.929186227264343</v>
      </c>
      <c r="Z2" s="228">
        <f t="shared" si="6"/>
        <v>-0.468002368488974</v>
      </c>
      <c r="AB2" s="243" t="s">
        <v>12</v>
      </c>
      <c r="AC2" s="266">
        <v>0.135693372482744</v>
      </c>
      <c r="AD2" s="266">
        <v>0.166937915125375</v>
      </c>
      <c r="AE2" s="266">
        <v>0.163972806770477</v>
      </c>
      <c r="AF2" s="266">
        <v>0.166826256714371</v>
      </c>
      <c r="AG2" s="266">
        <v>0.166470692067608</v>
      </c>
      <c r="AH2" s="266">
        <v>0.159426944150433</v>
      </c>
      <c r="AI2" s="266">
        <v>0.123107022050366</v>
      </c>
      <c r="AJ2" s="266" t="s">
        <v>12</v>
      </c>
    </row>
    <row r="3" spans="1:36">
      <c r="A3" s="267" t="s">
        <v>13</v>
      </c>
      <c r="B3" s="267">
        <v>0.0121311</v>
      </c>
      <c r="C3" s="144">
        <v>0.0101907</v>
      </c>
      <c r="D3" s="144">
        <v>0.0167558</v>
      </c>
      <c r="E3" s="144">
        <v>0.0128859</v>
      </c>
      <c r="F3" s="144">
        <v>0.0145282</v>
      </c>
      <c r="G3" s="144">
        <v>0.0135288</v>
      </c>
      <c r="H3" s="291">
        <v>0.0109444</v>
      </c>
      <c r="J3" s="267" t="s">
        <v>13</v>
      </c>
      <c r="K3" s="230">
        <f t="shared" ref="K3:K21" si="7">B3/AC3</f>
        <v>0.796724140082713</v>
      </c>
      <c r="L3" s="231">
        <f t="shared" ref="L3:L21" si="8">C3/AD3</f>
        <v>0.905881473785776</v>
      </c>
      <c r="M3" s="230">
        <f t="shared" si="1"/>
        <v>1.20822651386976</v>
      </c>
      <c r="N3" s="268">
        <f t="shared" si="2"/>
        <v>0.914544872738923</v>
      </c>
      <c r="O3" s="268">
        <f t="shared" si="3"/>
        <v>1.01656719545427</v>
      </c>
      <c r="P3" s="268">
        <f t="shared" si="4"/>
        <v>0.912567753699157</v>
      </c>
      <c r="Q3" s="231">
        <f t="shared" si="5"/>
        <v>0.807144194655531</v>
      </c>
      <c r="S3" s="267" t="s">
        <v>13</v>
      </c>
      <c r="T3" s="230">
        <f t="shared" ref="T3:T21" si="9">IF(T25=0,0,((1-B3)*(K25/T25))-1)</f>
        <v>-0.806503563393383</v>
      </c>
      <c r="U3" s="231">
        <f t="shared" ref="U3:U21" si="10">IF(U25=0,0,((1-C3)*(L25/U25))-1)</f>
        <v>-1.7090431118951</v>
      </c>
      <c r="V3" s="230">
        <f t="shared" ref="V3:V21" si="11">IF(V25=0,0,((1-D3)*(M25/V25))-1)</f>
        <v>-1.40688588872377</v>
      </c>
      <c r="W3" s="268">
        <f t="shared" ref="W3:W21" si="12">IF(W25=0,0,((1-E3)*(N25/W25))-1)</f>
        <v>-1.197349629159</v>
      </c>
      <c r="X3" s="268">
        <f t="shared" ref="X3:X21" si="13">IF(X25=0,0,((1-F3)*(O25/X25))-1)</f>
        <v>-1.69867771146442</v>
      </c>
      <c r="Y3" s="268">
        <f t="shared" ref="Y3:Y21" si="14">IF(Y25=0,0,((1-G3)*(P25/Y25))-1)</f>
        <v>-1.3728091091464</v>
      </c>
      <c r="Z3" s="231">
        <f t="shared" ref="Z3:Z21" si="15">IF(Z25=0,0,((1-H3)*(Q25/Z25))-1)</f>
        <v>-0.159075448872453</v>
      </c>
      <c r="AB3" s="267" t="s">
        <v>13</v>
      </c>
      <c r="AC3" s="266">
        <v>0.0152262237199699</v>
      </c>
      <c r="AD3" s="266">
        <v>0.0112494849435567</v>
      </c>
      <c r="AE3" s="266">
        <v>0.0138680949372099</v>
      </c>
      <c r="AF3" s="266">
        <v>0.0140899592618224</v>
      </c>
      <c r="AG3" s="266">
        <v>0.0142914310681724</v>
      </c>
      <c r="AH3" s="266">
        <v>0.0148249814275818</v>
      </c>
      <c r="AI3" s="266">
        <v>0.0135594111590814</v>
      </c>
      <c r="AJ3" s="266" t="s">
        <v>13</v>
      </c>
    </row>
    <row r="4" spans="1:36">
      <c r="A4" s="267" t="s">
        <v>14</v>
      </c>
      <c r="B4" s="267">
        <v>0.0001982</v>
      </c>
      <c r="C4" s="144">
        <v>0.0005578</v>
      </c>
      <c r="D4" s="144">
        <v>0.0009737</v>
      </c>
      <c r="E4" s="144">
        <v>0.0008139</v>
      </c>
      <c r="F4" s="144">
        <v>0.0006021</v>
      </c>
      <c r="G4" s="144">
        <v>0.0004611</v>
      </c>
      <c r="H4" s="291">
        <v>9.75e-5</v>
      </c>
      <c r="J4" s="267" t="s">
        <v>14</v>
      </c>
      <c r="K4" s="230">
        <f t="shared" si="7"/>
        <v>0.354946907840899</v>
      </c>
      <c r="L4" s="231">
        <f t="shared" si="8"/>
        <v>0.533440619847053</v>
      </c>
      <c r="M4" s="230">
        <f t="shared" si="1"/>
        <v>0.900763112413138</v>
      </c>
      <c r="N4" s="268">
        <f t="shared" si="2"/>
        <v>0.800872896642448</v>
      </c>
      <c r="O4" s="268">
        <f t="shared" si="3"/>
        <v>0.653728045613587</v>
      </c>
      <c r="P4" s="268">
        <f t="shared" si="4"/>
        <v>0.580687324412341</v>
      </c>
      <c r="Q4" s="231">
        <f t="shared" si="5"/>
        <v>0.212176236387444</v>
      </c>
      <c r="S4" s="267" t="s">
        <v>14</v>
      </c>
      <c r="T4" s="230">
        <f t="shared" si="9"/>
        <v>-0.556866780225896</v>
      </c>
      <c r="U4" s="231">
        <f t="shared" si="10"/>
        <v>-9.24789467746283</v>
      </c>
      <c r="V4" s="230">
        <f t="shared" si="11"/>
        <v>-3.53591337537537</v>
      </c>
      <c r="W4" s="268">
        <f t="shared" si="12"/>
        <v>-4.75440324371239</v>
      </c>
      <c r="X4" s="268">
        <f t="shared" si="13"/>
        <v>-11.3915730728513</v>
      </c>
      <c r="Y4" s="268">
        <f t="shared" si="14"/>
        <v>-9.26501077163491</v>
      </c>
      <c r="Z4" s="231">
        <f t="shared" si="15"/>
        <v>19.1833674810229</v>
      </c>
      <c r="AB4" s="267" t="s">
        <v>14</v>
      </c>
      <c r="AC4" s="266">
        <v>0.000558393369886295</v>
      </c>
      <c r="AD4" s="266">
        <v>0.00104566465178436</v>
      </c>
      <c r="AE4" s="266">
        <v>0.00108097232955229</v>
      </c>
      <c r="AF4" s="266">
        <v>0.00101626613088315</v>
      </c>
      <c r="AG4" s="266">
        <v>0.000921025193947233</v>
      </c>
      <c r="AH4" s="266">
        <v>0.000794059006654978</v>
      </c>
      <c r="AI4" s="266">
        <v>0.000459523656654747</v>
      </c>
      <c r="AJ4" s="266" t="s">
        <v>14</v>
      </c>
    </row>
    <row r="5" spans="1:36">
      <c r="A5" s="267" t="s">
        <v>15</v>
      </c>
      <c r="B5" s="267">
        <v>0.1009344</v>
      </c>
      <c r="C5" s="144">
        <v>0.2196602</v>
      </c>
      <c r="D5" s="144">
        <v>0.3334779</v>
      </c>
      <c r="E5" s="144">
        <v>0.3124982</v>
      </c>
      <c r="F5" s="144">
        <v>0.1863854</v>
      </c>
      <c r="G5" s="144">
        <v>0.2261472</v>
      </c>
      <c r="H5" s="291">
        <v>0.0612799</v>
      </c>
      <c r="J5" s="267" t="s">
        <v>15</v>
      </c>
      <c r="K5" s="230">
        <f t="shared" si="7"/>
        <v>0.447341053288337</v>
      </c>
      <c r="L5" s="231">
        <f t="shared" si="8"/>
        <v>0.661421942553687</v>
      </c>
      <c r="M5" s="230">
        <f t="shared" si="1"/>
        <v>0.953103512383691</v>
      </c>
      <c r="N5" s="268">
        <f t="shared" si="2"/>
        <v>0.928611479319078</v>
      </c>
      <c r="O5" s="268">
        <f t="shared" si="3"/>
        <v>0.593940587516405</v>
      </c>
      <c r="P5" s="268">
        <f t="shared" si="4"/>
        <v>0.781015426825763</v>
      </c>
      <c r="Q5" s="231">
        <f t="shared" si="5"/>
        <v>0.320797173917246</v>
      </c>
      <c r="S5" s="267" t="s">
        <v>15</v>
      </c>
      <c r="T5" s="230">
        <f t="shared" si="9"/>
        <v>-0.503572524957393</v>
      </c>
      <c r="U5" s="231">
        <f t="shared" si="10"/>
        <v>-0.757216819440444</v>
      </c>
      <c r="V5" s="230">
        <f t="shared" si="11"/>
        <v>-0.974173841630177</v>
      </c>
      <c r="W5" s="268">
        <f t="shared" si="12"/>
        <v>-0.959134873708701</v>
      </c>
      <c r="X5" s="268">
        <f t="shared" si="13"/>
        <v>-0.695280369861034</v>
      </c>
      <c r="Y5" s="268">
        <f t="shared" si="14"/>
        <v>-0.848975872591165</v>
      </c>
      <c r="Z5" s="231">
        <f t="shared" si="15"/>
        <v>-0.318615660987057</v>
      </c>
      <c r="AB5" s="267" t="s">
        <v>15</v>
      </c>
      <c r="AC5" s="266">
        <v>0.225631873618677</v>
      </c>
      <c r="AD5" s="266">
        <v>0.332102982782689</v>
      </c>
      <c r="AE5" s="266">
        <v>0.349886340431145</v>
      </c>
      <c r="AF5" s="266">
        <v>0.336522008352885</v>
      </c>
      <c r="AG5" s="266">
        <v>0.313811522427488</v>
      </c>
      <c r="AH5" s="266">
        <v>0.289555356056304</v>
      </c>
      <c r="AI5" s="266">
        <v>0.191023814990989</v>
      </c>
      <c r="AJ5" s="266" t="s">
        <v>15</v>
      </c>
    </row>
    <row r="6" spans="1:36">
      <c r="A6" s="267" t="s">
        <v>16</v>
      </c>
      <c r="B6" s="267">
        <v>0.0453148</v>
      </c>
      <c r="C6" s="144">
        <v>0.0418716</v>
      </c>
      <c r="D6" s="144">
        <v>0.0393097</v>
      </c>
      <c r="E6" s="144">
        <v>0.0488253</v>
      </c>
      <c r="F6" s="144">
        <v>0.0433693</v>
      </c>
      <c r="G6" s="144">
        <v>0.0556264</v>
      </c>
      <c r="H6" s="291">
        <v>0.0411768</v>
      </c>
      <c r="J6" s="267" t="s">
        <v>16</v>
      </c>
      <c r="K6" s="230">
        <f t="shared" si="7"/>
        <v>1.12838712966823</v>
      </c>
      <c r="L6" s="231">
        <f t="shared" si="8"/>
        <v>1.12085918120607</v>
      </c>
      <c r="M6" s="230">
        <f t="shared" si="1"/>
        <v>1.49512453667373</v>
      </c>
      <c r="N6" s="268">
        <f t="shared" si="2"/>
        <v>1.58851872160766</v>
      </c>
      <c r="O6" s="268">
        <f t="shared" si="3"/>
        <v>1.25024216967319</v>
      </c>
      <c r="P6" s="268">
        <f t="shared" si="4"/>
        <v>1.37398457494911</v>
      </c>
      <c r="Q6" s="231">
        <f t="shared" si="5"/>
        <v>0.927535089801782</v>
      </c>
      <c r="S6" s="267" t="s">
        <v>16</v>
      </c>
      <c r="T6" s="230">
        <f t="shared" si="9"/>
        <v>-1.12524848902713</v>
      </c>
      <c r="U6" s="231">
        <f t="shared" si="10"/>
        <v>-1.34963866958306</v>
      </c>
      <c r="V6" s="230">
        <f t="shared" si="11"/>
        <v>-1.57984058672639</v>
      </c>
      <c r="W6" s="268">
        <f t="shared" si="12"/>
        <v>-1.68421827986754</v>
      </c>
      <c r="X6" s="268">
        <f t="shared" si="13"/>
        <v>-1.51228623796923</v>
      </c>
      <c r="Y6" s="268">
        <f t="shared" si="14"/>
        <v>-1.51410494774529</v>
      </c>
      <c r="Z6" s="231">
        <f t="shared" si="15"/>
        <v>-0.738002205377876</v>
      </c>
      <c r="AB6" s="267" t="s">
        <v>16</v>
      </c>
      <c r="AC6" s="266">
        <v>0.0401589124942637</v>
      </c>
      <c r="AD6" s="266">
        <v>0.0373566998442615</v>
      </c>
      <c r="AE6" s="266">
        <v>0.0262919235393287</v>
      </c>
      <c r="AF6" s="266">
        <v>0.03073637051667</v>
      </c>
      <c r="AG6" s="266">
        <v>0.0346887195552974</v>
      </c>
      <c r="AH6" s="266">
        <v>0.0404854617833393</v>
      </c>
      <c r="AI6" s="266">
        <v>0.0443937921624072</v>
      </c>
      <c r="AJ6" s="266" t="s">
        <v>16</v>
      </c>
    </row>
    <row r="7" spans="1:36">
      <c r="A7" s="267" t="s">
        <v>17</v>
      </c>
      <c r="B7" s="267">
        <v>0.0269556</v>
      </c>
      <c r="C7" s="144">
        <v>0.0349151</v>
      </c>
      <c r="D7" s="144">
        <v>0.0473511</v>
      </c>
      <c r="E7" s="144">
        <v>0.0370152</v>
      </c>
      <c r="F7" s="144">
        <v>0.0524851</v>
      </c>
      <c r="G7" s="144">
        <v>0.0485892</v>
      </c>
      <c r="H7" s="291">
        <v>0.0195122</v>
      </c>
      <c r="J7" s="267" t="s">
        <v>17</v>
      </c>
      <c r="K7" s="230">
        <f t="shared" si="7"/>
        <v>0.626435898717174</v>
      </c>
      <c r="L7" s="231">
        <f t="shared" si="8"/>
        <v>0.874464621055748</v>
      </c>
      <c r="M7" s="230">
        <f t="shared" si="1"/>
        <v>1.15077894988322</v>
      </c>
      <c r="N7" s="268">
        <f t="shared" si="2"/>
        <v>0.808820623834407</v>
      </c>
      <c r="O7" s="268">
        <f t="shared" si="3"/>
        <v>1.13431086732546</v>
      </c>
      <c r="P7" s="268">
        <f t="shared" si="4"/>
        <v>1.0577608021773</v>
      </c>
      <c r="Q7" s="231">
        <f t="shared" si="5"/>
        <v>0.512121388844157</v>
      </c>
      <c r="S7" s="267" t="s">
        <v>17</v>
      </c>
      <c r="T7" s="230">
        <f t="shared" si="9"/>
        <v>-0.639055148250494</v>
      </c>
      <c r="U7" s="231">
        <f t="shared" si="10"/>
        <v>-1.09922164608875</v>
      </c>
      <c r="V7" s="230">
        <f t="shared" si="11"/>
        <v>-1.20965033907588</v>
      </c>
      <c r="W7" s="268">
        <f t="shared" si="12"/>
        <v>-0.900506966025247</v>
      </c>
      <c r="X7" s="268">
        <f t="shared" si="13"/>
        <v>-1.32990053379881</v>
      </c>
      <c r="Y7" s="268">
        <f t="shared" si="14"/>
        <v>-1.19784164748933</v>
      </c>
      <c r="Z7" s="231">
        <f t="shared" si="15"/>
        <v>-0.292258308703471</v>
      </c>
      <c r="AB7" s="267" t="s">
        <v>17</v>
      </c>
      <c r="AC7" s="266">
        <v>0.0430301010130488</v>
      </c>
      <c r="AD7" s="266">
        <v>0.0399274014743406</v>
      </c>
      <c r="AE7" s="266">
        <v>0.0411469987392496</v>
      </c>
      <c r="AF7" s="266">
        <v>0.0457644116745202</v>
      </c>
      <c r="AG7" s="266">
        <v>0.0462704726824599</v>
      </c>
      <c r="AH7" s="266">
        <v>0.0459359052632538</v>
      </c>
      <c r="AI7" s="266">
        <v>0.0381007324143178</v>
      </c>
      <c r="AJ7" s="266" t="s">
        <v>17</v>
      </c>
    </row>
    <row r="8" spans="1:36">
      <c r="A8" s="267" t="s">
        <v>18</v>
      </c>
      <c r="B8" s="267">
        <v>0.1445375</v>
      </c>
      <c r="C8" s="144">
        <v>0.0989986</v>
      </c>
      <c r="D8" s="144">
        <v>0.0330414</v>
      </c>
      <c r="E8" s="144">
        <v>0.0344071</v>
      </c>
      <c r="F8" s="144">
        <v>0.0557996</v>
      </c>
      <c r="G8" s="144">
        <v>0.0512764</v>
      </c>
      <c r="H8" s="291">
        <v>0.1825572</v>
      </c>
      <c r="J8" s="267" t="s">
        <v>18</v>
      </c>
      <c r="K8" s="230">
        <f t="shared" si="7"/>
        <v>2.37576013446674</v>
      </c>
      <c r="L8" s="231">
        <f t="shared" si="8"/>
        <v>2.24445933387293</v>
      </c>
      <c r="M8" s="230">
        <f t="shared" si="1"/>
        <v>1.33734224347324</v>
      </c>
      <c r="N8" s="268">
        <f t="shared" si="2"/>
        <v>1.27004280132967</v>
      </c>
      <c r="O8" s="268">
        <f t="shared" si="3"/>
        <v>1.73164793118082</v>
      </c>
      <c r="P8" s="268">
        <f t="shared" si="4"/>
        <v>1.40804871796054</v>
      </c>
      <c r="Q8" s="231">
        <f t="shared" si="5"/>
        <v>2.16039166639925</v>
      </c>
      <c r="S8" s="267" t="s">
        <v>18</v>
      </c>
      <c r="T8" s="230">
        <f t="shared" si="9"/>
        <v>-2.17849653890656</v>
      </c>
      <c r="U8" s="231">
        <f t="shared" si="10"/>
        <v>-2.30749855970455</v>
      </c>
      <c r="V8" s="230">
        <f t="shared" si="11"/>
        <v>-1.43778222857783</v>
      </c>
      <c r="W8" s="268">
        <f t="shared" si="12"/>
        <v>-1.40406624476843</v>
      </c>
      <c r="X8" s="268">
        <f t="shared" si="13"/>
        <v>-1.98077978220858</v>
      </c>
      <c r="Y8" s="268">
        <f t="shared" si="14"/>
        <v>-1.5668546388537</v>
      </c>
      <c r="Z8" s="231">
        <f t="shared" si="15"/>
        <v>-1.8623260183087</v>
      </c>
      <c r="AB8" s="267" t="s">
        <v>18</v>
      </c>
      <c r="AC8" s="266">
        <v>0.060838422996959</v>
      </c>
      <c r="AD8" s="266">
        <v>0.0441079945205212</v>
      </c>
      <c r="AE8" s="266">
        <v>0.024706764600651</v>
      </c>
      <c r="AF8" s="266">
        <v>0.0270912916981833</v>
      </c>
      <c r="AG8" s="266">
        <v>0.0322234092711617</v>
      </c>
      <c r="AH8" s="266">
        <v>0.0364166376815926</v>
      </c>
      <c r="AI8" s="266">
        <v>0.0845018997431471</v>
      </c>
      <c r="AJ8" s="266" t="s">
        <v>18</v>
      </c>
    </row>
    <row r="9" spans="1:36">
      <c r="A9" s="267" t="s">
        <v>19</v>
      </c>
      <c r="B9" s="267">
        <v>0.0186356</v>
      </c>
      <c r="C9" s="144">
        <v>0.0152416</v>
      </c>
      <c r="D9" s="144">
        <v>0.0085444</v>
      </c>
      <c r="E9" s="144">
        <v>0.0113368</v>
      </c>
      <c r="F9" s="144">
        <v>0.0128215</v>
      </c>
      <c r="G9" s="144">
        <v>0.0159069</v>
      </c>
      <c r="H9" s="291">
        <v>0.0184083</v>
      </c>
      <c r="J9" s="267" t="s">
        <v>19</v>
      </c>
      <c r="K9" s="230">
        <f t="shared" si="7"/>
        <v>1.52659957442401</v>
      </c>
      <c r="L9" s="231">
        <f t="shared" si="8"/>
        <v>1.4186744436791</v>
      </c>
      <c r="M9" s="230">
        <f t="shared" si="1"/>
        <v>1.35558446910889</v>
      </c>
      <c r="N9" s="268">
        <f t="shared" si="2"/>
        <v>1.5692897796622</v>
      </c>
      <c r="O9" s="268">
        <f t="shared" si="3"/>
        <v>1.53403993359329</v>
      </c>
      <c r="P9" s="268">
        <f t="shared" si="4"/>
        <v>1.608594310817</v>
      </c>
      <c r="Q9" s="231">
        <f t="shared" si="5"/>
        <v>1.17015744887274</v>
      </c>
      <c r="S9" s="267" t="s">
        <v>19</v>
      </c>
      <c r="T9" s="230">
        <f t="shared" si="9"/>
        <v>-1.52584993783257</v>
      </c>
      <c r="U9" s="231">
        <f t="shared" si="10"/>
        <v>-2.24798861776157</v>
      </c>
      <c r="V9" s="230">
        <f t="shared" si="11"/>
        <v>-1.80101858050052</v>
      </c>
      <c r="W9" s="268">
        <f t="shared" si="12"/>
        <v>-2.11312707508224</v>
      </c>
      <c r="X9" s="268">
        <f t="shared" si="13"/>
        <v>-2.69597486608664</v>
      </c>
      <c r="Y9" s="268">
        <f t="shared" si="14"/>
        <v>-2.28546634509929</v>
      </c>
      <c r="Z9" s="231">
        <f t="shared" si="15"/>
        <v>-0.610847692353174</v>
      </c>
      <c r="AB9" s="267" t="s">
        <v>19</v>
      </c>
      <c r="AC9" s="266">
        <v>0.0122072613619268</v>
      </c>
      <c r="AD9" s="266">
        <v>0.01074355012731</v>
      </c>
      <c r="AE9" s="266">
        <v>0.00630311145834885</v>
      </c>
      <c r="AF9" s="266">
        <v>0.00722415971028649</v>
      </c>
      <c r="AG9" s="266">
        <v>0.00835799624196697</v>
      </c>
      <c r="AH9" s="266">
        <v>0.00988869592104982</v>
      </c>
      <c r="AI9" s="266">
        <v>0.0157314727327793</v>
      </c>
      <c r="AJ9" s="266" t="s">
        <v>19</v>
      </c>
    </row>
    <row r="10" spans="1:36">
      <c r="A10" s="267" t="s">
        <v>20</v>
      </c>
      <c r="B10" s="267">
        <v>0.0897724</v>
      </c>
      <c r="C10" s="144">
        <v>0.0687347</v>
      </c>
      <c r="D10" s="144">
        <v>0.0384991</v>
      </c>
      <c r="E10" s="144">
        <v>0.0339502</v>
      </c>
      <c r="F10" s="144">
        <v>0.0261937</v>
      </c>
      <c r="G10" s="144">
        <v>0.0353616</v>
      </c>
      <c r="H10" s="291">
        <v>0.1131543</v>
      </c>
      <c r="J10" s="267" t="s">
        <v>20</v>
      </c>
      <c r="K10" s="230">
        <f t="shared" si="7"/>
        <v>1.77020430489713</v>
      </c>
      <c r="L10" s="231">
        <f t="shared" si="8"/>
        <v>1.37337009716524</v>
      </c>
      <c r="M10" s="230">
        <f t="shared" si="1"/>
        <v>0.748369596311687</v>
      </c>
      <c r="N10" s="268">
        <f t="shared" si="2"/>
        <v>0.750279711776798</v>
      </c>
      <c r="O10" s="268">
        <f t="shared" si="3"/>
        <v>0.621011135829252</v>
      </c>
      <c r="P10" s="268">
        <f t="shared" si="4"/>
        <v>0.890229983981797</v>
      </c>
      <c r="Q10" s="231">
        <f t="shared" si="5"/>
        <v>1.90052096510213</v>
      </c>
      <c r="S10" s="267" t="s">
        <v>20</v>
      </c>
      <c r="T10" s="230">
        <f t="shared" si="9"/>
        <v>-1.70308539144177</v>
      </c>
      <c r="U10" s="231">
        <f t="shared" si="10"/>
        <v>-1.51735387505553</v>
      </c>
      <c r="V10" s="230">
        <f t="shared" si="11"/>
        <v>-0.81134677435527</v>
      </c>
      <c r="W10" s="268">
        <f t="shared" si="12"/>
        <v>-0.844602941627483</v>
      </c>
      <c r="X10" s="268">
        <f t="shared" si="13"/>
        <v>-0.859401228895835</v>
      </c>
      <c r="Y10" s="268">
        <f t="shared" si="14"/>
        <v>-1.06165079435908</v>
      </c>
      <c r="Z10" s="231">
        <f t="shared" si="15"/>
        <v>-1.66585226967778</v>
      </c>
      <c r="AB10" s="267" t="s">
        <v>20</v>
      </c>
      <c r="AC10" s="266">
        <v>0.0507130164307316</v>
      </c>
      <c r="AD10" s="266">
        <v>0.0500481990556478</v>
      </c>
      <c r="AE10" s="266">
        <v>0.0514439659090127</v>
      </c>
      <c r="AF10" s="266">
        <v>0.0452500573680712</v>
      </c>
      <c r="AG10" s="266">
        <v>0.0421791148157479</v>
      </c>
      <c r="AH10" s="266">
        <v>0.0397218703439257</v>
      </c>
      <c r="AI10" s="266">
        <v>0.0595385697278638</v>
      </c>
      <c r="AJ10" s="266" t="s">
        <v>20</v>
      </c>
    </row>
    <row r="11" spans="1:36">
      <c r="A11" s="267" t="s">
        <v>21</v>
      </c>
      <c r="B11" s="267">
        <v>0.012832</v>
      </c>
      <c r="C11" s="144">
        <v>0.0219682</v>
      </c>
      <c r="D11" s="144">
        <v>0.042856</v>
      </c>
      <c r="E11" s="144">
        <v>0.033251</v>
      </c>
      <c r="F11" s="144">
        <v>0.0218009</v>
      </c>
      <c r="G11" s="144">
        <v>0.0235227</v>
      </c>
      <c r="H11" s="291">
        <v>0.0094612</v>
      </c>
      <c r="J11" s="267" t="s">
        <v>21</v>
      </c>
      <c r="K11" s="230">
        <f t="shared" si="7"/>
        <v>0.385719311450105</v>
      </c>
      <c r="L11" s="231">
        <f t="shared" si="8"/>
        <v>0.510672500738804</v>
      </c>
      <c r="M11" s="230">
        <f t="shared" si="1"/>
        <v>0.707831702388216</v>
      </c>
      <c r="N11" s="268">
        <f t="shared" si="2"/>
        <v>0.643414704418264</v>
      </c>
      <c r="O11" s="268">
        <f t="shared" si="3"/>
        <v>0.487706994671802</v>
      </c>
      <c r="P11" s="268">
        <f t="shared" si="4"/>
        <v>0.61225275832281</v>
      </c>
      <c r="Q11" s="231">
        <f t="shared" si="5"/>
        <v>0.380286382678758</v>
      </c>
      <c r="S11" s="267" t="s">
        <v>21</v>
      </c>
      <c r="T11" s="230">
        <f t="shared" si="9"/>
        <v>-0.396948328816857</v>
      </c>
      <c r="U11" s="231">
        <f t="shared" si="10"/>
        <v>-0.728706219261416</v>
      </c>
      <c r="V11" s="230">
        <f t="shared" si="11"/>
        <v>-0.76542552629583</v>
      </c>
      <c r="W11" s="268">
        <f t="shared" si="12"/>
        <v>-0.730490584407015</v>
      </c>
      <c r="X11" s="268">
        <f t="shared" si="13"/>
        <v>-0.715423391934076</v>
      </c>
      <c r="Y11" s="268">
        <f t="shared" si="14"/>
        <v>-0.796715553003852</v>
      </c>
      <c r="Z11" s="231">
        <f t="shared" si="15"/>
        <v>-0.0312629160241786</v>
      </c>
      <c r="AB11" s="267" t="s">
        <v>21</v>
      </c>
      <c r="AC11" s="266">
        <v>0.03326771468029</v>
      </c>
      <c r="AD11" s="266">
        <v>0.04301817694945</v>
      </c>
      <c r="AE11" s="266">
        <v>0.0605454656176099</v>
      </c>
      <c r="AF11" s="266">
        <v>0.0516789556901152</v>
      </c>
      <c r="AG11" s="266">
        <v>0.0447008147067292</v>
      </c>
      <c r="AH11" s="266">
        <v>0.0384199167422904</v>
      </c>
      <c r="AI11" s="266">
        <v>0.0248791448522421</v>
      </c>
      <c r="AJ11" s="266" t="s">
        <v>21</v>
      </c>
    </row>
    <row r="12" spans="1:36">
      <c r="A12" s="267" t="s">
        <v>22</v>
      </c>
      <c r="B12" s="267">
        <v>0.0313006</v>
      </c>
      <c r="C12" s="144">
        <v>0.054291</v>
      </c>
      <c r="D12" s="144">
        <v>0.030967</v>
      </c>
      <c r="E12" s="144">
        <v>0.0463624</v>
      </c>
      <c r="F12" s="144">
        <v>0.0288599</v>
      </c>
      <c r="G12" s="144">
        <v>0.0175927</v>
      </c>
      <c r="H12" s="291">
        <v>0.0290268</v>
      </c>
      <c r="J12" s="267" t="s">
        <v>22</v>
      </c>
      <c r="K12" s="230">
        <f t="shared" si="7"/>
        <v>1.31125577622658</v>
      </c>
      <c r="L12" s="231">
        <f t="shared" si="8"/>
        <v>1.47656617705745</v>
      </c>
      <c r="M12" s="230">
        <f t="shared" si="1"/>
        <v>1.67115367627581</v>
      </c>
      <c r="N12" s="268">
        <f t="shared" si="2"/>
        <v>2.23005309786126</v>
      </c>
      <c r="O12" s="268">
        <f t="shared" si="3"/>
        <v>1.26230074101326</v>
      </c>
      <c r="P12" s="268">
        <f t="shared" si="4"/>
        <v>0.671526462977224</v>
      </c>
      <c r="Q12" s="231">
        <f t="shared" si="5"/>
        <v>0.871650618065884</v>
      </c>
      <c r="S12" s="267" t="s">
        <v>22</v>
      </c>
      <c r="T12" s="230">
        <f t="shared" si="9"/>
        <v>-1.30608856893576</v>
      </c>
      <c r="U12" s="231">
        <f t="shared" si="10"/>
        <v>-1.68519560236299</v>
      </c>
      <c r="V12" s="230">
        <f t="shared" si="11"/>
        <v>-1.79947238572975</v>
      </c>
      <c r="W12" s="268">
        <f t="shared" si="12"/>
        <v>-2.35746635634243</v>
      </c>
      <c r="X12" s="268">
        <f t="shared" si="13"/>
        <v>-1.6750632631989</v>
      </c>
      <c r="Y12" s="268">
        <f t="shared" si="14"/>
        <v>-0.936008804717344</v>
      </c>
      <c r="Z12" s="231">
        <f t="shared" si="15"/>
        <v>-0.615478776687426</v>
      </c>
      <c r="AB12" s="267" t="s">
        <v>22</v>
      </c>
      <c r="AC12" s="266">
        <v>0.0238707051419627</v>
      </c>
      <c r="AD12" s="266">
        <v>0.0367684163727717</v>
      </c>
      <c r="AE12" s="266">
        <v>0.0185303125856207</v>
      </c>
      <c r="AF12" s="266">
        <v>0.0207898188812024</v>
      </c>
      <c r="AG12" s="266">
        <v>0.0228629351645899</v>
      </c>
      <c r="AH12" s="266">
        <v>0.0261980740446214</v>
      </c>
      <c r="AI12" s="266">
        <v>0.0333009572853948</v>
      </c>
      <c r="AJ12" s="266" t="s">
        <v>22</v>
      </c>
    </row>
    <row r="13" spans="1:36">
      <c r="A13" s="267" t="s">
        <v>23</v>
      </c>
      <c r="B13" s="267">
        <v>0.0383362</v>
      </c>
      <c r="C13" s="144">
        <v>0.0249249</v>
      </c>
      <c r="D13" s="144">
        <v>0.0028751</v>
      </c>
      <c r="E13" s="144">
        <v>0.0051592</v>
      </c>
      <c r="F13" s="144">
        <v>0.0046214</v>
      </c>
      <c r="G13" s="144">
        <v>0.009557</v>
      </c>
      <c r="H13" s="291">
        <v>0.0504283</v>
      </c>
      <c r="J13" s="267" t="s">
        <v>23</v>
      </c>
      <c r="K13" s="230">
        <f t="shared" si="7"/>
        <v>3.13455578325534</v>
      </c>
      <c r="L13" s="231">
        <f t="shared" si="8"/>
        <v>3.03767400712058</v>
      </c>
      <c r="M13" s="230">
        <f t="shared" si="1"/>
        <v>1.5272769137773</v>
      </c>
      <c r="N13" s="268">
        <f t="shared" si="2"/>
        <v>2.05644928805845</v>
      </c>
      <c r="O13" s="268">
        <f t="shared" si="3"/>
        <v>1.20225766889895</v>
      </c>
      <c r="P13" s="268">
        <f t="shared" si="4"/>
        <v>1.84331855319738</v>
      </c>
      <c r="Q13" s="231">
        <f t="shared" si="5"/>
        <v>2.56993607362524</v>
      </c>
      <c r="S13" s="267" t="s">
        <v>23</v>
      </c>
      <c r="T13" s="230">
        <f t="shared" si="9"/>
        <v>-3.06158798978766</v>
      </c>
      <c r="U13" s="231">
        <f t="shared" si="10"/>
        <v>-4.07034335498018</v>
      </c>
      <c r="V13" s="230">
        <f t="shared" si="11"/>
        <v>-3.03595678763277</v>
      </c>
      <c r="W13" s="268">
        <f t="shared" si="12"/>
        <v>-3.64546869307611</v>
      </c>
      <c r="X13" s="268">
        <f t="shared" si="13"/>
        <v>-3.76375026680408</v>
      </c>
      <c r="Y13" s="268">
        <f t="shared" si="14"/>
        <v>-3.15317668473394</v>
      </c>
      <c r="Z13" s="231">
        <f t="shared" si="15"/>
        <v>-2.0594184122564</v>
      </c>
      <c r="AB13" s="267" t="s">
        <v>23</v>
      </c>
      <c r="AC13" s="266">
        <v>0.012230185918142</v>
      </c>
      <c r="AD13" s="266">
        <v>0.00820525834621286</v>
      </c>
      <c r="AE13" s="266">
        <v>0.00188250079213809</v>
      </c>
      <c r="AF13" s="266">
        <v>0.00250879028719981</v>
      </c>
      <c r="AG13" s="266">
        <v>0.00384393472343776</v>
      </c>
      <c r="AH13" s="266">
        <v>0.00518467086626055</v>
      </c>
      <c r="AI13" s="266">
        <v>0.0196223947037189</v>
      </c>
      <c r="AJ13" s="266" t="s">
        <v>23</v>
      </c>
    </row>
    <row r="14" spans="1:36">
      <c r="A14" s="267" t="s">
        <v>24</v>
      </c>
      <c r="B14" s="267">
        <v>0.0531636</v>
      </c>
      <c r="C14" s="144">
        <v>0.0580241</v>
      </c>
      <c r="D14" s="144">
        <v>0.0190911</v>
      </c>
      <c r="E14" s="144">
        <v>0.0313145</v>
      </c>
      <c r="F14" s="144">
        <v>0.0540405</v>
      </c>
      <c r="G14" s="144">
        <v>0.0530639</v>
      </c>
      <c r="H14" s="291">
        <v>0.053706</v>
      </c>
      <c r="J14" s="267" t="s">
        <v>24</v>
      </c>
      <c r="K14" s="230">
        <f t="shared" si="7"/>
        <v>1.35634853864284</v>
      </c>
      <c r="L14" s="231">
        <f t="shared" si="8"/>
        <v>1.53796248480476</v>
      </c>
      <c r="M14" s="230">
        <f t="shared" si="1"/>
        <v>0.75365890190486</v>
      </c>
      <c r="N14" s="268">
        <f t="shared" si="2"/>
        <v>1.25310607344076</v>
      </c>
      <c r="O14" s="268">
        <f t="shared" si="3"/>
        <v>1.77850346866293</v>
      </c>
      <c r="P14" s="268">
        <f t="shared" si="4"/>
        <v>1.43670015481355</v>
      </c>
      <c r="Q14" s="231">
        <f t="shared" si="5"/>
        <v>1.12234793556936</v>
      </c>
      <c r="S14" s="267" t="s">
        <v>24</v>
      </c>
      <c r="T14" s="230">
        <f t="shared" si="9"/>
        <v>-1.34012750630289</v>
      </c>
      <c r="U14" s="231">
        <f t="shared" si="10"/>
        <v>-1.73438311342314</v>
      </c>
      <c r="V14" s="230">
        <f t="shared" si="11"/>
        <v>-0.86876870651379</v>
      </c>
      <c r="W14" s="268">
        <f t="shared" si="12"/>
        <v>-1.40104842840922</v>
      </c>
      <c r="X14" s="268">
        <f t="shared" si="13"/>
        <v>-2.04450334310633</v>
      </c>
      <c r="Y14" s="268">
        <f t="shared" si="14"/>
        <v>-1.59040203861404</v>
      </c>
      <c r="Z14" s="231">
        <f t="shared" si="15"/>
        <v>-0.939505568497596</v>
      </c>
      <c r="AB14" s="267" t="s">
        <v>24</v>
      </c>
      <c r="AC14" s="266">
        <v>0.0391961199391973</v>
      </c>
      <c r="AD14" s="266">
        <v>0.0377279033612878</v>
      </c>
      <c r="AE14" s="266">
        <v>0.0253312207309534</v>
      </c>
      <c r="AF14" s="266">
        <v>0.0249895046107447</v>
      </c>
      <c r="AG14" s="266">
        <v>0.0303853779046197</v>
      </c>
      <c r="AH14" s="266">
        <v>0.0369345683037714</v>
      </c>
      <c r="AI14" s="266">
        <v>0.0478514712754876</v>
      </c>
      <c r="AJ14" s="266" t="s">
        <v>24</v>
      </c>
    </row>
    <row r="15" spans="1:36">
      <c r="A15" s="267" t="s">
        <v>25</v>
      </c>
      <c r="B15" s="267">
        <v>0.0143815</v>
      </c>
      <c r="C15" s="144">
        <v>0.0178744</v>
      </c>
      <c r="D15" s="144">
        <v>0.0261241</v>
      </c>
      <c r="E15" s="144">
        <v>0.0259399</v>
      </c>
      <c r="F15" s="144">
        <v>0.0278487</v>
      </c>
      <c r="G15" s="144">
        <v>0.0288999</v>
      </c>
      <c r="H15" s="291">
        <v>0.0090423</v>
      </c>
      <c r="J15" s="267" t="s">
        <v>25</v>
      </c>
      <c r="K15" s="230">
        <f t="shared" si="7"/>
        <v>0.702884005270112</v>
      </c>
      <c r="L15" s="231">
        <f t="shared" si="8"/>
        <v>0.777000041341209</v>
      </c>
      <c r="M15" s="230">
        <f t="shared" si="1"/>
        <v>1.39751740567965</v>
      </c>
      <c r="N15" s="268">
        <f t="shared" si="2"/>
        <v>1.27420341327499</v>
      </c>
      <c r="O15" s="268">
        <f t="shared" si="3"/>
        <v>1.24261199718145</v>
      </c>
      <c r="P15" s="268">
        <f t="shared" si="4"/>
        <v>1.16393086660876</v>
      </c>
      <c r="Q15" s="231">
        <f t="shared" si="5"/>
        <v>0.457833863452295</v>
      </c>
      <c r="S15" s="267" t="s">
        <v>25</v>
      </c>
      <c r="T15" s="230">
        <f t="shared" si="9"/>
        <v>-0.712585833582901</v>
      </c>
      <c r="U15" s="231">
        <f t="shared" si="10"/>
        <v>-1.17022728859826</v>
      </c>
      <c r="V15" s="230">
        <f t="shared" si="11"/>
        <v>-1.53566966229931</v>
      </c>
      <c r="W15" s="268">
        <f t="shared" si="12"/>
        <v>-1.45948328925275</v>
      </c>
      <c r="X15" s="268">
        <f t="shared" si="13"/>
        <v>-1.66510328125795</v>
      </c>
      <c r="Y15" s="268">
        <f t="shared" si="14"/>
        <v>-1.42901369381528</v>
      </c>
      <c r="Z15" s="231">
        <f t="shared" si="15"/>
        <v>-0.0154984313523786</v>
      </c>
      <c r="AB15" s="267" t="s">
        <v>25</v>
      </c>
      <c r="AC15" s="266">
        <v>0.0204607017547274</v>
      </c>
      <c r="AD15" s="266">
        <v>0.0230043745804007</v>
      </c>
      <c r="AE15" s="266">
        <v>0.0186932197723113</v>
      </c>
      <c r="AF15" s="266">
        <v>0.0203577385916182</v>
      </c>
      <c r="AG15" s="266">
        <v>0.0224114205103183</v>
      </c>
      <c r="AH15" s="266">
        <v>0.0248295674847106</v>
      </c>
      <c r="AI15" s="266">
        <v>0.0197501773499596</v>
      </c>
      <c r="AJ15" s="266" t="s">
        <v>25</v>
      </c>
    </row>
    <row r="16" spans="1:36">
      <c r="A16" s="267" t="s">
        <v>26</v>
      </c>
      <c r="B16" s="267">
        <v>0.0345623</v>
      </c>
      <c r="C16" s="144">
        <v>0.0286103</v>
      </c>
      <c r="D16" s="144">
        <v>0.0191567</v>
      </c>
      <c r="E16" s="144">
        <v>0.0288359</v>
      </c>
      <c r="F16" s="144">
        <v>0.0307309</v>
      </c>
      <c r="G16" s="144">
        <v>0.043504</v>
      </c>
      <c r="H16" s="291">
        <v>0.0332493</v>
      </c>
      <c r="J16" s="267" t="s">
        <v>26</v>
      </c>
      <c r="K16" s="230">
        <f t="shared" si="7"/>
        <v>1.21639217388429</v>
      </c>
      <c r="L16" s="231">
        <f t="shared" si="8"/>
        <v>1.69837937401929</v>
      </c>
      <c r="M16" s="230">
        <f t="shared" si="1"/>
        <v>1.48878231315383</v>
      </c>
      <c r="N16" s="268">
        <f t="shared" si="2"/>
        <v>1.76369957846194</v>
      </c>
      <c r="O16" s="268">
        <f t="shared" si="3"/>
        <v>1.6630947664526</v>
      </c>
      <c r="P16" s="268">
        <f t="shared" si="4"/>
        <v>1.82714938217547</v>
      </c>
      <c r="Q16" s="231">
        <f t="shared" si="5"/>
        <v>1.05499812348886</v>
      </c>
      <c r="S16" s="267" t="s">
        <v>26</v>
      </c>
      <c r="T16" s="230">
        <f t="shared" si="9"/>
        <v>-1.21274509573817</v>
      </c>
      <c r="U16" s="231">
        <f t="shared" si="10"/>
        <v>-2.20413819441576</v>
      </c>
      <c r="V16" s="230">
        <f t="shared" si="11"/>
        <v>-1.69675728739874</v>
      </c>
      <c r="W16" s="268">
        <f t="shared" si="12"/>
        <v>-1.98052409867263</v>
      </c>
      <c r="X16" s="268">
        <f t="shared" si="13"/>
        <v>-2.16179109088282</v>
      </c>
      <c r="Y16" s="268">
        <f t="shared" si="14"/>
        <v>-2.06830936913006</v>
      </c>
      <c r="Z16" s="231">
        <f t="shared" si="15"/>
        <v>-0.779745097157419</v>
      </c>
      <c r="AB16" s="267" t="s">
        <v>26</v>
      </c>
      <c r="AC16" s="266">
        <v>0.0284137803103687</v>
      </c>
      <c r="AD16" s="266">
        <v>0.0168456473492683</v>
      </c>
      <c r="AE16" s="266">
        <v>0.0128673613534664</v>
      </c>
      <c r="AF16" s="266">
        <v>0.0163496665487366</v>
      </c>
      <c r="AG16" s="266">
        <v>0.0184781412460033</v>
      </c>
      <c r="AH16" s="266">
        <v>0.0238097664177861</v>
      </c>
      <c r="AI16" s="266">
        <v>0.0315159802275715</v>
      </c>
      <c r="AJ16" s="266" t="s">
        <v>26</v>
      </c>
    </row>
    <row r="17" spans="1:36">
      <c r="A17" s="267" t="s">
        <v>27</v>
      </c>
      <c r="B17" s="267">
        <v>0.0348405</v>
      </c>
      <c r="C17" s="144">
        <v>0.0252928</v>
      </c>
      <c r="D17" s="144">
        <v>0.0046215</v>
      </c>
      <c r="E17" s="144">
        <v>0.0114995</v>
      </c>
      <c r="F17" s="144">
        <v>0.0329762</v>
      </c>
      <c r="G17" s="144">
        <v>0.0375609</v>
      </c>
      <c r="H17" s="291">
        <v>0.0318685</v>
      </c>
      <c r="J17" s="267" t="s">
        <v>27</v>
      </c>
      <c r="K17" s="230">
        <f t="shared" si="7"/>
        <v>1.36785666051934</v>
      </c>
      <c r="L17" s="231">
        <f t="shared" si="8"/>
        <v>2.54603911421165</v>
      </c>
      <c r="M17" s="230">
        <f t="shared" si="1"/>
        <v>1.15684957721971</v>
      </c>
      <c r="N17" s="268">
        <f t="shared" si="2"/>
        <v>1.64269315770483</v>
      </c>
      <c r="O17" s="268">
        <f t="shared" si="3"/>
        <v>2.50357386535822</v>
      </c>
      <c r="P17" s="268">
        <f t="shared" si="4"/>
        <v>2.20989528855005</v>
      </c>
      <c r="Q17" s="231">
        <f t="shared" si="5"/>
        <v>1.02832471023052</v>
      </c>
      <c r="S17" s="267" t="s">
        <v>27</v>
      </c>
      <c r="T17" s="230">
        <f t="shared" si="9"/>
        <v>-1.35931143991415</v>
      </c>
      <c r="U17" s="231">
        <f t="shared" si="10"/>
        <v>-3.40149423731761</v>
      </c>
      <c r="V17" s="230">
        <f t="shared" si="11"/>
        <v>-1.86653440093351</v>
      </c>
      <c r="W17" s="268">
        <f t="shared" si="12"/>
        <v>-1.55931892567838</v>
      </c>
      <c r="X17" s="268">
        <f t="shared" si="13"/>
        <v>-3.18049927861839</v>
      </c>
      <c r="Y17" s="268">
        <f t="shared" si="14"/>
        <v>-2.55509772260648</v>
      </c>
      <c r="Z17" s="231">
        <f t="shared" si="15"/>
        <v>-0.748967048291603</v>
      </c>
      <c r="AB17" s="267" t="s">
        <v>27</v>
      </c>
      <c r="AC17" s="266">
        <v>0.0254708706004122</v>
      </c>
      <c r="AD17" s="266">
        <v>0.0099341757394138</v>
      </c>
      <c r="AE17" s="266">
        <v>0.00399490140378233</v>
      </c>
      <c r="AF17" s="266">
        <v>0.00700039441088746</v>
      </c>
      <c r="AG17" s="266">
        <v>0.0131716505178015</v>
      </c>
      <c r="AH17" s="266">
        <v>0.0169966876686923</v>
      </c>
      <c r="AI17" s="266">
        <v>0.0309906974742017</v>
      </c>
      <c r="AJ17" s="266" t="s">
        <v>27</v>
      </c>
    </row>
    <row r="18" spans="1:36">
      <c r="A18" s="267" t="s">
        <v>28</v>
      </c>
      <c r="B18" s="267">
        <v>0.1052233</v>
      </c>
      <c r="C18" s="144">
        <v>0.0365513</v>
      </c>
      <c r="D18" s="144">
        <v>0.0967802</v>
      </c>
      <c r="E18" s="144">
        <v>0.0847658</v>
      </c>
      <c r="F18" s="144">
        <v>0.1264373</v>
      </c>
      <c r="G18" s="144">
        <v>0.0836163</v>
      </c>
      <c r="H18" s="291">
        <v>0.1152949</v>
      </c>
      <c r="J18" s="267" t="s">
        <v>28</v>
      </c>
      <c r="K18" s="230">
        <f t="shared" si="7"/>
        <v>0.853234255689011</v>
      </c>
      <c r="L18" s="231">
        <f t="shared" si="8"/>
        <v>0.617065251050622</v>
      </c>
      <c r="M18" s="230">
        <f t="shared" si="1"/>
        <v>0.77067166231921</v>
      </c>
      <c r="N18" s="268">
        <f t="shared" si="2"/>
        <v>0.731792020701094</v>
      </c>
      <c r="O18" s="268">
        <f t="shared" si="3"/>
        <v>1.1543103097471</v>
      </c>
      <c r="P18" s="268">
        <f t="shared" si="4"/>
        <v>0.811201222388874</v>
      </c>
      <c r="Q18" s="231">
        <f t="shared" si="5"/>
        <v>1.19888966394336</v>
      </c>
      <c r="S18" s="267" t="s">
        <v>28</v>
      </c>
      <c r="T18" s="230">
        <f t="shared" si="9"/>
        <v>-0.869495750121762</v>
      </c>
      <c r="U18" s="231">
        <f t="shared" si="10"/>
        <v>-0.779354492891874</v>
      </c>
      <c r="V18" s="230">
        <f t="shared" si="11"/>
        <v>-0.813372935727007</v>
      </c>
      <c r="W18" s="268">
        <f t="shared" si="12"/>
        <v>-0.786297472662056</v>
      </c>
      <c r="X18" s="268">
        <f t="shared" si="13"/>
        <v>-1.21371857953453</v>
      </c>
      <c r="Y18" s="268">
        <f t="shared" si="14"/>
        <v>-0.888320563792954</v>
      </c>
      <c r="Z18" s="231">
        <f t="shared" si="15"/>
        <v>-1.09395722066305</v>
      </c>
      <c r="AB18" s="267" t="s">
        <v>28</v>
      </c>
      <c r="AC18" s="266">
        <v>0.123322873288801</v>
      </c>
      <c r="AD18" s="266">
        <v>0.0592340922418939</v>
      </c>
      <c r="AE18" s="266">
        <v>0.125579030256226</v>
      </c>
      <c r="AF18" s="266">
        <v>0.11583318429571</v>
      </c>
      <c r="AG18" s="266">
        <v>0.10953493088674</v>
      </c>
      <c r="AH18" s="266">
        <v>0.103077137573538</v>
      </c>
      <c r="AI18" s="266">
        <v>0.0961680657257268</v>
      </c>
      <c r="AJ18" s="266" t="s">
        <v>28</v>
      </c>
    </row>
    <row r="19" spans="1:36">
      <c r="A19" s="267" t="s">
        <v>29</v>
      </c>
      <c r="B19" s="267">
        <v>0.0138531</v>
      </c>
      <c r="C19" s="144">
        <v>0.0057386</v>
      </c>
      <c r="D19" s="144">
        <v>0.0016324</v>
      </c>
      <c r="E19" s="144">
        <v>0.0041395</v>
      </c>
      <c r="F19" s="144">
        <v>0.0074054</v>
      </c>
      <c r="G19" s="144">
        <v>0.0124677</v>
      </c>
      <c r="H19" s="291">
        <v>0.0129324</v>
      </c>
      <c r="J19" s="267" t="s">
        <v>29</v>
      </c>
      <c r="K19" s="230">
        <f t="shared" si="7"/>
        <v>1.62228839367294</v>
      </c>
      <c r="L19" s="231">
        <f t="shared" si="8"/>
        <v>2.33845407466858</v>
      </c>
      <c r="M19" s="230">
        <f t="shared" si="1"/>
        <v>0.921732226846428</v>
      </c>
      <c r="N19" s="268">
        <f t="shared" si="2"/>
        <v>1.95819962370157</v>
      </c>
      <c r="O19" s="268">
        <f t="shared" si="3"/>
        <v>2.67507207418549</v>
      </c>
      <c r="P19" s="268">
        <f t="shared" si="4"/>
        <v>3.01976300411404</v>
      </c>
      <c r="Q19" s="231">
        <f t="shared" si="5"/>
        <v>1.16596633655726</v>
      </c>
      <c r="S19" s="267" t="s">
        <v>29</v>
      </c>
      <c r="T19" s="230">
        <f t="shared" si="9"/>
        <v>-1.62668551936635</v>
      </c>
      <c r="U19" s="231">
        <f t="shared" si="10"/>
        <v>-4.6650294883739</v>
      </c>
      <c r="V19" s="230">
        <f t="shared" si="11"/>
        <v>-2.5291359170654</v>
      </c>
      <c r="W19" s="268">
        <f t="shared" si="12"/>
        <v>-3.84848963867878</v>
      </c>
      <c r="X19" s="268">
        <f t="shared" si="13"/>
        <v>-4.52881450695113</v>
      </c>
      <c r="Y19" s="268">
        <f t="shared" si="14"/>
        <v>-4.64470560846222</v>
      </c>
      <c r="Z19" s="231">
        <f t="shared" si="15"/>
        <v>-0.370580399615352</v>
      </c>
      <c r="AB19" s="267" t="s">
        <v>29</v>
      </c>
      <c r="AC19" s="266">
        <v>0.00853923387113426</v>
      </c>
      <c r="AD19" s="266">
        <v>0.00245401441155662</v>
      </c>
      <c r="AE19" s="266">
        <v>0.00177101326443258</v>
      </c>
      <c r="AF19" s="266">
        <v>0.00211393156749521</v>
      </c>
      <c r="AG19" s="266">
        <v>0.00276829924377077</v>
      </c>
      <c r="AH19" s="266">
        <v>0.00412870148518754</v>
      </c>
      <c r="AI19" s="266">
        <v>0.0110915723675054</v>
      </c>
      <c r="AJ19" s="266" t="s">
        <v>29</v>
      </c>
    </row>
    <row r="20" spans="1:36">
      <c r="A20" s="267" t="s">
        <v>30</v>
      </c>
      <c r="B20" s="267">
        <v>0.0814525</v>
      </c>
      <c r="C20" s="144">
        <v>0.0480316</v>
      </c>
      <c r="D20" s="144">
        <v>0.0338987</v>
      </c>
      <c r="E20" s="144">
        <v>0.0404055</v>
      </c>
      <c r="F20" s="144">
        <v>0.0797372</v>
      </c>
      <c r="G20" s="144">
        <v>0.0585666</v>
      </c>
      <c r="H20" s="291">
        <v>0.0814124</v>
      </c>
      <c r="J20" s="267" t="s">
        <v>30</v>
      </c>
      <c r="K20" s="230">
        <f t="shared" si="7"/>
        <v>1.38066765672123</v>
      </c>
      <c r="L20" s="231">
        <f t="shared" si="8"/>
        <v>1.22565974599912</v>
      </c>
      <c r="M20" s="230">
        <f t="shared" si="1"/>
        <v>1.16332970278173</v>
      </c>
      <c r="N20" s="268">
        <f t="shared" si="2"/>
        <v>1.15175009240405</v>
      </c>
      <c r="O20" s="268">
        <f t="shared" si="3"/>
        <v>1.95377277696872</v>
      </c>
      <c r="P20" s="268">
        <f t="shared" si="4"/>
        <v>1.19224886423466</v>
      </c>
      <c r="Q20" s="231">
        <f t="shared" si="5"/>
        <v>1.21664092939238</v>
      </c>
      <c r="S20" s="267" t="s">
        <v>30</v>
      </c>
      <c r="T20" s="230">
        <f t="shared" si="9"/>
        <v>-0.98429545856733</v>
      </c>
      <c r="U20" s="231">
        <f t="shared" si="10"/>
        <v>-1.43629922996067</v>
      </c>
      <c r="V20" s="230">
        <f t="shared" si="11"/>
        <v>-1.25232194195344</v>
      </c>
      <c r="W20" s="268">
        <f t="shared" si="12"/>
        <v>-1.25560356254367</v>
      </c>
      <c r="X20" s="268">
        <f t="shared" si="13"/>
        <v>-2.10085543424324</v>
      </c>
      <c r="Y20" s="268">
        <f t="shared" si="14"/>
        <v>-1.31320507174203</v>
      </c>
      <c r="Z20" s="231">
        <f t="shared" si="15"/>
        <v>-1.0766413915987</v>
      </c>
      <c r="AB20" s="267" t="s">
        <v>30</v>
      </c>
      <c r="AC20" s="266">
        <v>0.0589950083957431</v>
      </c>
      <c r="AD20" s="266">
        <v>0.0391883637826794</v>
      </c>
      <c r="AE20" s="266">
        <v>0.0291393746063065</v>
      </c>
      <c r="AF20" s="266">
        <v>0.0350818291802012</v>
      </c>
      <c r="AG20" s="266">
        <v>0.0408119106479271</v>
      </c>
      <c r="AH20" s="266">
        <v>0.0491227978963902</v>
      </c>
      <c r="AI20" s="266">
        <v>0.0669157168998577</v>
      </c>
      <c r="AJ20" s="266" t="s">
        <v>30</v>
      </c>
    </row>
    <row r="21" ht="15.15" spans="1:36">
      <c r="A21" s="269" t="s">
        <v>31</v>
      </c>
      <c r="B21" s="269">
        <v>0.0595218</v>
      </c>
      <c r="C21" s="292">
        <v>0.044146</v>
      </c>
      <c r="D21" s="292">
        <v>0.0303179</v>
      </c>
      <c r="E21" s="292">
        <v>0.0290499</v>
      </c>
      <c r="F21" s="292">
        <v>0.0657309</v>
      </c>
      <c r="G21" s="292">
        <v>0.0453411</v>
      </c>
      <c r="H21" s="293">
        <v>0.0642622</v>
      </c>
      <c r="J21" s="269" t="s">
        <v>31</v>
      </c>
      <c r="K21" s="233">
        <f t="shared" si="7"/>
        <v>1.41129762565068</v>
      </c>
      <c r="L21" s="234">
        <f t="shared" si="8"/>
        <v>1.46665989921864</v>
      </c>
      <c r="M21" s="233">
        <f t="shared" si="1"/>
        <v>1.32020032593397</v>
      </c>
      <c r="N21" s="270">
        <f t="shared" si="2"/>
        <v>1.0095392400663</v>
      </c>
      <c r="O21" s="270">
        <f t="shared" si="3"/>
        <v>2.06595689232033</v>
      </c>
      <c r="P21" s="270">
        <f t="shared" si="4"/>
        <v>1.32389731884916</v>
      </c>
      <c r="Q21" s="234">
        <f t="shared" si="5"/>
        <v>1.35295725949737</v>
      </c>
      <c r="S21" s="269" t="s">
        <v>31</v>
      </c>
      <c r="T21" s="233">
        <f t="shared" si="9"/>
        <v>-1.38932991421235</v>
      </c>
      <c r="U21" s="234">
        <f t="shared" si="10"/>
        <v>-1.7355895142691</v>
      </c>
      <c r="V21" s="233">
        <f t="shared" si="11"/>
        <v>-1.43088254110276</v>
      </c>
      <c r="W21" s="270">
        <f t="shared" si="12"/>
        <v>-1.14494054362403</v>
      </c>
      <c r="X21" s="270">
        <f t="shared" si="13"/>
        <v>-1.23678709444123</v>
      </c>
      <c r="Y21" s="270">
        <f t="shared" si="14"/>
        <v>-1.50151672693546</v>
      </c>
      <c r="Z21" s="234">
        <f t="shared" si="15"/>
        <v>-1.15467017266849</v>
      </c>
      <c r="AB21" s="269" t="s">
        <v>31</v>
      </c>
      <c r="AC21" s="266">
        <v>0.0421752286110149</v>
      </c>
      <c r="AD21" s="266">
        <v>0.0300996843395791</v>
      </c>
      <c r="AE21" s="266">
        <v>0.0229646209021739</v>
      </c>
      <c r="AF21" s="266">
        <v>0.0287754045083895</v>
      </c>
      <c r="AG21" s="266">
        <v>0.0318162011242045</v>
      </c>
      <c r="AH21" s="266">
        <v>0.0342481998826118</v>
      </c>
      <c r="AI21" s="266">
        <v>0.0474975832007241</v>
      </c>
      <c r="AJ21" s="266" t="s">
        <v>31</v>
      </c>
    </row>
    <row r="22" ht="15.15"/>
    <row r="23" ht="15.15" spans="1:36">
      <c r="A23" s="266" t="s">
        <v>32</v>
      </c>
      <c r="B23" s="159" t="s">
        <v>1</v>
      </c>
      <c r="C23" s="98" t="s">
        <v>2</v>
      </c>
      <c r="D23" s="98" t="s">
        <v>3</v>
      </c>
      <c r="E23" s="98" t="s">
        <v>4</v>
      </c>
      <c r="F23" s="98" t="s">
        <v>5</v>
      </c>
      <c r="G23" s="98" t="s">
        <v>6</v>
      </c>
      <c r="H23" s="160" t="s">
        <v>7</v>
      </c>
      <c r="J23" s="256" t="s">
        <v>33</v>
      </c>
      <c r="K23" s="159" t="s">
        <v>1</v>
      </c>
      <c r="L23" s="98" t="s">
        <v>2</v>
      </c>
      <c r="M23" s="98" t="s">
        <v>3</v>
      </c>
      <c r="N23" s="98" t="s">
        <v>4</v>
      </c>
      <c r="O23" s="98" t="s">
        <v>5</v>
      </c>
      <c r="P23" s="98" t="s">
        <v>6</v>
      </c>
      <c r="Q23" s="160" t="s">
        <v>7</v>
      </c>
      <c r="S23" s="256" t="s">
        <v>34</v>
      </c>
      <c r="T23" s="159" t="s">
        <v>1</v>
      </c>
      <c r="U23" s="98" t="s">
        <v>2</v>
      </c>
      <c r="V23" s="98" t="s">
        <v>3</v>
      </c>
      <c r="W23" s="98" t="s">
        <v>4</v>
      </c>
      <c r="X23" s="98" t="s">
        <v>5</v>
      </c>
      <c r="Y23" s="98" t="s">
        <v>6</v>
      </c>
      <c r="Z23" s="160" t="s">
        <v>7</v>
      </c>
    </row>
    <row r="24" spans="1:36">
      <c r="A24" s="243" t="s">
        <v>12</v>
      </c>
      <c r="B24" s="243">
        <v>3519.686</v>
      </c>
      <c r="C24" s="289">
        <v>982.9798</v>
      </c>
      <c r="D24" s="289">
        <v>-182.8151</v>
      </c>
      <c r="E24" s="289">
        <v>-22.64994</v>
      </c>
      <c r="F24" s="289">
        <v>1695.083</v>
      </c>
      <c r="G24" s="289">
        <v>1224.933</v>
      </c>
      <c r="H24" s="290">
        <v>8082.886</v>
      </c>
      <c r="J24" s="271" t="s">
        <v>12</v>
      </c>
      <c r="K24" s="235">
        <v>3512.28794491355</v>
      </c>
      <c r="L24" s="272">
        <v>585.750588702264</v>
      </c>
      <c r="M24" s="272">
        <v>-236.256410757244</v>
      </c>
      <c r="N24" s="272">
        <v>-149.46257147281</v>
      </c>
      <c r="O24" s="272">
        <v>1263.26849281109</v>
      </c>
      <c r="P24" s="272">
        <v>802.765756691342</v>
      </c>
      <c r="Q24" s="236">
        <v>9265.50968361331</v>
      </c>
      <c r="S24" s="271" t="s">
        <v>12</v>
      </c>
      <c r="T24" s="235">
        <f>Cmoyen!C3</f>
        <v>8903.7381392717</v>
      </c>
      <c r="U24" s="272">
        <f>Cmoyen!D3</f>
        <v>7273.30841143499</v>
      </c>
      <c r="V24" s="272">
        <f>Cmoyen!Q3</f>
        <v>3073.45091082572</v>
      </c>
      <c r="W24" s="272">
        <f>Cmoyen!R3</f>
        <v>5261.3340749641</v>
      </c>
      <c r="X24" s="272">
        <f>Cmoyen!S3</f>
        <v>7264.29865474154</v>
      </c>
      <c r="Y24" s="272">
        <f>Cmoyen!T3</f>
        <v>9755.90590599111</v>
      </c>
      <c r="Z24" s="236">
        <f>Cmoyen!U3</f>
        <v>16333.4037524861</v>
      </c>
    </row>
    <row r="25" spans="1:36">
      <c r="A25" s="267" t="s">
        <v>13</v>
      </c>
      <c r="B25" s="267">
        <v>203.093</v>
      </c>
      <c r="C25" s="144">
        <v>46.12926</v>
      </c>
      <c r="D25" s="144">
        <v>-54.12654</v>
      </c>
      <c r="E25" s="144">
        <v>37.9723</v>
      </c>
      <c r="F25" s="144">
        <v>-10.33008</v>
      </c>
      <c r="G25" s="144">
        <v>79.31883</v>
      </c>
      <c r="H25" s="291">
        <v>346.9522</v>
      </c>
      <c r="J25" s="273" t="s">
        <v>13</v>
      </c>
      <c r="K25" s="237">
        <v>195.694944913554</v>
      </c>
      <c r="L25" s="274">
        <v>-351.099951297736</v>
      </c>
      <c r="M25" s="274">
        <v>-107.567850757244</v>
      </c>
      <c r="N25" s="274">
        <v>-88.8403314728098</v>
      </c>
      <c r="O25" s="274">
        <v>-442.144587188907</v>
      </c>
      <c r="P25" s="274">
        <v>-342.848413308658</v>
      </c>
      <c r="Q25" s="238">
        <v>1529.57588361331</v>
      </c>
      <c r="S25" s="273" t="s">
        <v>13</v>
      </c>
      <c r="T25" s="237">
        <f>Cmoyen!C4</f>
        <v>999.093075601903</v>
      </c>
      <c r="U25" s="274">
        <f>Cmoyen!D4</f>
        <v>490.128161735049</v>
      </c>
      <c r="V25" s="274">
        <f>Cmoyen!Q4</f>
        <v>259.938887768429</v>
      </c>
      <c r="W25" s="274">
        <f>Cmoyen!R4</f>
        <v>444.366397946616</v>
      </c>
      <c r="X25" s="274">
        <f>Cmoyen!S4</f>
        <v>623.636642543019</v>
      </c>
      <c r="Y25" s="274">
        <f>Cmoyen!T4</f>
        <v>907.193728364271</v>
      </c>
      <c r="Z25" s="238">
        <f>Cmoyen!U4</f>
        <v>1799.01465747934</v>
      </c>
    </row>
    <row r="26" spans="1:36">
      <c r="A26" s="267" t="s">
        <v>14</v>
      </c>
      <c r="B26" s="267">
        <v>23.63762</v>
      </c>
      <c r="C26" s="144">
        <v>21.25776</v>
      </c>
      <c r="D26" s="144">
        <v>2.010127</v>
      </c>
      <c r="E26" s="144">
        <v>6.382972</v>
      </c>
      <c r="F26" s="144">
        <v>13.91652</v>
      </c>
      <c r="G26" s="144">
        <v>20.37423</v>
      </c>
      <c r="H26" s="291">
        <v>48.03528</v>
      </c>
      <c r="J26" s="273" t="s">
        <v>14</v>
      </c>
      <c r="K26" s="237">
        <v>16.2395649135536</v>
      </c>
      <c r="L26" s="274">
        <v>-375.971451297736</v>
      </c>
      <c r="M26" s="274">
        <v>-51.4311837572435</v>
      </c>
      <c r="N26" s="274">
        <v>-120.42965947281</v>
      </c>
      <c r="O26" s="274">
        <v>-417.897987188907</v>
      </c>
      <c r="P26" s="274">
        <v>-401.793013308658</v>
      </c>
      <c r="Q26" s="238">
        <v>1230.65896361331</v>
      </c>
      <c r="S26" s="273" t="s">
        <v>14</v>
      </c>
      <c r="T26" s="237">
        <f>Cmoyen!C5</f>
        <v>36.6398760175654</v>
      </c>
      <c r="U26" s="274">
        <f>Cmoyen!D5</f>
        <v>45.5585030018584</v>
      </c>
      <c r="V26" s="274">
        <f>Cmoyen!Q5</f>
        <v>20.261380263438</v>
      </c>
      <c r="W26" s="274">
        <f>Cmoyen!R5</f>
        <v>32.0508038060345</v>
      </c>
      <c r="X26" s="274">
        <f>Cmoyen!S5</f>
        <v>40.1908708029923</v>
      </c>
      <c r="Y26" s="274">
        <f>Cmoyen!T5</f>
        <v>48.5913155647078</v>
      </c>
      <c r="Z26" s="238">
        <f>Cmoyen!U5</f>
        <v>60.9679715499089</v>
      </c>
    </row>
    <row r="27" spans="1:36">
      <c r="A27" s="267" t="s">
        <v>15</v>
      </c>
      <c r="B27" s="267">
        <v>8182.226</v>
      </c>
      <c r="C27" s="144">
        <v>4899.013</v>
      </c>
      <c r="D27" s="144">
        <v>307.5542</v>
      </c>
      <c r="E27" s="144">
        <v>757.6595</v>
      </c>
      <c r="F27" s="144">
        <v>5560.505</v>
      </c>
      <c r="G27" s="144">
        <v>3880.171</v>
      </c>
      <c r="H27" s="291">
        <v>17213.97</v>
      </c>
      <c r="J27" s="273" t="s">
        <v>15</v>
      </c>
      <c r="K27" s="237">
        <v>8174.82794491355</v>
      </c>
      <c r="L27" s="274">
        <v>4501.78378870227</v>
      </c>
      <c r="M27" s="274">
        <v>254.112889242756</v>
      </c>
      <c r="N27" s="274">
        <v>630.846868527191</v>
      </c>
      <c r="O27" s="274">
        <v>5128.69049281109</v>
      </c>
      <c r="P27" s="274">
        <v>3458.00375669134</v>
      </c>
      <c r="Q27" s="238">
        <v>18396.5936836133</v>
      </c>
      <c r="S27" s="273" t="s">
        <v>15</v>
      </c>
      <c r="T27" s="237">
        <f>Cmoyen!C6</f>
        <v>14805.1970543324</v>
      </c>
      <c r="U27" s="274">
        <f>Cmoyen!D6</f>
        <v>14469.3757336186</v>
      </c>
      <c r="V27" s="274">
        <f>Cmoyen!Q6</f>
        <v>6558.15139633991</v>
      </c>
      <c r="W27" s="274">
        <f>Cmoyen!R6</f>
        <v>10613.1657233898</v>
      </c>
      <c r="X27" s="274">
        <f>Cmoyen!S6</f>
        <v>13693.825573132</v>
      </c>
      <c r="Y27" s="274">
        <f>Cmoyen!T6</f>
        <v>17718.9296534189</v>
      </c>
      <c r="Z27" s="238">
        <f>Cmoyen!U6</f>
        <v>25344.3633403098</v>
      </c>
    </row>
    <row r="28" spans="1:36">
      <c r="A28" s="267" t="s">
        <v>16</v>
      </c>
      <c r="B28" s="267">
        <v>-338.3088</v>
      </c>
      <c r="C28" s="144">
        <v>-196.709</v>
      </c>
      <c r="D28" s="144">
        <v>-244.0005</v>
      </c>
      <c r="E28" s="144">
        <v>-570.4854</v>
      </c>
      <c r="F28" s="144">
        <v>-378.7966</v>
      </c>
      <c r="G28" s="144">
        <v>-926.5252</v>
      </c>
      <c r="H28" s="291">
        <v>426.8179</v>
      </c>
      <c r="J28" s="273" t="s">
        <v>16</v>
      </c>
      <c r="K28" s="237">
        <v>-345.706855086446</v>
      </c>
      <c r="L28" s="274">
        <v>-593.938211297736</v>
      </c>
      <c r="M28" s="274">
        <v>-297.441810757244</v>
      </c>
      <c r="N28" s="274">
        <v>-697.29803147281</v>
      </c>
      <c r="O28" s="274">
        <v>-810.611107188907</v>
      </c>
      <c r="P28" s="274">
        <v>-1348.69244330866</v>
      </c>
      <c r="Q28" s="238">
        <v>1609.44158361331</v>
      </c>
      <c r="S28" s="273" t="s">
        <v>16</v>
      </c>
      <c r="T28" s="237">
        <f>Cmoyen!C7</f>
        <v>2635.09141430118</v>
      </c>
      <c r="U28" s="274">
        <f>Cmoyen!D7</f>
        <v>1627.59190443141</v>
      </c>
      <c r="V28" s="274">
        <f>Cmoyen!Q7</f>
        <v>492.806935130533</v>
      </c>
      <c r="W28" s="274">
        <f>Cmoyen!R7</f>
        <v>969.357682207993</v>
      </c>
      <c r="X28" s="274">
        <f>Cmoyen!S7</f>
        <v>1513.71521119113</v>
      </c>
      <c r="Y28" s="274">
        <f>Cmoyen!T7</f>
        <v>2477.45045747203</v>
      </c>
      <c r="Z28" s="238">
        <f>Cmoyen!U7</f>
        <v>5890.01114165436</v>
      </c>
    </row>
    <row r="29" spans="1:36">
      <c r="A29" s="267" t="s">
        <v>17</v>
      </c>
      <c r="B29" s="267">
        <v>1054.754</v>
      </c>
      <c r="C29" s="144">
        <v>218.3792</v>
      </c>
      <c r="D29" s="144">
        <v>-116.2874</v>
      </c>
      <c r="E29" s="144">
        <v>275.9315</v>
      </c>
      <c r="F29" s="144">
        <v>-271.1879</v>
      </c>
      <c r="G29" s="144">
        <v>-162.3641</v>
      </c>
      <c r="H29" s="291">
        <v>2466.258</v>
      </c>
      <c r="J29" s="273" t="s">
        <v>17</v>
      </c>
      <c r="K29" s="237">
        <v>1047.35594491355</v>
      </c>
      <c r="L29" s="274">
        <v>-178.850011297736</v>
      </c>
      <c r="M29" s="274">
        <v>-169.728710757244</v>
      </c>
      <c r="N29" s="274">
        <v>149.11886852719</v>
      </c>
      <c r="O29" s="274">
        <v>-703.002407188907</v>
      </c>
      <c r="P29" s="274">
        <v>-584.531343308658</v>
      </c>
      <c r="Q29" s="238">
        <v>3648.88168361331</v>
      </c>
      <c r="S29" s="273" t="s">
        <v>17</v>
      </c>
      <c r="T29" s="237">
        <f>Cmoyen!C8</f>
        <v>2823.48905120859</v>
      </c>
      <c r="U29" s="274">
        <f>Cmoyen!D8</f>
        <v>1739.59465572552</v>
      </c>
      <c r="V29" s="274">
        <f>Cmoyen!Q8</f>
        <v>771.245447605894</v>
      </c>
      <c r="W29" s="274">
        <f>Cmoyen!R8</f>
        <v>1443.3091247506</v>
      </c>
      <c r="X29" s="274">
        <f>Cmoyen!S8</f>
        <v>2019.10935965197</v>
      </c>
      <c r="Y29" s="274">
        <f>Cmoyen!T8</f>
        <v>2810.98262180803</v>
      </c>
      <c r="Z29" s="238">
        <f>Cmoyen!U8</f>
        <v>5055.07025857452</v>
      </c>
    </row>
    <row r="30" spans="1:36">
      <c r="A30" s="267" t="s">
        <v>18</v>
      </c>
      <c r="B30" s="267">
        <v>-5492.049</v>
      </c>
      <c r="C30" s="144">
        <v>-2391.524</v>
      </c>
      <c r="D30" s="144">
        <v>-156.2211</v>
      </c>
      <c r="E30" s="144">
        <v>-230.7233</v>
      </c>
      <c r="F30" s="144">
        <v>-1028.797</v>
      </c>
      <c r="G30" s="144">
        <v>-909.3222</v>
      </c>
      <c r="H30" s="291">
        <v>-13009.62</v>
      </c>
      <c r="J30" s="273" t="s">
        <v>18</v>
      </c>
      <c r="K30" s="237">
        <v>-5499.44705508645</v>
      </c>
      <c r="L30" s="274">
        <v>-2788.75321129774</v>
      </c>
      <c r="M30" s="274">
        <v>-209.662410757244</v>
      </c>
      <c r="N30" s="274">
        <v>-357.53593147281</v>
      </c>
      <c r="O30" s="274">
        <v>-1460.61150718891</v>
      </c>
      <c r="P30" s="274">
        <v>-1331.48944330866</v>
      </c>
      <c r="Q30" s="238">
        <v>-11826.9963163867</v>
      </c>
      <c r="S30" s="273" t="s">
        <v>18</v>
      </c>
      <c r="T30" s="237">
        <f>Cmoyen!C9</f>
        <v>3992.01064326156</v>
      </c>
      <c r="U30" s="274">
        <f>Cmoyen!D9</f>
        <v>1921.73867342656</v>
      </c>
      <c r="V30" s="274">
        <f>Cmoyen!Q9</f>
        <v>463.09525134688</v>
      </c>
      <c r="W30" s="274">
        <f>Cmoyen!R9</f>
        <v>854.399894559078</v>
      </c>
      <c r="X30" s="274">
        <f>Cmoyen!S9</f>
        <v>1406.13621360221</v>
      </c>
      <c r="Y30" s="274">
        <f>Cmoyen!T9</f>
        <v>2228.46453293964</v>
      </c>
      <c r="Z30" s="238">
        <f>Cmoyen!U9</f>
        <v>11211.4128290118</v>
      </c>
    </row>
    <row r="31" spans="1:36">
      <c r="A31" s="267" t="s">
        <v>19</v>
      </c>
      <c r="B31" s="267">
        <v>-421.8057</v>
      </c>
      <c r="C31" s="144">
        <v>-195.9771</v>
      </c>
      <c r="D31" s="144">
        <v>-42.00931</v>
      </c>
      <c r="E31" s="144">
        <v>-129.7038</v>
      </c>
      <c r="F31" s="144">
        <v>-194.7731</v>
      </c>
      <c r="G31" s="144">
        <v>-368.2737</v>
      </c>
      <c r="H31" s="291">
        <v>-355.1542</v>
      </c>
      <c r="J31" s="273" t="s">
        <v>19</v>
      </c>
      <c r="K31" s="237">
        <v>-429.203755086447</v>
      </c>
      <c r="L31" s="274">
        <v>-593.206311297736</v>
      </c>
      <c r="M31" s="274">
        <v>-95.4506207572436</v>
      </c>
      <c r="N31" s="274">
        <v>-256.51643147281</v>
      </c>
      <c r="O31" s="274">
        <v>-626.587607188907</v>
      </c>
      <c r="P31" s="274">
        <v>-790.440943308658</v>
      </c>
      <c r="Q31" s="238">
        <v>827.469483613307</v>
      </c>
      <c r="S31" s="273" t="s">
        <v>19</v>
      </c>
      <c r="T31" s="237">
        <f>Cmoyen!C10</f>
        <v>800.999021363901</v>
      </c>
      <c r="U31" s="274">
        <f>Cmoyen!D10</f>
        <v>468.085116858868</v>
      </c>
      <c r="V31" s="274">
        <f>Cmoyen!Q10</f>
        <v>118.143392396856</v>
      </c>
      <c r="W31" s="274">
        <f>Cmoyen!R10</f>
        <v>227.834145507378</v>
      </c>
      <c r="X31" s="274">
        <f>Cmoyen!S10</f>
        <v>364.718738792757</v>
      </c>
      <c r="Y31" s="274">
        <f>Cmoyen!T10</f>
        <v>605.124732540125</v>
      </c>
      <c r="Z31" s="238">
        <f>Cmoyen!U10</f>
        <v>2087.19609561008</v>
      </c>
    </row>
    <row r="32" spans="1:36">
      <c r="A32" s="267" t="s">
        <v>20</v>
      </c>
      <c r="B32" s="267">
        <v>-2562.946</v>
      </c>
      <c r="C32" s="144">
        <v>-814.149</v>
      </c>
      <c r="D32" s="144">
        <v>242.6336</v>
      </c>
      <c r="E32" s="144">
        <v>356.3714</v>
      </c>
      <c r="F32" s="144">
        <v>697.5578</v>
      </c>
      <c r="G32" s="144">
        <v>266.8178</v>
      </c>
      <c r="H32" s="291">
        <v>-7113.544</v>
      </c>
      <c r="J32" s="273" t="s">
        <v>20</v>
      </c>
      <c r="K32" s="237">
        <v>-2570.34405508645</v>
      </c>
      <c r="L32" s="274">
        <v>-1211.37821129774</v>
      </c>
      <c r="M32" s="274">
        <v>189.192289242756</v>
      </c>
      <c r="N32" s="274">
        <v>229.55876852719</v>
      </c>
      <c r="O32" s="274">
        <v>265.743292811093</v>
      </c>
      <c r="P32" s="274">
        <v>-155.349443308658</v>
      </c>
      <c r="Q32" s="238">
        <v>-5930.9203163867</v>
      </c>
      <c r="S32" s="273" t="s">
        <v>20</v>
      </c>
      <c r="T32" s="237">
        <f>Cmoyen!C11</f>
        <v>3327.61586133648</v>
      </c>
      <c r="U32" s="274">
        <f>Cmoyen!D11</f>
        <v>2180.54710276709</v>
      </c>
      <c r="V32" s="274">
        <f>Cmoyen!Q11</f>
        <v>964.248322594485</v>
      </c>
      <c r="W32" s="274">
        <f>Cmoyen!R11</f>
        <v>1427.08751855729</v>
      </c>
      <c r="X32" s="274">
        <f>Cmoyen!S11</f>
        <v>1840.57435701528</v>
      </c>
      <c r="Y32" s="274">
        <f>Cmoyen!T11</f>
        <v>2430.72356150575</v>
      </c>
      <c r="Z32" s="238">
        <f>Cmoyen!U11</f>
        <v>7899.366600005</v>
      </c>
    </row>
    <row r="33" spans="1:26">
      <c r="A33" s="267" t="s">
        <v>21</v>
      </c>
      <c r="B33" s="267">
        <v>1340.92</v>
      </c>
      <c r="C33" s="144">
        <v>917.1245</v>
      </c>
      <c r="D33" s="144">
        <v>331.566</v>
      </c>
      <c r="E33" s="144">
        <v>581.1782</v>
      </c>
      <c r="F33" s="144">
        <v>999.285</v>
      </c>
      <c r="G33" s="144">
        <v>911.6127</v>
      </c>
      <c r="H33" s="291">
        <v>2045.601</v>
      </c>
      <c r="J33" s="273" t="s">
        <v>21</v>
      </c>
      <c r="K33" s="237">
        <v>1333.52194491355</v>
      </c>
      <c r="L33" s="274">
        <v>519.895288702264</v>
      </c>
      <c r="M33" s="274">
        <v>278.124689242756</v>
      </c>
      <c r="N33" s="274">
        <v>454.36556852719</v>
      </c>
      <c r="O33" s="274">
        <v>567.470492811093</v>
      </c>
      <c r="P33" s="274">
        <v>489.445456691342</v>
      </c>
      <c r="Q33" s="238">
        <v>3228.22468361331</v>
      </c>
      <c r="S33" s="273" t="s">
        <v>21</v>
      </c>
      <c r="T33" s="237">
        <f>Cmoyen!C12</f>
        <v>2182.91442379012</v>
      </c>
      <c r="U33" s="274">
        <f>Cmoyen!D12</f>
        <v>1874.25647442672</v>
      </c>
      <c r="V33" s="274">
        <f>Cmoyen!Q12</f>
        <v>1134.84375924163</v>
      </c>
      <c r="W33" s="274">
        <f>Cmoyen!R12</f>
        <v>1629.8408648975</v>
      </c>
      <c r="X33" s="274">
        <f>Cmoyen!S12</f>
        <v>1950.61403365865</v>
      </c>
      <c r="Y33" s="274">
        <f>Cmoyen!T12</f>
        <v>2351.05235599399</v>
      </c>
      <c r="Z33" s="238">
        <f>Cmoyen!U12</f>
        <v>3300.87683968184</v>
      </c>
    </row>
    <row r="34" spans="1:26">
      <c r="A34" s="267" t="s">
        <v>22</v>
      </c>
      <c r="B34" s="267">
        <v>-487.5243</v>
      </c>
      <c r="C34" s="144">
        <v>-763.4414</v>
      </c>
      <c r="D34" s="144">
        <v>-233.1098</v>
      </c>
      <c r="E34" s="144">
        <v>-806.5016</v>
      </c>
      <c r="F34" s="144">
        <v>-261.6919</v>
      </c>
      <c r="G34" s="144">
        <v>526.5921</v>
      </c>
      <c r="H34" s="291">
        <v>567.0766</v>
      </c>
      <c r="J34" s="273" t="s">
        <v>22</v>
      </c>
      <c r="K34" s="237">
        <v>-494.922355086446</v>
      </c>
      <c r="L34" s="274">
        <v>-1160.67061129774</v>
      </c>
      <c r="M34" s="274">
        <v>-286.551110757244</v>
      </c>
      <c r="N34" s="274">
        <v>-933.31423147281</v>
      </c>
      <c r="O34" s="274">
        <v>-693.506407188907</v>
      </c>
      <c r="P34" s="274">
        <v>104.424856691342</v>
      </c>
      <c r="Q34" s="238">
        <v>1749.70028361331</v>
      </c>
      <c r="S34" s="273" t="s">
        <v>22</v>
      </c>
      <c r="T34" s="237">
        <f>Cmoyen!C13</f>
        <v>1566.31458040319</v>
      </c>
      <c r="U34" s="274">
        <f>Cmoyen!D13</f>
        <v>1601.96101573677</v>
      </c>
      <c r="V34" s="274">
        <f>Cmoyen!Q13</f>
        <v>347.325920778318</v>
      </c>
      <c r="W34" s="274">
        <f>Cmoyen!R13</f>
        <v>655.665269042628</v>
      </c>
      <c r="X34" s="274">
        <f>Cmoyen!S13</f>
        <v>997.672245467225</v>
      </c>
      <c r="Y34" s="274">
        <f>Cmoyen!T13</f>
        <v>1603.15401301518</v>
      </c>
      <c r="Z34" s="238">
        <f>Cmoyen!U13</f>
        <v>4418.25309090909</v>
      </c>
    </row>
    <row r="35" spans="1:26">
      <c r="A35" s="267" t="s">
        <v>23</v>
      </c>
      <c r="B35" s="267">
        <v>-1712.986</v>
      </c>
      <c r="C35" s="144">
        <v>-728.4591</v>
      </c>
      <c r="D35" s="144">
        <v>-18.60448</v>
      </c>
      <c r="E35" s="144">
        <v>-83.58695</v>
      </c>
      <c r="F35" s="144">
        <v>-33.92428</v>
      </c>
      <c r="G35" s="144">
        <v>-267.5598</v>
      </c>
      <c r="H35" s="291">
        <v>-4087.219</v>
      </c>
      <c r="J35" s="273" t="s">
        <v>23</v>
      </c>
      <c r="K35" s="237">
        <v>-1720.38405508645</v>
      </c>
      <c r="L35" s="274">
        <v>-1125.68831129774</v>
      </c>
      <c r="M35" s="274">
        <v>-72.0457907572435</v>
      </c>
      <c r="N35" s="274">
        <v>-210.39958147281</v>
      </c>
      <c r="O35" s="274">
        <v>-465.738787188907</v>
      </c>
      <c r="P35" s="274">
        <v>-689.727043308658</v>
      </c>
      <c r="Q35" s="238">
        <v>-2904.59531638669</v>
      </c>
      <c r="S35" s="273" t="s">
        <v>23</v>
      </c>
      <c r="T35" s="237">
        <f>Cmoyen!C14</f>
        <v>802.503252865888</v>
      </c>
      <c r="U35" s="274">
        <f>Cmoyen!D14</f>
        <v>357.494428408825</v>
      </c>
      <c r="V35" s="274">
        <f>Cmoyen!Q14</f>
        <v>35.2849590623015</v>
      </c>
      <c r="W35" s="274">
        <f>Cmoyen!R14</f>
        <v>79.1217406956678</v>
      </c>
      <c r="X35" s="274">
        <f>Cmoyen!S14</f>
        <v>167.738173570172</v>
      </c>
      <c r="Y35" s="274">
        <f>Cmoyen!T14</f>
        <v>317.268585898779</v>
      </c>
      <c r="Z35" s="238">
        <f>Cmoyen!U14</f>
        <v>2603.42984460593</v>
      </c>
    </row>
    <row r="36" spans="1:26">
      <c r="A36" s="267" t="s">
        <v>24</v>
      </c>
      <c r="B36" s="267">
        <v>-916.4991</v>
      </c>
      <c r="C36" s="144">
        <v>-884.2825</v>
      </c>
      <c r="D36" s="144">
        <v>116.9626</v>
      </c>
      <c r="E36" s="144">
        <v>-199.4769</v>
      </c>
      <c r="F36" s="144">
        <v>-1032.242</v>
      </c>
      <c r="G36" s="144">
        <v>-987.0115</v>
      </c>
      <c r="H36" s="291">
        <v>-776.7616</v>
      </c>
      <c r="J36" s="273" t="s">
        <v>24</v>
      </c>
      <c r="K36" s="237">
        <v>-923.897155086446</v>
      </c>
      <c r="L36" s="274">
        <v>-1281.51171129774</v>
      </c>
      <c r="M36" s="274">
        <v>63.5212892427564</v>
      </c>
      <c r="N36" s="274">
        <v>-326.28953147281</v>
      </c>
      <c r="O36" s="274">
        <v>-1464.05650718891</v>
      </c>
      <c r="P36" s="274">
        <v>-1409.17874330866</v>
      </c>
      <c r="Q36" s="238">
        <v>405.862083613306</v>
      </c>
      <c r="S36" s="273" t="s">
        <v>24</v>
      </c>
      <c r="T36" s="237">
        <f>Cmoyen!C15</f>
        <v>2571.91623753386</v>
      </c>
      <c r="U36" s="274">
        <f>Cmoyen!D15</f>
        <v>1643.76484908999</v>
      </c>
      <c r="V36" s="274">
        <f>Cmoyen!Q15</f>
        <v>474.799846152866</v>
      </c>
      <c r="W36" s="274">
        <f>Cmoyen!R15</f>
        <v>788.114141709072</v>
      </c>
      <c r="X36" s="274">
        <f>Cmoyen!S15</f>
        <v>1325.92985044297</v>
      </c>
      <c r="Y36" s="274">
        <f>Cmoyen!T15</f>
        <v>2260.15856334795</v>
      </c>
      <c r="Z36" s="238">
        <f>Cmoyen!U15</f>
        <v>6348.7637624218</v>
      </c>
    </row>
    <row r="37" spans="1:26">
      <c r="A37" s="267" t="s">
        <v>25</v>
      </c>
      <c r="B37" s="267">
        <v>398.8997</v>
      </c>
      <c r="C37" s="144">
        <v>223.5093</v>
      </c>
      <c r="D37" s="144">
        <v>-139.281</v>
      </c>
      <c r="E37" s="144">
        <v>-176.0495</v>
      </c>
      <c r="F37" s="144">
        <v>-237.2693</v>
      </c>
      <c r="G37" s="144">
        <v>-249.0795</v>
      </c>
      <c r="H37" s="291">
        <v>1420.688</v>
      </c>
      <c r="J37" s="273" t="s">
        <v>25</v>
      </c>
      <c r="K37" s="237">
        <v>391.501644913553</v>
      </c>
      <c r="L37" s="274">
        <v>-173.719911297736</v>
      </c>
      <c r="M37" s="274">
        <v>-192.722310757244</v>
      </c>
      <c r="N37" s="274">
        <v>-302.86213147281</v>
      </c>
      <c r="O37" s="274">
        <v>-669.083807188907</v>
      </c>
      <c r="P37" s="274">
        <v>-671.246743308658</v>
      </c>
      <c r="Q37" s="238">
        <v>2603.31168361331</v>
      </c>
      <c r="S37" s="273" t="s">
        <v>25</v>
      </c>
      <c r="T37" s="237">
        <f>Cmoyen!C16</f>
        <v>1342.56174223245</v>
      </c>
      <c r="U37" s="274">
        <f>Cmoyen!D16</f>
        <v>1002.27627144959</v>
      </c>
      <c r="V37" s="274">
        <f>Cmoyen!Q16</f>
        <v>350.379398066264</v>
      </c>
      <c r="W37" s="274">
        <f>Cmoyen!R16</f>
        <v>642.038404809848</v>
      </c>
      <c r="X37" s="274">
        <f>Cmoyen!S16</f>
        <v>977.969454213798</v>
      </c>
      <c r="Y37" s="274">
        <f>Cmoyen!T16</f>
        <v>1519.41019354121</v>
      </c>
      <c r="Z37" s="238">
        <f>Cmoyen!U16</f>
        <v>2620.38359361918</v>
      </c>
    </row>
    <row r="38" spans="1:26">
      <c r="A38" s="267" t="s">
        <v>26</v>
      </c>
      <c r="B38" s="267">
        <v>-403.447</v>
      </c>
      <c r="C38" s="144">
        <v>-512.5742</v>
      </c>
      <c r="D38" s="144">
        <v>-117.8857</v>
      </c>
      <c r="E38" s="144">
        <v>-393.7896</v>
      </c>
      <c r="F38" s="144">
        <v>-534.6766</v>
      </c>
      <c r="G38" s="144">
        <v>-1205.16</v>
      </c>
      <c r="H38" s="291">
        <v>-229.9684</v>
      </c>
      <c r="J38" s="273" t="s">
        <v>26</v>
      </c>
      <c r="K38" s="237">
        <v>-410.845055086447</v>
      </c>
      <c r="L38" s="274">
        <v>-909.803411297736</v>
      </c>
      <c r="M38" s="274">
        <v>-171.327010757244</v>
      </c>
      <c r="N38" s="274">
        <v>-520.60223147281</v>
      </c>
      <c r="O38" s="274">
        <v>-966.491107188907</v>
      </c>
      <c r="P38" s="274">
        <v>-1627.32724330866</v>
      </c>
      <c r="Q38" s="238">
        <v>952.655283613306</v>
      </c>
      <c r="S38" s="273" t="s">
        <v>26</v>
      </c>
      <c r="T38" s="237">
        <f>Cmoyen!C17</f>
        <v>1864.41573970379</v>
      </c>
      <c r="U38" s="274">
        <f>Cmoyen!D17</f>
        <v>733.947039349817</v>
      </c>
      <c r="V38" s="274">
        <f>Cmoyen!Q17</f>
        <v>241.181475457036</v>
      </c>
      <c r="W38" s="274">
        <f>Cmoyen!R17</f>
        <v>515.632607368565</v>
      </c>
      <c r="X38" s="274">
        <f>Cmoyen!S17</f>
        <v>806.332543754615</v>
      </c>
      <c r="Y38" s="274">
        <f>Cmoyen!T17</f>
        <v>1457.00491252198</v>
      </c>
      <c r="Z38" s="238">
        <f>Cmoyen!U17</f>
        <v>4181.42865564313</v>
      </c>
    </row>
    <row r="39" spans="1:26">
      <c r="A39" s="267" t="s">
        <v>27</v>
      </c>
      <c r="B39" s="267">
        <v>-614.8012</v>
      </c>
      <c r="C39" s="144">
        <v>-669.1612</v>
      </c>
      <c r="D39" s="144">
        <v>-11.74525</v>
      </c>
      <c r="E39" s="144">
        <v>1.8913</v>
      </c>
      <c r="F39" s="144">
        <v>-864.215</v>
      </c>
      <c r="G39" s="144">
        <v>-1258.395</v>
      </c>
      <c r="H39" s="291">
        <v>-116.4656</v>
      </c>
      <c r="J39" s="273" t="s">
        <v>27</v>
      </c>
      <c r="K39" s="237">
        <v>-622.199255086446</v>
      </c>
      <c r="L39" s="274">
        <v>-1066.39041129774</v>
      </c>
      <c r="M39" s="274">
        <v>-65.1865607572435</v>
      </c>
      <c r="N39" s="274">
        <v>-124.92133147281</v>
      </c>
      <c r="O39" s="274">
        <v>-1296.02950718891</v>
      </c>
      <c r="P39" s="274">
        <v>-1680.56224330866</v>
      </c>
      <c r="Q39" s="238">
        <v>1066.15808361331</v>
      </c>
      <c r="S39" s="273" t="s">
        <v>27</v>
      </c>
      <c r="T39" s="237">
        <f>Cmoyen!C18</f>
        <v>1671.31200187529</v>
      </c>
      <c r="U39" s="274">
        <f>Cmoyen!D18</f>
        <v>432.821530758226</v>
      </c>
      <c r="V39" s="274">
        <f>Cmoyen!Q18</f>
        <v>74.8790826963169</v>
      </c>
      <c r="W39" s="274">
        <f>Cmoyen!R18</f>
        <v>220.777078965758</v>
      </c>
      <c r="X39" s="274">
        <f>Cmoyen!S18</f>
        <v>574.772663877266</v>
      </c>
      <c r="Y39" s="274">
        <f>Cmoyen!T18</f>
        <v>1040.08821402748</v>
      </c>
      <c r="Z39" s="238">
        <f>Cmoyen!U18</f>
        <v>4111.736</v>
      </c>
    </row>
    <row r="40" spans="1:26">
      <c r="A40" s="267" t="s">
        <v>28</v>
      </c>
      <c r="B40" s="267">
        <v>1187.63</v>
      </c>
      <c r="C40" s="144">
        <v>988.267</v>
      </c>
      <c r="D40" s="144">
        <v>539.7956</v>
      </c>
      <c r="E40" s="144">
        <v>979.7986</v>
      </c>
      <c r="F40" s="144">
        <v>-737.5684</v>
      </c>
      <c r="G40" s="144">
        <v>1190.88</v>
      </c>
      <c r="H40" s="291">
        <v>-2537.677</v>
      </c>
      <c r="J40" s="273" t="s">
        <v>28</v>
      </c>
      <c r="K40" s="237">
        <v>1180.23194491355</v>
      </c>
      <c r="L40" s="274">
        <v>591.037788702264</v>
      </c>
      <c r="M40" s="274">
        <v>486.354289242757</v>
      </c>
      <c r="N40" s="274">
        <v>852.98596852719</v>
      </c>
      <c r="O40" s="274">
        <v>-1169.38290718891</v>
      </c>
      <c r="P40" s="274">
        <v>768.712756691342</v>
      </c>
      <c r="Q40" s="238">
        <v>-1355.05331638669</v>
      </c>
      <c r="S40" s="273" t="s">
        <v>28</v>
      </c>
      <c r="T40" s="237">
        <f>Cmoyen!C19</f>
        <v>8092.02800590502</v>
      </c>
      <c r="U40" s="274">
        <f>Cmoyen!D19</f>
        <v>2580.76675405415</v>
      </c>
      <c r="V40" s="274">
        <f>Cmoyen!Q19</f>
        <v>2353.81093074696</v>
      </c>
      <c r="W40" s="274">
        <f>Cmoyen!R19</f>
        <v>3653.12446343537</v>
      </c>
      <c r="X40" s="274">
        <f>Cmoyen!S19</f>
        <v>4779.78700758089</v>
      </c>
      <c r="Y40" s="274">
        <f>Cmoyen!T19</f>
        <v>6307.65935196912</v>
      </c>
      <c r="Z40" s="238">
        <f>Cmoyen!U19</f>
        <v>12759.2384206262</v>
      </c>
    </row>
    <row r="41" spans="1:26">
      <c r="A41" s="267" t="s">
        <v>29</v>
      </c>
      <c r="B41" s="267">
        <v>-348.6763</v>
      </c>
      <c r="C41" s="144">
        <v>3.1069</v>
      </c>
      <c r="D41" s="144">
        <v>2.598228</v>
      </c>
      <c r="E41" s="144">
        <v>-63.88203</v>
      </c>
      <c r="F41" s="144">
        <v>2.3514</v>
      </c>
      <c r="G41" s="144">
        <v>-510.2934</v>
      </c>
      <c r="H41" s="291">
        <v>-244.2402</v>
      </c>
      <c r="J41" s="273" t="s">
        <v>29</v>
      </c>
      <c r="K41" s="237">
        <v>-356.074355086447</v>
      </c>
      <c r="L41" s="274">
        <v>-394.122311297736</v>
      </c>
      <c r="M41" s="274">
        <v>-50.8430827572435</v>
      </c>
      <c r="N41" s="274">
        <v>-190.69466147281</v>
      </c>
      <c r="O41" s="274">
        <v>-429.463107188907</v>
      </c>
      <c r="P41" s="274">
        <v>-932.460643308658</v>
      </c>
      <c r="Q41" s="238">
        <v>938.383483613306</v>
      </c>
      <c r="S41" s="273" t="s">
        <v>29</v>
      </c>
      <c r="T41" s="237">
        <f>Cmoyen!C20</f>
        <v>560.315518049695</v>
      </c>
      <c r="U41" s="274">
        <f>Cmoyen!D20</f>
        <v>106.918812589413</v>
      </c>
      <c r="V41" s="274">
        <f>Cmoyen!Q20</f>
        <v>33.1952744961779</v>
      </c>
      <c r="W41" s="274">
        <f>Cmoyen!R20</f>
        <v>66.6687631027254</v>
      </c>
      <c r="X41" s="274">
        <f>Cmoyen!S20</f>
        <v>120.800557880056</v>
      </c>
      <c r="Y41" s="274">
        <f>Cmoyen!T20</f>
        <v>252.65003615329</v>
      </c>
      <c r="Z41" s="238">
        <f>Cmoyen!U20</f>
        <v>1471.59054545455</v>
      </c>
    </row>
    <row r="42" spans="1:26">
      <c r="A42" s="267" t="s">
        <v>30</v>
      </c>
      <c r="B42" s="267">
        <v>73.582</v>
      </c>
      <c r="C42" s="144">
        <v>-385.2919</v>
      </c>
      <c r="D42" s="144">
        <v>-89.20713</v>
      </c>
      <c r="E42" s="144">
        <v>-167.896</v>
      </c>
      <c r="F42" s="144">
        <v>-1698.586</v>
      </c>
      <c r="G42" s="144">
        <v>-577.8976</v>
      </c>
      <c r="H42" s="291">
        <v>-1923.362</v>
      </c>
      <c r="J42" s="273" t="s">
        <v>30</v>
      </c>
      <c r="K42" s="237">
        <v>66.1839449135536</v>
      </c>
      <c r="L42" s="274">
        <v>-782.521111297736</v>
      </c>
      <c r="M42" s="274">
        <v>-142.648440757244</v>
      </c>
      <c r="N42" s="274">
        <v>-294.70863147281</v>
      </c>
      <c r="O42" s="274">
        <v>-2130.40050718891</v>
      </c>
      <c r="P42" s="274">
        <v>-1000.06484330866</v>
      </c>
      <c r="Q42" s="238">
        <v>-740.738316386694</v>
      </c>
      <c r="S42" s="273" t="s">
        <v>30</v>
      </c>
      <c r="T42" s="237">
        <f>Cmoyen!C21</f>
        <v>3871.05203938115</v>
      </c>
      <c r="U42" s="274">
        <f>Cmoyen!D21</f>
        <v>1707.39556509299</v>
      </c>
      <c r="V42" s="274">
        <f>Cmoyen!Q21</f>
        <v>546.178596247394</v>
      </c>
      <c r="W42" s="274">
        <f>Cmoyen!R21</f>
        <v>1106.40391334731</v>
      </c>
      <c r="X42" s="274">
        <f>Cmoyen!S21</f>
        <v>1780.91352859135</v>
      </c>
      <c r="Y42" s="274">
        <f>Cmoyen!T21</f>
        <v>3006</v>
      </c>
      <c r="Z42" s="238">
        <f>Cmoyen!U21</f>
        <v>8878.14036363636</v>
      </c>
    </row>
    <row r="43" ht="15.15" spans="1:26">
      <c r="A43" s="269" t="s">
        <v>31</v>
      </c>
      <c r="B43" s="269">
        <v>-1138.221</v>
      </c>
      <c r="C43" s="292">
        <v>-611.984</v>
      </c>
      <c r="D43" s="292">
        <v>-137.8271</v>
      </c>
      <c r="E43" s="292">
        <v>-8.658228</v>
      </c>
      <c r="F43" s="292">
        <v>79.938</v>
      </c>
      <c r="G43" s="292">
        <v>-678.8163</v>
      </c>
      <c r="H43" s="293">
        <v>-2224.264</v>
      </c>
      <c r="J43" s="275" t="s">
        <v>31</v>
      </c>
      <c r="K43" s="239">
        <v>-1145.61905508645</v>
      </c>
      <c r="L43" s="276">
        <v>-1009.21321129773</v>
      </c>
      <c r="M43" s="276">
        <v>-191.268410757244</v>
      </c>
      <c r="N43" s="276">
        <v>-135.47085947281</v>
      </c>
      <c r="O43" s="276">
        <v>-351.876507188905</v>
      </c>
      <c r="P43" s="276">
        <v>-1100.98354330865</v>
      </c>
      <c r="Q43" s="240">
        <v>-1041.64031638669</v>
      </c>
      <c r="S43" s="275" t="s">
        <v>31</v>
      </c>
      <c r="T43" s="239">
        <f>Cmoyen!C22</f>
        <v>2767.39522826843</v>
      </c>
      <c r="U43" s="276">
        <f>Cmoyen!D22</f>
        <v>1311.41141378326</v>
      </c>
      <c r="V43" s="276">
        <f>Cmoyen!Q22</f>
        <v>430.441098244722</v>
      </c>
      <c r="W43" s="276">
        <f>Cmoyen!R22</f>
        <v>907.513117195202</v>
      </c>
      <c r="X43" s="276">
        <f>Cmoyen!S22</f>
        <v>1388.36682995034</v>
      </c>
      <c r="Y43" s="276">
        <f>Cmoyen!T22</f>
        <v>2095.7700549605</v>
      </c>
      <c r="Z43" s="240">
        <f>Cmoyen!U22</f>
        <v>6301.81114581203</v>
      </c>
    </row>
  </sheetData>
  <conditionalFormatting sqref="$A1:$XFD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5"/>
  <sheetViews>
    <sheetView topLeftCell="H1" workbookViewId="0">
      <selection activeCell="AE2" sqref="AE2:AI21"/>
    </sheetView>
  </sheetViews>
  <sheetFormatPr defaultColWidth="11" defaultRowHeight="14.4"/>
  <cols>
    <col min="1" max="1" width="8.57407407407407" customWidth="1"/>
    <col min="2" max="8" width="10" customWidth="1"/>
    <col min="10" max="10" width="11.712962962963" customWidth="1"/>
    <col min="11" max="13" width="6.85185185185185" customWidth="1"/>
    <col min="14" max="14" width="6.57407407407407" customWidth="1"/>
    <col min="15" max="17" width="6.85185185185185" customWidth="1"/>
    <col min="19" max="19" width="13.1388888888889" customWidth="1"/>
    <col min="20" max="20" width="7.57407407407407" customWidth="1"/>
    <col min="21" max="21" width="8.28703703703704" customWidth="1"/>
    <col min="22" max="26" width="6.42592592592593" customWidth="1"/>
    <col min="28" max="28" width="5.13888888888889" customWidth="1"/>
    <col min="29" max="35" width="12" customWidth="1"/>
    <col min="36" max="36" width="8" customWidth="1"/>
  </cols>
  <sheetData>
    <row r="1" s="31" customFormat="1" ht="29.55" spans="1:36">
      <c r="A1" s="31" t="s">
        <v>35</v>
      </c>
      <c r="B1" s="241" t="s">
        <v>1</v>
      </c>
      <c r="C1" s="211" t="s">
        <v>2</v>
      </c>
      <c r="D1" s="211" t="s">
        <v>3</v>
      </c>
      <c r="E1" s="211" t="s">
        <v>4</v>
      </c>
      <c r="F1" s="211" t="s">
        <v>5</v>
      </c>
      <c r="G1" s="211" t="s">
        <v>6</v>
      </c>
      <c r="H1" s="242" t="s">
        <v>7</v>
      </c>
      <c r="J1" s="264" t="s">
        <v>36</v>
      </c>
      <c r="K1" s="159" t="s">
        <v>1</v>
      </c>
      <c r="L1" s="160" t="s">
        <v>2</v>
      </c>
      <c r="M1" s="159" t="s">
        <v>3</v>
      </c>
      <c r="N1" s="98" t="s">
        <v>4</v>
      </c>
      <c r="O1" s="98" t="s">
        <v>5</v>
      </c>
      <c r="P1" s="98" t="s">
        <v>6</v>
      </c>
      <c r="Q1" s="160" t="s">
        <v>7</v>
      </c>
      <c r="R1" s="206"/>
      <c r="S1" s="264" t="s">
        <v>37</v>
      </c>
      <c r="T1" s="159" t="s">
        <v>1</v>
      </c>
      <c r="U1" s="160" t="s">
        <v>2</v>
      </c>
      <c r="V1" s="159" t="s">
        <v>3</v>
      </c>
      <c r="W1" s="98" t="s">
        <v>4</v>
      </c>
      <c r="X1" s="98" t="s">
        <v>5</v>
      </c>
      <c r="Y1" s="98" t="s">
        <v>6</v>
      </c>
      <c r="Z1" s="160" t="s">
        <v>7</v>
      </c>
      <c r="AB1" s="98" t="s">
        <v>10</v>
      </c>
      <c r="AC1" s="98" t="s">
        <v>1</v>
      </c>
      <c r="AD1" s="98" t="s">
        <v>2</v>
      </c>
      <c r="AE1" s="98" t="s">
        <v>3</v>
      </c>
      <c r="AF1" s="98" t="s">
        <v>4</v>
      </c>
      <c r="AG1" s="98" t="s">
        <v>5</v>
      </c>
      <c r="AH1" s="98" t="s">
        <v>6</v>
      </c>
      <c r="AI1" s="160" t="s">
        <v>7</v>
      </c>
      <c r="AJ1" s="210" t="s">
        <v>38</v>
      </c>
    </row>
    <row r="2" spans="1:36">
      <c r="A2" s="163" t="s">
        <v>12</v>
      </c>
      <c r="B2" s="163">
        <v>0.0470224</v>
      </c>
      <c r="C2" s="244">
        <v>0.1347135</v>
      </c>
      <c r="D2" s="244">
        <v>0.2015948</v>
      </c>
      <c r="E2" s="244">
        <v>0.1581558</v>
      </c>
      <c r="F2" s="244">
        <v>0.1443382</v>
      </c>
      <c r="G2" s="244">
        <v>0.1029208</v>
      </c>
      <c r="H2" s="245">
        <v>0.0378726</v>
      </c>
      <c r="J2" s="243" t="s">
        <v>12</v>
      </c>
      <c r="K2" s="227">
        <f>B2/AC2</f>
        <v>0.439415707472235</v>
      </c>
      <c r="L2" s="228">
        <f t="shared" ref="L2:Q2" si="0">C2/AD2</f>
        <v>0.687267634037585</v>
      </c>
      <c r="M2" s="227">
        <f t="shared" si="0"/>
        <v>1.00812831650257</v>
      </c>
      <c r="N2" s="265">
        <f t="shared" si="0"/>
        <v>0.921025585193057</v>
      </c>
      <c r="O2" s="265">
        <f t="shared" si="0"/>
        <v>0.936018629597534</v>
      </c>
      <c r="P2" s="265">
        <f t="shared" si="0"/>
        <v>0.784742597227138</v>
      </c>
      <c r="Q2" s="228">
        <f t="shared" si="0"/>
        <v>0.449121208423391</v>
      </c>
      <c r="R2" s="266"/>
      <c r="S2" s="243" t="s">
        <v>12</v>
      </c>
      <c r="T2" s="227">
        <f>IF(T24=0,0,((1-B2)*(K24/T24))-1)</f>
        <v>-0.469251465193615</v>
      </c>
      <c r="U2" s="228">
        <f t="shared" ref="U2:Z17" si="1">IF(U24=0,0,((1-C2)*(L24/U24))-1)</f>
        <v>-0.767648860083966</v>
      </c>
      <c r="V2" s="227">
        <f t="shared" si="1"/>
        <v>-1.01599871161061</v>
      </c>
      <c r="W2" s="265">
        <f t="shared" si="1"/>
        <v>-0.957137303130522</v>
      </c>
      <c r="X2" s="265">
        <f t="shared" si="1"/>
        <v>-0.969998940591794</v>
      </c>
      <c r="Y2" s="265">
        <f t="shared" si="1"/>
        <v>-0.837748633892292</v>
      </c>
      <c r="Z2" s="228">
        <f t="shared" si="1"/>
        <v>-0.439866014341069</v>
      </c>
      <c r="AB2" s="163" t="s">
        <v>12</v>
      </c>
      <c r="AC2" s="163">
        <v>0.10701119509473</v>
      </c>
      <c r="AD2" s="244">
        <v>0.196013158961932</v>
      </c>
      <c r="AE2" s="244">
        <v>0.199969385543477</v>
      </c>
      <c r="AF2" s="244">
        <v>0.171717053839334</v>
      </c>
      <c r="AG2" s="244">
        <v>0.154204409437942</v>
      </c>
      <c r="AH2" s="244">
        <v>0.131152304416336</v>
      </c>
      <c r="AI2" s="244">
        <v>0.0843260110849567</v>
      </c>
      <c r="AJ2" s="210" t="s">
        <v>12</v>
      </c>
    </row>
    <row r="3" spans="1:36">
      <c r="A3" s="166" t="s">
        <v>13</v>
      </c>
      <c r="B3" s="166">
        <v>0.0131922</v>
      </c>
      <c r="C3" s="147">
        <v>0.0113468</v>
      </c>
      <c r="D3" s="147">
        <v>0.0136562</v>
      </c>
      <c r="E3" s="147">
        <v>0.0123499</v>
      </c>
      <c r="F3" s="147">
        <v>0.0132427</v>
      </c>
      <c r="G3" s="147">
        <v>0.0152598</v>
      </c>
      <c r="H3" s="220">
        <v>0.0124194</v>
      </c>
      <c r="J3" s="267" t="s">
        <v>13</v>
      </c>
      <c r="K3" s="230">
        <f t="shared" ref="K3:K21" si="2">B3/AC3</f>
        <v>0.912980271369784</v>
      </c>
      <c r="L3" s="231">
        <f t="shared" ref="L3:L21" si="3">C3/AD3</f>
        <v>0.875644725797499</v>
      </c>
      <c r="M3" s="230">
        <f t="shared" ref="M3:M21" si="4">D3/AE3</f>
        <v>1.0302135137454</v>
      </c>
      <c r="N3" s="268">
        <f t="shared" ref="N3:N21" si="5">E3/AF3</f>
        <v>0.847541114693497</v>
      </c>
      <c r="O3" s="268">
        <f t="shared" ref="O3:O21" si="6">F3/AG3</f>
        <v>0.93151282214922</v>
      </c>
      <c r="P3" s="268">
        <f t="shared" ref="P3:P21" si="7">G3/AH3</f>
        <v>1.06457461817926</v>
      </c>
      <c r="Q3" s="231">
        <f t="shared" ref="Q3:Q21" si="8">H3/AI3</f>
        <v>0.895812214243601</v>
      </c>
      <c r="R3" s="266"/>
      <c r="S3" s="267" t="s">
        <v>13</v>
      </c>
      <c r="T3" s="230">
        <f t="shared" ref="T3:Z18" si="9">IF(T25=0,0,((1-B3)*(K25/T25))-1)</f>
        <v>-0.94078404598112</v>
      </c>
      <c r="U3" s="231">
        <f t="shared" si="1"/>
        <v>-1.53816812324162</v>
      </c>
      <c r="V3" s="230">
        <f t="shared" si="1"/>
        <v>-1.20701650199668</v>
      </c>
      <c r="W3" s="268">
        <f t="shared" si="1"/>
        <v>-1.17600033750663</v>
      </c>
      <c r="X3" s="268">
        <f t="shared" si="1"/>
        <v>-1.24194672135127</v>
      </c>
      <c r="Y3" s="268">
        <f t="shared" si="1"/>
        <v>-1.3734576956832</v>
      </c>
      <c r="Z3" s="231">
        <f t="shared" si="1"/>
        <v>-0.709066838809937</v>
      </c>
      <c r="AB3" s="166" t="s">
        <v>13</v>
      </c>
      <c r="AC3" s="166">
        <v>0.0144496002966276</v>
      </c>
      <c r="AD3" s="147">
        <v>0.0129582234275046</v>
      </c>
      <c r="AE3" s="147">
        <v>0.0132556987632128</v>
      </c>
      <c r="AF3" s="147">
        <v>0.0145714464890192</v>
      </c>
      <c r="AG3" s="147">
        <v>0.0142163367858383</v>
      </c>
      <c r="AH3" s="147">
        <v>0.0143341760543745</v>
      </c>
      <c r="AI3" s="147">
        <v>0.0138638431163685</v>
      </c>
      <c r="AJ3" s="210" t="s">
        <v>13</v>
      </c>
    </row>
    <row r="4" spans="1:36">
      <c r="A4" s="166" t="s">
        <v>14</v>
      </c>
      <c r="B4" s="166">
        <v>5.87e-5</v>
      </c>
      <c r="C4" s="147">
        <v>0.0005982</v>
      </c>
      <c r="D4" s="147">
        <v>0.0008966</v>
      </c>
      <c r="E4" s="147">
        <v>0.0007401</v>
      </c>
      <c r="F4" s="147">
        <v>0.0004352</v>
      </c>
      <c r="G4" s="147">
        <v>0.000316</v>
      </c>
      <c r="H4" s="220">
        <v>5.33e-5</v>
      </c>
      <c r="J4" s="267" t="s">
        <v>14</v>
      </c>
      <c r="K4" s="230">
        <f t="shared" si="2"/>
        <v>0.14988081065849</v>
      </c>
      <c r="L4" s="231">
        <f t="shared" si="3"/>
        <v>0.499773638540686</v>
      </c>
      <c r="M4" s="230">
        <f t="shared" si="4"/>
        <v>0.704870446454583</v>
      </c>
      <c r="N4" s="268">
        <f t="shared" si="5"/>
        <v>0.806955214445041</v>
      </c>
      <c r="O4" s="268">
        <f t="shared" si="6"/>
        <v>0.603561202172971</v>
      </c>
      <c r="P4" s="268">
        <f t="shared" si="7"/>
        <v>0.557297990452982</v>
      </c>
      <c r="Q4" s="231">
        <f t="shared" si="8"/>
        <v>0.199431478457934</v>
      </c>
      <c r="R4" s="266"/>
      <c r="S4" s="267" t="s">
        <v>14</v>
      </c>
      <c r="T4" s="230">
        <f t="shared" si="9"/>
        <v>-1.1464154694643</v>
      </c>
      <c r="U4" s="231">
        <f t="shared" si="1"/>
        <v>-7.73514743463086</v>
      </c>
      <c r="V4" s="230">
        <f t="shared" si="1"/>
        <v>-2.57575082418454</v>
      </c>
      <c r="W4" s="268">
        <f t="shared" si="1"/>
        <v>-6.05669104454438</v>
      </c>
      <c r="X4" s="268">
        <f t="shared" si="1"/>
        <v>-6.78559228436303</v>
      </c>
      <c r="Y4" s="268">
        <f t="shared" si="1"/>
        <v>-8.50956173442424</v>
      </c>
      <c r="Z4" s="231">
        <f t="shared" si="1"/>
        <v>9.67705878630275</v>
      </c>
      <c r="AB4" s="166" t="s">
        <v>14</v>
      </c>
      <c r="AC4" s="166">
        <v>0.000391644532359453</v>
      </c>
      <c r="AD4" s="147">
        <v>0.00119694188302271</v>
      </c>
      <c r="AE4" s="147">
        <v>0.00127200679856815</v>
      </c>
      <c r="AF4" s="147">
        <v>0.000917151270295689</v>
      </c>
      <c r="AG4" s="147">
        <v>0.000721053637034938</v>
      </c>
      <c r="AH4" s="147">
        <v>0.00056702160318782</v>
      </c>
      <c r="AI4" s="147">
        <v>0.00026725971452517</v>
      </c>
      <c r="AJ4" s="210" t="s">
        <v>14</v>
      </c>
    </row>
    <row r="5" spans="1:36">
      <c r="A5" s="166" t="s">
        <v>15</v>
      </c>
      <c r="B5" s="166">
        <v>0.1029789</v>
      </c>
      <c r="C5" s="147">
        <v>0.1940067</v>
      </c>
      <c r="D5" s="147">
        <v>0.2834289</v>
      </c>
      <c r="E5" s="147">
        <v>0.2450719</v>
      </c>
      <c r="F5" s="147">
        <v>0.2244558</v>
      </c>
      <c r="G5" s="147">
        <v>0.1793792</v>
      </c>
      <c r="H5" s="220">
        <v>0.0839503</v>
      </c>
      <c r="J5" s="267" t="s">
        <v>15</v>
      </c>
      <c r="K5" s="230">
        <f t="shared" si="2"/>
        <v>0.499346541315005</v>
      </c>
      <c r="L5" s="231">
        <f t="shared" si="3"/>
        <v>0.676091620594271</v>
      </c>
      <c r="M5" s="230">
        <f t="shared" si="4"/>
        <v>0.94815138044614</v>
      </c>
      <c r="N5" s="268">
        <f t="shared" si="5"/>
        <v>0.871027846817476</v>
      </c>
      <c r="O5" s="268">
        <f t="shared" si="6"/>
        <v>0.848372699458314</v>
      </c>
      <c r="P5" s="268">
        <f t="shared" si="7"/>
        <v>0.757808657552641</v>
      </c>
      <c r="Q5" s="231">
        <f t="shared" si="8"/>
        <v>0.508136380008612</v>
      </c>
      <c r="R5" s="266"/>
      <c r="S5" s="267" t="s">
        <v>15</v>
      </c>
      <c r="T5" s="230">
        <f t="shared" si="9"/>
        <v>-0.552600770473784</v>
      </c>
      <c r="U5" s="231">
        <f t="shared" si="1"/>
        <v>-0.763270628313596</v>
      </c>
      <c r="V5" s="230">
        <f t="shared" si="1"/>
        <v>-0.968556134713936</v>
      </c>
      <c r="W5" s="268">
        <f t="shared" si="1"/>
        <v>-0.915563346432556</v>
      </c>
      <c r="X5" s="268">
        <f t="shared" si="1"/>
        <v>-0.89547842803786</v>
      </c>
      <c r="Y5" s="268">
        <f t="shared" si="1"/>
        <v>-0.816889940381446</v>
      </c>
      <c r="Z5" s="231">
        <f t="shared" si="1"/>
        <v>-0.534792188191839</v>
      </c>
      <c r="AB5" s="166" t="s">
        <v>15</v>
      </c>
      <c r="AC5" s="166">
        <v>0.206227322069379</v>
      </c>
      <c r="AD5" s="147">
        <v>0.286953268004523</v>
      </c>
      <c r="AE5" s="147">
        <v>0.298927898904325</v>
      </c>
      <c r="AF5" s="147">
        <v>0.281359431728197</v>
      </c>
      <c r="AG5" s="147">
        <v>0.264572162851675</v>
      </c>
      <c r="AH5" s="147">
        <v>0.236707773409859</v>
      </c>
      <c r="AI5" s="147">
        <v>0.165212142453916</v>
      </c>
      <c r="AJ5" s="210" t="s">
        <v>15</v>
      </c>
    </row>
    <row r="6" spans="1:36">
      <c r="A6" s="166" t="s">
        <v>16</v>
      </c>
      <c r="B6" s="166">
        <v>0.0523622</v>
      </c>
      <c r="C6" s="147">
        <v>0.0476485</v>
      </c>
      <c r="D6" s="147">
        <v>0.0494428</v>
      </c>
      <c r="E6" s="147">
        <v>0.0499941</v>
      </c>
      <c r="F6" s="147">
        <v>0.0460122</v>
      </c>
      <c r="G6" s="147">
        <v>0.0492105</v>
      </c>
      <c r="H6" s="220">
        <v>0.0574054</v>
      </c>
      <c r="J6" s="267" t="s">
        <v>16</v>
      </c>
      <c r="K6" s="230">
        <f t="shared" si="2"/>
        <v>1.39929684085223</v>
      </c>
      <c r="L6" s="231">
        <f t="shared" si="3"/>
        <v>1.28809105317826</v>
      </c>
      <c r="M6" s="230">
        <f t="shared" si="4"/>
        <v>1.61318358277722</v>
      </c>
      <c r="N6" s="268">
        <f t="shared" si="5"/>
        <v>1.50970890875083</v>
      </c>
      <c r="O6" s="268">
        <f t="shared" si="6"/>
        <v>1.21735754664038</v>
      </c>
      <c r="P6" s="268">
        <f t="shared" si="7"/>
        <v>1.25764939929273</v>
      </c>
      <c r="Q6" s="231">
        <f t="shared" si="8"/>
        <v>1.45755887059609</v>
      </c>
      <c r="R6" s="266"/>
      <c r="S6" s="267" t="s">
        <v>16</v>
      </c>
      <c r="T6" s="230">
        <f t="shared" si="9"/>
        <v>-1.38827291892408</v>
      </c>
      <c r="U6" s="231">
        <f t="shared" si="1"/>
        <v>-1.49745148451702</v>
      </c>
      <c r="V6" s="230">
        <f t="shared" si="1"/>
        <v>-1.65672917926015</v>
      </c>
      <c r="W6" s="268">
        <f t="shared" si="1"/>
        <v>-1.62245159997797</v>
      </c>
      <c r="X6" s="268">
        <f t="shared" si="1"/>
        <v>-1.31991355833799</v>
      </c>
      <c r="Y6" s="268">
        <f t="shared" si="1"/>
        <v>-1.35456938684589</v>
      </c>
      <c r="Z6" s="231">
        <f t="shared" si="1"/>
        <v>-1.36811625833927</v>
      </c>
      <c r="AB6" s="166" t="s">
        <v>16</v>
      </c>
      <c r="AC6" s="166">
        <v>0.0374203660519302</v>
      </c>
      <c r="AD6" s="147">
        <v>0.0369915619570768</v>
      </c>
      <c r="AE6" s="147">
        <v>0.0306492085140615</v>
      </c>
      <c r="AF6" s="147">
        <v>0.0331150592741525</v>
      </c>
      <c r="AG6" s="147">
        <v>0.0377967838019183</v>
      </c>
      <c r="AH6" s="147">
        <v>0.039128949632286</v>
      </c>
      <c r="AI6" s="147">
        <v>0.0393846184590289</v>
      </c>
      <c r="AJ6" s="210" t="s">
        <v>16</v>
      </c>
    </row>
    <row r="7" spans="1:36">
      <c r="A7" s="166" t="s">
        <v>17</v>
      </c>
      <c r="B7" s="166">
        <v>0.0435263</v>
      </c>
      <c r="C7" s="147">
        <v>0.0539264</v>
      </c>
      <c r="D7" s="147">
        <v>0.0579767</v>
      </c>
      <c r="E7" s="147">
        <v>0.055323</v>
      </c>
      <c r="F7" s="147">
        <v>0.0536292</v>
      </c>
      <c r="G7" s="147">
        <v>0.0575638</v>
      </c>
      <c r="H7" s="220">
        <v>0.0398668</v>
      </c>
      <c r="J7" s="267" t="s">
        <v>17</v>
      </c>
      <c r="K7" s="230">
        <f t="shared" si="2"/>
        <v>0.893818903176997</v>
      </c>
      <c r="L7" s="231">
        <f t="shared" si="3"/>
        <v>1.09974265137597</v>
      </c>
      <c r="M7" s="230">
        <f t="shared" si="4"/>
        <v>1.22050152105558</v>
      </c>
      <c r="N7" s="268">
        <f t="shared" si="5"/>
        <v>1.1264975480271</v>
      </c>
      <c r="O7" s="268">
        <f t="shared" si="6"/>
        <v>1.08955457964013</v>
      </c>
      <c r="P7" s="268">
        <f t="shared" si="7"/>
        <v>1.14359664610099</v>
      </c>
      <c r="Q7" s="231">
        <f t="shared" si="8"/>
        <v>0.832145080044927</v>
      </c>
      <c r="R7" s="266"/>
      <c r="S7" s="267" t="s">
        <v>17</v>
      </c>
      <c r="T7" s="230">
        <f t="shared" si="9"/>
        <v>-0.906105645040229</v>
      </c>
      <c r="U7" s="231">
        <f t="shared" si="1"/>
        <v>-1.26154791700142</v>
      </c>
      <c r="V7" s="230">
        <f t="shared" si="1"/>
        <v>-1.25494740788115</v>
      </c>
      <c r="W7" s="268">
        <f t="shared" si="1"/>
        <v>-1.21218004255468</v>
      </c>
      <c r="X7" s="268">
        <f t="shared" si="1"/>
        <v>-1.17049375549814</v>
      </c>
      <c r="Y7" s="268">
        <f t="shared" si="1"/>
        <v>-1.21978066257376</v>
      </c>
      <c r="Z7" s="231">
        <f t="shared" si="1"/>
        <v>-0.785933673569914</v>
      </c>
      <c r="AB7" s="166" t="s">
        <v>17</v>
      </c>
      <c r="AC7" s="166">
        <v>0.0486970009755777</v>
      </c>
      <c r="AD7" s="147">
        <v>0.0490354720102279</v>
      </c>
      <c r="AE7" s="147">
        <v>0.0475023578420923</v>
      </c>
      <c r="AF7" s="147">
        <v>0.0491106262032175</v>
      </c>
      <c r="AG7" s="147">
        <v>0.0492212147992744</v>
      </c>
      <c r="AH7" s="147">
        <v>0.0503357544779969</v>
      </c>
      <c r="AI7" s="147">
        <v>0.0479084728805314</v>
      </c>
      <c r="AJ7" s="210" t="s">
        <v>17</v>
      </c>
    </row>
    <row r="8" spans="1:36">
      <c r="A8" s="166" t="s">
        <v>18</v>
      </c>
      <c r="B8" s="166">
        <v>0.0940943</v>
      </c>
      <c r="C8" s="147">
        <v>0.0607339</v>
      </c>
      <c r="D8" s="147">
        <v>0.020388</v>
      </c>
      <c r="E8" s="147">
        <v>0.0380171</v>
      </c>
      <c r="F8" s="147">
        <v>0.0332085</v>
      </c>
      <c r="G8" s="147">
        <v>0.0548393</v>
      </c>
      <c r="H8" s="220">
        <v>0.1115951</v>
      </c>
      <c r="J8" s="267" t="s">
        <v>18</v>
      </c>
      <c r="K8" s="230">
        <f t="shared" si="2"/>
        <v>2.36053739477788</v>
      </c>
      <c r="L8" s="231">
        <f t="shared" si="3"/>
        <v>2.31449185928135</v>
      </c>
      <c r="M8" s="230">
        <f t="shared" si="4"/>
        <v>1.14818868306109</v>
      </c>
      <c r="N8" s="268">
        <f t="shared" si="5"/>
        <v>1.87174132478898</v>
      </c>
      <c r="O8" s="268">
        <f t="shared" si="6"/>
        <v>1.47162770472262</v>
      </c>
      <c r="P8" s="268">
        <f t="shared" si="7"/>
        <v>1.78258056053567</v>
      </c>
      <c r="Q8" s="231">
        <f t="shared" si="8"/>
        <v>1.96520209552435</v>
      </c>
      <c r="R8" s="266"/>
      <c r="S8" s="267" t="s">
        <v>18</v>
      </c>
      <c r="T8" s="230">
        <f t="shared" si="9"/>
        <v>-2.24138910742586</v>
      </c>
      <c r="U8" s="231">
        <f t="shared" si="1"/>
        <v>-2.54482319209126</v>
      </c>
      <c r="V8" s="230">
        <f t="shared" si="1"/>
        <v>-1.27655653804671</v>
      </c>
      <c r="W8" s="268">
        <f t="shared" si="1"/>
        <v>-2.06680263777598</v>
      </c>
      <c r="X8" s="268">
        <f t="shared" si="1"/>
        <v>-1.64702334701879</v>
      </c>
      <c r="Y8" s="268">
        <f t="shared" si="1"/>
        <v>-1.87824201512229</v>
      </c>
      <c r="Z8" s="231">
        <f t="shared" si="1"/>
        <v>-1.81619161811958</v>
      </c>
      <c r="AB8" s="166" t="s">
        <v>18</v>
      </c>
      <c r="AC8" s="166">
        <v>0.0398613892786282</v>
      </c>
      <c r="AD8" s="147">
        <v>0.0262407058190552</v>
      </c>
      <c r="AE8" s="147">
        <v>0.0177566634306526</v>
      </c>
      <c r="AF8" s="147">
        <v>0.0203110865248894</v>
      </c>
      <c r="AG8" s="147">
        <v>0.0225658295868107</v>
      </c>
      <c r="AH8" s="147">
        <v>0.0307639953077469</v>
      </c>
      <c r="AI8" s="147">
        <v>0.0567855592328914</v>
      </c>
      <c r="AJ8" s="210" t="s">
        <v>18</v>
      </c>
    </row>
    <row r="9" spans="1:36">
      <c r="A9" s="166" t="s">
        <v>19</v>
      </c>
      <c r="B9" s="166">
        <v>0.0167256</v>
      </c>
      <c r="C9" s="147">
        <v>0.0161845</v>
      </c>
      <c r="D9" s="147">
        <v>0.0082578</v>
      </c>
      <c r="E9" s="147">
        <v>0.0072641</v>
      </c>
      <c r="F9" s="147">
        <v>0.0088088</v>
      </c>
      <c r="G9" s="147">
        <v>0.0155573</v>
      </c>
      <c r="H9" s="220">
        <v>0.0166634</v>
      </c>
      <c r="J9" s="267" t="s">
        <v>19</v>
      </c>
      <c r="K9" s="230">
        <f t="shared" si="2"/>
        <v>1.60278385375238</v>
      </c>
      <c r="L9" s="231">
        <f t="shared" si="3"/>
        <v>1.93667868098651</v>
      </c>
      <c r="M9" s="230">
        <f t="shared" si="4"/>
        <v>1.81448953801734</v>
      </c>
      <c r="N9" s="268">
        <f t="shared" si="5"/>
        <v>1.28064370484467</v>
      </c>
      <c r="O9" s="268">
        <f t="shared" si="6"/>
        <v>1.23706809990595</v>
      </c>
      <c r="P9" s="268">
        <f t="shared" si="7"/>
        <v>1.59306877939265</v>
      </c>
      <c r="Q9" s="231">
        <f t="shared" si="8"/>
        <v>1.16977221097383</v>
      </c>
      <c r="R9" s="266"/>
      <c r="S9" s="267" t="s">
        <v>19</v>
      </c>
      <c r="T9" s="230">
        <f t="shared" si="9"/>
        <v>-1.62948037815426</v>
      </c>
      <c r="U9" s="231">
        <f t="shared" si="1"/>
        <v>-2.94163287410403</v>
      </c>
      <c r="V9" s="230">
        <f t="shared" si="1"/>
        <v>-2.3267504294539</v>
      </c>
      <c r="W9" s="268">
        <f t="shared" si="1"/>
        <v>-2.12186879533442</v>
      </c>
      <c r="X9" s="268">
        <f t="shared" si="1"/>
        <v>-1.85572821018609</v>
      </c>
      <c r="Y9" s="268">
        <f t="shared" si="1"/>
        <v>-2.03852842524086</v>
      </c>
      <c r="Z9" s="231">
        <f t="shared" si="1"/>
        <v>-0.984717831430099</v>
      </c>
      <c r="AB9" s="166" t="s">
        <v>19</v>
      </c>
      <c r="AC9" s="166">
        <v>0.0104353434562263</v>
      </c>
      <c r="AD9" s="147">
        <v>0.00835683283907268</v>
      </c>
      <c r="AE9" s="147">
        <v>0.00455103202690445</v>
      </c>
      <c r="AF9" s="147">
        <v>0.00567222559445685</v>
      </c>
      <c r="AG9" s="147">
        <v>0.00712070742157986</v>
      </c>
      <c r="AH9" s="147">
        <v>0.0097656172798334</v>
      </c>
      <c r="AI9" s="147">
        <v>0.0142449956014324</v>
      </c>
      <c r="AJ9" s="210" t="s">
        <v>19</v>
      </c>
    </row>
    <row r="10" spans="1:36">
      <c r="A10" s="166" t="s">
        <v>20</v>
      </c>
      <c r="B10" s="166">
        <v>0.0396437</v>
      </c>
      <c r="C10" s="147">
        <v>0.0470316</v>
      </c>
      <c r="D10" s="147">
        <v>0.0292885</v>
      </c>
      <c r="E10" s="147">
        <v>0.0364507</v>
      </c>
      <c r="F10" s="147">
        <v>0.0392104</v>
      </c>
      <c r="G10" s="147">
        <v>0.0476646</v>
      </c>
      <c r="H10" s="220">
        <v>0.0389674</v>
      </c>
      <c r="J10" s="267" t="s">
        <v>20</v>
      </c>
      <c r="K10" s="230">
        <f t="shared" si="2"/>
        <v>1.14924431855877</v>
      </c>
      <c r="L10" s="231">
        <f t="shared" si="3"/>
        <v>1.22538022622265</v>
      </c>
      <c r="M10" s="230">
        <f t="shared" si="4"/>
        <v>0.795899196474852</v>
      </c>
      <c r="N10" s="268">
        <f t="shared" si="5"/>
        <v>1.10134548342468</v>
      </c>
      <c r="O10" s="268">
        <f t="shared" si="6"/>
        <v>1.23722410064592</v>
      </c>
      <c r="P10" s="268">
        <f t="shared" si="7"/>
        <v>1.39145315592485</v>
      </c>
      <c r="Q10" s="231">
        <f t="shared" si="8"/>
        <v>1.01196001356732</v>
      </c>
      <c r="R10" s="266"/>
      <c r="S10" s="267" t="s">
        <v>20</v>
      </c>
      <c r="T10" s="230">
        <f t="shared" si="9"/>
        <v>-1.15419209529388</v>
      </c>
      <c r="U10" s="231">
        <f t="shared" si="1"/>
        <v>-1.42992887343135</v>
      </c>
      <c r="V10" s="230">
        <f t="shared" si="1"/>
        <v>-0.864699768391256</v>
      </c>
      <c r="W10" s="268">
        <f t="shared" si="1"/>
        <v>-1.23792546360854</v>
      </c>
      <c r="X10" s="268">
        <f t="shared" si="1"/>
        <v>-1.36311717184453</v>
      </c>
      <c r="Y10" s="268">
        <f t="shared" si="1"/>
        <v>-1.4981911018251</v>
      </c>
      <c r="Z10" s="231">
        <f t="shared" si="1"/>
        <v>-0.945612099943004</v>
      </c>
      <c r="AB10" s="166" t="s">
        <v>20</v>
      </c>
      <c r="AC10" s="166">
        <v>0.0344954500621034</v>
      </c>
      <c r="AD10" s="147">
        <v>0.0383812297550934</v>
      </c>
      <c r="AE10" s="147">
        <v>0.036799258159479</v>
      </c>
      <c r="AF10" s="147">
        <v>0.0330965174403359</v>
      </c>
      <c r="AG10" s="147">
        <v>0.0316922374689672</v>
      </c>
      <c r="AH10" s="147">
        <v>0.0342552674497467</v>
      </c>
      <c r="AI10" s="147">
        <v>0.0385068574623157</v>
      </c>
      <c r="AJ10" s="210" t="s">
        <v>20</v>
      </c>
    </row>
    <row r="11" spans="1:36">
      <c r="A11" s="166" t="s">
        <v>21</v>
      </c>
      <c r="B11" s="166">
        <v>0.0136935</v>
      </c>
      <c r="C11" s="147">
        <v>0.0139224</v>
      </c>
      <c r="D11" s="147">
        <v>0.0296782</v>
      </c>
      <c r="E11" s="147">
        <v>0.0272576</v>
      </c>
      <c r="F11" s="147">
        <v>0.028407</v>
      </c>
      <c r="G11" s="147">
        <v>0.0203938</v>
      </c>
      <c r="H11" s="220">
        <v>0.0120507</v>
      </c>
      <c r="J11" s="267" t="s">
        <v>21</v>
      </c>
      <c r="K11" s="230">
        <f t="shared" si="2"/>
        <v>0.339358493818827</v>
      </c>
      <c r="L11" s="231">
        <f t="shared" si="3"/>
        <v>0.409110009666946</v>
      </c>
      <c r="M11" s="230">
        <f t="shared" si="4"/>
        <v>0.564190927720203</v>
      </c>
      <c r="N11" s="268">
        <f t="shared" si="5"/>
        <v>0.556778949796371</v>
      </c>
      <c r="O11" s="268">
        <f t="shared" si="6"/>
        <v>0.627167705221786</v>
      </c>
      <c r="P11" s="268">
        <f t="shared" si="7"/>
        <v>0.516647140089077</v>
      </c>
      <c r="Q11" s="231">
        <f t="shared" si="8"/>
        <v>0.435266392164185</v>
      </c>
      <c r="R11" s="266"/>
      <c r="S11" s="267" t="s">
        <v>21</v>
      </c>
      <c r="T11" s="230">
        <f t="shared" si="9"/>
        <v>-0.357943833540498</v>
      </c>
      <c r="U11" s="231">
        <f t="shared" si="1"/>
        <v>-0.66841785188867</v>
      </c>
      <c r="V11" s="230">
        <f t="shared" si="1"/>
        <v>-0.621057269284116</v>
      </c>
      <c r="W11" s="268">
        <f t="shared" si="1"/>
        <v>-0.664597434156645</v>
      </c>
      <c r="X11" s="268">
        <f t="shared" si="1"/>
        <v>-0.733418250305377</v>
      </c>
      <c r="Y11" s="268">
        <f t="shared" si="1"/>
        <v>-0.638440293329585</v>
      </c>
      <c r="Z11" s="231">
        <f t="shared" si="1"/>
        <v>-0.347872856129477</v>
      </c>
      <c r="AB11" s="166" t="s">
        <v>21</v>
      </c>
      <c r="AC11" s="166">
        <v>0.0403511338287308</v>
      </c>
      <c r="AD11" s="147">
        <v>0.034030944418432</v>
      </c>
      <c r="AE11" s="147">
        <v>0.0526031145518848</v>
      </c>
      <c r="AF11" s="147">
        <v>0.0489558737986931</v>
      </c>
      <c r="AG11" s="147">
        <v>0.0452941051707284</v>
      </c>
      <c r="AH11" s="147">
        <v>0.0394733627993834</v>
      </c>
      <c r="AI11" s="147">
        <v>0.0276858039511914</v>
      </c>
      <c r="AJ11" s="210" t="s">
        <v>21</v>
      </c>
    </row>
    <row r="12" spans="1:36">
      <c r="A12" s="166" t="s">
        <v>22</v>
      </c>
      <c r="B12" s="166">
        <v>0.0258411</v>
      </c>
      <c r="C12" s="147">
        <v>0.0640816</v>
      </c>
      <c r="D12" s="147">
        <v>0.0210816</v>
      </c>
      <c r="E12" s="147">
        <v>0.030812</v>
      </c>
      <c r="F12" s="147">
        <v>0.0388789</v>
      </c>
      <c r="G12" s="147">
        <v>0.0390992</v>
      </c>
      <c r="H12" s="220">
        <v>0.0239583</v>
      </c>
      <c r="J12" s="267" t="s">
        <v>22</v>
      </c>
      <c r="K12" s="230">
        <f t="shared" si="2"/>
        <v>1.29386454544464</v>
      </c>
      <c r="L12" s="231">
        <f t="shared" si="3"/>
        <v>2.17748501921423</v>
      </c>
      <c r="M12" s="230">
        <f t="shared" si="4"/>
        <v>1.9294529863772</v>
      </c>
      <c r="N12" s="268">
        <f t="shared" si="5"/>
        <v>1.95404408929338</v>
      </c>
      <c r="O12" s="268">
        <f t="shared" si="6"/>
        <v>1.90359688438783</v>
      </c>
      <c r="P12" s="268">
        <f t="shared" si="7"/>
        <v>1.59961442433157</v>
      </c>
      <c r="Q12" s="231">
        <f t="shared" si="8"/>
        <v>0.862650252686231</v>
      </c>
      <c r="R12" s="266"/>
      <c r="S12" s="267" t="s">
        <v>22</v>
      </c>
      <c r="T12" s="230">
        <f t="shared" si="9"/>
        <v>-1.3053063370508</v>
      </c>
      <c r="U12" s="231">
        <f t="shared" si="1"/>
        <v>-2.37760502670418</v>
      </c>
      <c r="V12" s="230">
        <f t="shared" si="1"/>
        <v>-2.12323277886074</v>
      </c>
      <c r="W12" s="268">
        <f t="shared" si="1"/>
        <v>-2.22079429521755</v>
      </c>
      <c r="X12" s="268">
        <f t="shared" si="1"/>
        <v>-2.07832260264534</v>
      </c>
      <c r="Y12" s="268">
        <f t="shared" si="1"/>
        <v>-1.75348529809327</v>
      </c>
      <c r="Z12" s="231">
        <f t="shared" si="1"/>
        <v>-0.773172397299844</v>
      </c>
      <c r="AB12" s="166" t="s">
        <v>22</v>
      </c>
      <c r="AC12" s="166">
        <v>0.0199720288271131</v>
      </c>
      <c r="AD12" s="147">
        <v>0.0294291806531576</v>
      </c>
      <c r="AE12" s="147">
        <v>0.010926205587203</v>
      </c>
      <c r="AF12" s="147">
        <v>0.0157683238412201</v>
      </c>
      <c r="AG12" s="147">
        <v>0.0204239144951653</v>
      </c>
      <c r="AH12" s="147">
        <v>0.0244428903648692</v>
      </c>
      <c r="AI12" s="147">
        <v>0.0277729009240947</v>
      </c>
      <c r="AJ12" s="210" t="s">
        <v>22</v>
      </c>
    </row>
    <row r="13" spans="1:36">
      <c r="A13" s="166" t="s">
        <v>23</v>
      </c>
      <c r="B13" s="166">
        <v>0.0223932</v>
      </c>
      <c r="C13" s="147">
        <v>0.0293234</v>
      </c>
      <c r="D13" s="147">
        <v>0.0105011</v>
      </c>
      <c r="E13" s="147">
        <v>0.0124613</v>
      </c>
      <c r="F13" s="147">
        <v>0.0201053</v>
      </c>
      <c r="G13" s="147">
        <v>0.0325594</v>
      </c>
      <c r="H13" s="220">
        <v>0.0207139</v>
      </c>
      <c r="J13" s="267" t="s">
        <v>23</v>
      </c>
      <c r="K13" s="230">
        <f t="shared" si="2"/>
        <v>1.7969773835689</v>
      </c>
      <c r="L13" s="231">
        <f t="shared" si="3"/>
        <v>2.55754217791877</v>
      </c>
      <c r="M13" s="230">
        <f t="shared" si="4"/>
        <v>2.62532026410103</v>
      </c>
      <c r="N13" s="268">
        <f t="shared" si="5"/>
        <v>2.52521702344234</v>
      </c>
      <c r="O13" s="268">
        <f t="shared" si="6"/>
        <v>2.72994199891913</v>
      </c>
      <c r="P13" s="268">
        <f t="shared" si="7"/>
        <v>2.45498279116214</v>
      </c>
      <c r="Q13" s="231">
        <f t="shared" si="8"/>
        <v>1.1079869125713</v>
      </c>
      <c r="R13" s="266"/>
      <c r="S13" s="267" t="s">
        <v>23</v>
      </c>
      <c r="T13" s="230">
        <f t="shared" si="9"/>
        <v>-1.80974630780724</v>
      </c>
      <c r="U13" s="231">
        <f t="shared" si="1"/>
        <v>-3.24546992273434</v>
      </c>
      <c r="V13" s="230">
        <f t="shared" si="1"/>
        <v>-3.19741842185564</v>
      </c>
      <c r="W13" s="268">
        <f t="shared" si="1"/>
        <v>-3.47041821662771</v>
      </c>
      <c r="X13" s="268">
        <f t="shared" si="1"/>
        <v>-3.28850672867787</v>
      </c>
      <c r="Y13" s="268">
        <f t="shared" si="1"/>
        <v>-2.73663043325365</v>
      </c>
      <c r="Z13" s="231">
        <f t="shared" si="1"/>
        <v>-0.967476607698868</v>
      </c>
      <c r="AB13" s="166" t="s">
        <v>23</v>
      </c>
      <c r="AC13" s="166">
        <v>0.0124615925635779</v>
      </c>
      <c r="AD13" s="147">
        <v>0.0114654609621579</v>
      </c>
      <c r="AE13" s="147">
        <v>0.00399993103454592</v>
      </c>
      <c r="AF13" s="147">
        <v>0.00493474417617101</v>
      </c>
      <c r="AG13" s="147">
        <v>0.00736473522439682</v>
      </c>
      <c r="AH13" s="147">
        <v>0.0132625776918733</v>
      </c>
      <c r="AI13" s="147">
        <v>0.0186950764174004</v>
      </c>
      <c r="AJ13" s="210" t="s">
        <v>23</v>
      </c>
    </row>
    <row r="14" spans="1:36">
      <c r="A14" s="166" t="s">
        <v>24</v>
      </c>
      <c r="B14" s="166">
        <v>0.0608953</v>
      </c>
      <c r="C14" s="147">
        <v>0.0768526</v>
      </c>
      <c r="D14" s="147">
        <v>0.0439227</v>
      </c>
      <c r="E14" s="147">
        <v>0.0656634</v>
      </c>
      <c r="F14" s="147">
        <v>0.0620372</v>
      </c>
      <c r="G14" s="147">
        <v>0.0655746</v>
      </c>
      <c r="H14" s="220">
        <v>0.059003</v>
      </c>
      <c r="J14" s="267" t="s">
        <v>24</v>
      </c>
      <c r="K14" s="230">
        <f t="shared" si="2"/>
        <v>1.40934495276323</v>
      </c>
      <c r="L14" s="231">
        <f t="shared" si="3"/>
        <v>1.69753237099063</v>
      </c>
      <c r="M14" s="230">
        <f t="shared" si="4"/>
        <v>1.71211987253024</v>
      </c>
      <c r="N14" s="268">
        <f t="shared" si="5"/>
        <v>1.92513075035769</v>
      </c>
      <c r="O14" s="268">
        <f t="shared" si="6"/>
        <v>1.61988182580532</v>
      </c>
      <c r="P14" s="268">
        <f t="shared" si="7"/>
        <v>1.48574468280489</v>
      </c>
      <c r="Q14" s="231">
        <f t="shared" si="8"/>
        <v>1.08278121326196</v>
      </c>
      <c r="R14" s="266"/>
      <c r="S14" s="267" t="s">
        <v>24</v>
      </c>
      <c r="T14" s="230">
        <f t="shared" si="9"/>
        <v>-1.39289924999273</v>
      </c>
      <c r="U14" s="231">
        <f t="shared" si="1"/>
        <v>-1.82061496319015</v>
      </c>
      <c r="V14" s="230">
        <f t="shared" si="1"/>
        <v>-1.76960092821304</v>
      </c>
      <c r="W14" s="268">
        <f t="shared" si="1"/>
        <v>-1.99636783540541</v>
      </c>
      <c r="X14" s="268">
        <f t="shared" si="1"/>
        <v>-1.69064503469326</v>
      </c>
      <c r="Y14" s="268">
        <f t="shared" si="1"/>
        <v>-1.54938658757874</v>
      </c>
      <c r="Z14" s="231">
        <f t="shared" si="1"/>
        <v>-1.03231316417485</v>
      </c>
      <c r="AB14" s="166" t="s">
        <v>24</v>
      </c>
      <c r="AC14" s="166">
        <v>0.043208229383875</v>
      </c>
      <c r="AD14" s="147">
        <v>0.045273127813846</v>
      </c>
      <c r="AE14" s="147">
        <v>0.02565398644377</v>
      </c>
      <c r="AF14" s="147">
        <v>0.0341085404135795</v>
      </c>
      <c r="AG14" s="147">
        <v>0.0382973615801624</v>
      </c>
      <c r="AH14" s="147">
        <v>0.044135846999098</v>
      </c>
      <c r="AI14" s="147">
        <v>0.0544920795423194</v>
      </c>
      <c r="AJ14" s="210" t="s">
        <v>24</v>
      </c>
    </row>
    <row r="15" spans="1:36">
      <c r="A15" s="166" t="s">
        <v>25</v>
      </c>
      <c r="B15" s="166">
        <v>0.0276566</v>
      </c>
      <c r="C15" s="147">
        <v>0.0225741</v>
      </c>
      <c r="D15" s="147">
        <v>0.0298257</v>
      </c>
      <c r="E15" s="147">
        <v>0.0286908</v>
      </c>
      <c r="F15" s="147">
        <v>0.023693</v>
      </c>
      <c r="G15" s="147">
        <v>0.0203263</v>
      </c>
      <c r="H15" s="220">
        <v>0.02911</v>
      </c>
      <c r="J15" s="267" t="s">
        <v>25</v>
      </c>
      <c r="K15" s="230">
        <f t="shared" si="2"/>
        <v>1.17995321627048</v>
      </c>
      <c r="L15" s="231">
        <f t="shared" si="3"/>
        <v>0.899211750810724</v>
      </c>
      <c r="M15" s="230">
        <f t="shared" si="4"/>
        <v>1.33666593885455</v>
      </c>
      <c r="N15" s="268">
        <f t="shared" si="5"/>
        <v>1.18253269241749</v>
      </c>
      <c r="O15" s="268">
        <f t="shared" si="6"/>
        <v>0.968056512300013</v>
      </c>
      <c r="P15" s="268">
        <f t="shared" si="7"/>
        <v>0.871758100090123</v>
      </c>
      <c r="Q15" s="231">
        <f t="shared" si="8"/>
        <v>1.20241226459202</v>
      </c>
      <c r="R15" s="266"/>
      <c r="S15" s="267" t="s">
        <v>25</v>
      </c>
      <c r="T15" s="230">
        <f t="shared" si="9"/>
        <v>-1.19116878269748</v>
      </c>
      <c r="U15" s="231">
        <f t="shared" si="1"/>
        <v>-1.23886403596233</v>
      </c>
      <c r="V15" s="230">
        <f t="shared" si="1"/>
        <v>-1.43017639875886</v>
      </c>
      <c r="W15" s="268">
        <f t="shared" si="1"/>
        <v>-1.3701883181044</v>
      </c>
      <c r="X15" s="268">
        <f t="shared" si="1"/>
        <v>-1.14670150824508</v>
      </c>
      <c r="Y15" s="268">
        <f t="shared" si="1"/>
        <v>-1.06387880474049</v>
      </c>
      <c r="Z15" s="231">
        <f t="shared" si="1"/>
        <v>-1.0906570079454</v>
      </c>
      <c r="AB15" s="166" t="s">
        <v>25</v>
      </c>
      <c r="AC15" s="166">
        <v>0.0234387258906884</v>
      </c>
      <c r="AD15" s="147">
        <v>0.0251043205114338</v>
      </c>
      <c r="AE15" s="147">
        <v>0.022313503421475</v>
      </c>
      <c r="AF15" s="147">
        <v>0.0242621622082569</v>
      </c>
      <c r="AG15" s="147">
        <v>0.024474810818335</v>
      </c>
      <c r="AH15" s="147">
        <v>0.02331644523624</v>
      </c>
      <c r="AI15" s="147">
        <v>0.0242096665654662</v>
      </c>
      <c r="AJ15" s="210" t="s">
        <v>25</v>
      </c>
    </row>
    <row r="16" spans="1:36">
      <c r="A16" s="166" t="s">
        <v>26</v>
      </c>
      <c r="B16" s="166">
        <v>0.0248105</v>
      </c>
      <c r="C16" s="147">
        <v>0.0170465</v>
      </c>
      <c r="D16" s="147">
        <v>0.0199411</v>
      </c>
      <c r="E16" s="147">
        <v>0.0235241</v>
      </c>
      <c r="F16" s="147">
        <v>0.0234614</v>
      </c>
      <c r="G16" s="147">
        <v>0.0263035</v>
      </c>
      <c r="H16" s="220">
        <v>0.0226382</v>
      </c>
      <c r="J16" s="267" t="s">
        <v>26</v>
      </c>
      <c r="K16" s="230">
        <f t="shared" si="2"/>
        <v>1.11559034995416</v>
      </c>
      <c r="L16" s="231">
        <f t="shared" si="3"/>
        <v>1.27119365420114</v>
      </c>
      <c r="M16" s="230">
        <f t="shared" si="4"/>
        <v>1.50810438168069</v>
      </c>
      <c r="N16" s="268">
        <f t="shared" si="5"/>
        <v>1.43455833054347</v>
      </c>
      <c r="O16" s="268">
        <f t="shared" si="6"/>
        <v>1.27758010464011</v>
      </c>
      <c r="P16" s="268">
        <f t="shared" si="7"/>
        <v>1.30288766879416</v>
      </c>
      <c r="Q16" s="231">
        <f t="shared" si="8"/>
        <v>0.957066398268372</v>
      </c>
      <c r="R16" s="266"/>
      <c r="S16" s="267" t="s">
        <v>26</v>
      </c>
      <c r="T16" s="230">
        <f t="shared" si="9"/>
        <v>-1.12983457894172</v>
      </c>
      <c r="U16" s="231">
        <f t="shared" si="1"/>
        <v>-1.63110084721175</v>
      </c>
      <c r="V16" s="230">
        <f t="shared" si="1"/>
        <v>-1.67449913702314</v>
      </c>
      <c r="W16" s="268">
        <f t="shared" si="1"/>
        <v>-1.71124735324861</v>
      </c>
      <c r="X16" s="268">
        <f t="shared" si="1"/>
        <v>-1.50820588206631</v>
      </c>
      <c r="Y16" s="268">
        <f t="shared" si="1"/>
        <v>-1.51246080201112</v>
      </c>
      <c r="Z16" s="231">
        <f t="shared" si="1"/>
        <v>-0.848965605090933</v>
      </c>
      <c r="AB16" s="166" t="s">
        <v>26</v>
      </c>
      <c r="AC16" s="166">
        <v>0.0222397943842195</v>
      </c>
      <c r="AD16" s="147">
        <v>0.0134098372373583</v>
      </c>
      <c r="AE16" s="147">
        <v>0.0132226258621282</v>
      </c>
      <c r="AF16" s="147">
        <v>0.0163981481262516</v>
      </c>
      <c r="AG16" s="147">
        <v>0.0183639365663173</v>
      </c>
      <c r="AH16" s="147">
        <v>0.0201886168930774</v>
      </c>
      <c r="AI16" s="147">
        <v>0.0236537402639561</v>
      </c>
      <c r="AJ16" s="210" t="s">
        <v>26</v>
      </c>
    </row>
    <row r="17" spans="1:36">
      <c r="A17" s="166" t="s">
        <v>27</v>
      </c>
      <c r="B17" s="166">
        <v>0.043293</v>
      </c>
      <c r="C17" s="147">
        <v>0.0192861</v>
      </c>
      <c r="D17" s="147">
        <v>0.0118947</v>
      </c>
      <c r="E17" s="147">
        <v>0.0209133</v>
      </c>
      <c r="F17" s="147">
        <v>0.029923</v>
      </c>
      <c r="G17" s="147">
        <v>0.0360578</v>
      </c>
      <c r="H17" s="220">
        <v>0.0401626</v>
      </c>
      <c r="J17" s="267" t="s">
        <v>27</v>
      </c>
      <c r="K17" s="230">
        <f t="shared" si="2"/>
        <v>1.50018960429573</v>
      </c>
      <c r="L17" s="231">
        <f t="shared" si="3"/>
        <v>1.79358017446563</v>
      </c>
      <c r="M17" s="230">
        <f t="shared" si="4"/>
        <v>1.58813686693717</v>
      </c>
      <c r="N17" s="268">
        <f t="shared" si="5"/>
        <v>1.72128662075112</v>
      </c>
      <c r="O17" s="268">
        <f t="shared" si="6"/>
        <v>1.74780955425726</v>
      </c>
      <c r="P17" s="268">
        <f t="shared" si="7"/>
        <v>1.50309481132467</v>
      </c>
      <c r="Q17" s="231">
        <f t="shared" si="8"/>
        <v>1.10348400391607</v>
      </c>
      <c r="R17" s="266"/>
      <c r="S17" s="267" t="s">
        <v>27</v>
      </c>
      <c r="T17" s="230">
        <f t="shared" si="9"/>
        <v>-1.49147286478951</v>
      </c>
      <c r="U17" s="231">
        <f t="shared" si="1"/>
        <v>-2.56858429557546</v>
      </c>
      <c r="V17" s="230">
        <f t="shared" si="1"/>
        <v>-1.89534764592424</v>
      </c>
      <c r="W17" s="268">
        <f t="shared" si="1"/>
        <v>-2.09447454714762</v>
      </c>
      <c r="X17" s="268">
        <f t="shared" si="1"/>
        <v>-1.97811394556044</v>
      </c>
      <c r="Y17" s="268">
        <f t="shared" si="1"/>
        <v>-1.66619901792273</v>
      </c>
      <c r="Z17" s="231">
        <f t="shared" si="1"/>
        <v>-1.02971283388508</v>
      </c>
      <c r="AB17" s="166" t="s">
        <v>27</v>
      </c>
      <c r="AC17" s="166">
        <v>0.0288583522216342</v>
      </c>
      <c r="AD17" s="147">
        <v>0.0107528507922686</v>
      </c>
      <c r="AE17" s="147">
        <v>0.00748971971347767</v>
      </c>
      <c r="AF17" s="147">
        <v>0.0121498068641665</v>
      </c>
      <c r="AG17" s="147">
        <v>0.0171202863190183</v>
      </c>
      <c r="AH17" s="147">
        <v>0.0239890389670247</v>
      </c>
      <c r="AI17" s="147">
        <v>0.036396177794576</v>
      </c>
      <c r="AJ17" s="210" t="s">
        <v>27</v>
      </c>
    </row>
    <row r="18" spans="1:36">
      <c r="A18" s="166" t="s">
        <v>28</v>
      </c>
      <c r="B18" s="166">
        <v>0.1334907</v>
      </c>
      <c r="C18" s="147">
        <v>0.0628627</v>
      </c>
      <c r="D18" s="147">
        <v>0.0612123</v>
      </c>
      <c r="E18" s="147">
        <v>0.0647637</v>
      </c>
      <c r="F18" s="147">
        <v>0.0697645</v>
      </c>
      <c r="G18" s="147">
        <v>0.0736856</v>
      </c>
      <c r="H18" s="220">
        <v>0.1358537</v>
      </c>
      <c r="J18" s="267" t="s">
        <v>28</v>
      </c>
      <c r="K18" s="230">
        <f t="shared" si="2"/>
        <v>0.796300740407712</v>
      </c>
      <c r="L18" s="231">
        <f t="shared" si="3"/>
        <v>0.686665860116334</v>
      </c>
      <c r="M18" s="230">
        <f t="shared" si="4"/>
        <v>0.443778437111582</v>
      </c>
      <c r="N18" s="268">
        <f t="shared" si="5"/>
        <v>0.450487372586129</v>
      </c>
      <c r="O18" s="268">
        <f t="shared" si="6"/>
        <v>0.478061421434978</v>
      </c>
      <c r="P18" s="268">
        <f t="shared" si="7"/>
        <v>0.503200760493545</v>
      </c>
      <c r="Q18" s="231">
        <f t="shared" si="8"/>
        <v>0.883872131065642</v>
      </c>
      <c r="R18" s="266"/>
      <c r="S18" s="267" t="s">
        <v>28</v>
      </c>
      <c r="T18" s="230">
        <f t="shared" si="9"/>
        <v>-0.825510080276855</v>
      </c>
      <c r="U18" s="231">
        <f t="shared" si="9"/>
        <v>-0.795065220569857</v>
      </c>
      <c r="V18" s="230">
        <f t="shared" si="9"/>
        <v>-0.494035443446836</v>
      </c>
      <c r="W18" s="268">
        <f t="shared" si="9"/>
        <v>-0.517420369587628</v>
      </c>
      <c r="X18" s="268">
        <f t="shared" si="9"/>
        <v>-0.542901056576915</v>
      </c>
      <c r="Y18" s="268">
        <f t="shared" si="9"/>
        <v>-0.568340393250123</v>
      </c>
      <c r="Z18" s="231">
        <f t="shared" si="9"/>
        <v>-0.884807654940918</v>
      </c>
      <c r="AB18" s="166" t="s">
        <v>28</v>
      </c>
      <c r="AC18" s="166">
        <v>0.167638548134027</v>
      </c>
      <c r="AD18" s="147">
        <v>0.0915477288900745</v>
      </c>
      <c r="AE18" s="147">
        <v>0.137934371932111</v>
      </c>
      <c r="AF18" s="147">
        <v>0.143763630106231</v>
      </c>
      <c r="AG18" s="147">
        <v>0.145932085024955</v>
      </c>
      <c r="AH18" s="147">
        <v>0.146433800949999</v>
      </c>
      <c r="AI18" s="147">
        <v>0.153702888941874</v>
      </c>
      <c r="AJ18" s="210" t="s">
        <v>28</v>
      </c>
    </row>
    <row r="19" spans="1:36">
      <c r="A19" s="166" t="s">
        <v>29</v>
      </c>
      <c r="B19" s="166">
        <v>0.0250872</v>
      </c>
      <c r="C19" s="147">
        <v>0.0087036</v>
      </c>
      <c r="D19" s="147">
        <v>0.0041598</v>
      </c>
      <c r="E19" s="147">
        <v>0.0067039</v>
      </c>
      <c r="F19" s="147">
        <v>0.0101181</v>
      </c>
      <c r="G19" s="147">
        <v>0.0172648</v>
      </c>
      <c r="H19" s="220">
        <v>0.026002</v>
      </c>
      <c r="J19" s="267" t="s">
        <v>29</v>
      </c>
      <c r="K19" s="230">
        <f t="shared" si="2"/>
        <v>1.78150456669313</v>
      </c>
      <c r="L19" s="231">
        <f t="shared" si="3"/>
        <v>2.86543093577761</v>
      </c>
      <c r="M19" s="230">
        <f t="shared" si="4"/>
        <v>1.47190319029401</v>
      </c>
      <c r="N19" s="268">
        <f t="shared" si="5"/>
        <v>1.50644472156396</v>
      </c>
      <c r="O19" s="268">
        <f t="shared" si="6"/>
        <v>1.36019405364204</v>
      </c>
      <c r="P19" s="268">
        <f t="shared" si="7"/>
        <v>1.70495021236913</v>
      </c>
      <c r="Q19" s="231">
        <f t="shared" si="8"/>
        <v>1.41851387107982</v>
      </c>
      <c r="R19" s="266"/>
      <c r="S19" s="267" t="s">
        <v>29</v>
      </c>
      <c r="T19" s="230">
        <f t="shared" ref="T19:Z21" si="10">IF(T41=0,0,((1-B19)*(K41/T41))-1)</f>
        <v>-1.78891833196458</v>
      </c>
      <c r="U19" s="231">
        <f t="shared" si="10"/>
        <v>-5.67714408318119</v>
      </c>
      <c r="V19" s="230">
        <f t="shared" si="10"/>
        <v>-2.30915397431625</v>
      </c>
      <c r="W19" s="268">
        <f t="shared" si="10"/>
        <v>-2.5784902177579</v>
      </c>
      <c r="X19" s="268">
        <f t="shared" si="10"/>
        <v>-1.94997627509415</v>
      </c>
      <c r="Y19" s="268">
        <f t="shared" si="10"/>
        <v>-2.13051227958867</v>
      </c>
      <c r="Z19" s="231">
        <f t="shared" si="10"/>
        <v>-1.26736672836858</v>
      </c>
      <c r="AB19" s="166" t="s">
        <v>29</v>
      </c>
      <c r="AC19" s="166">
        <v>0.0140820295771498</v>
      </c>
      <c r="AD19" s="147">
        <v>0.00303744888467816</v>
      </c>
      <c r="AE19" s="147">
        <v>0.00282613695481501</v>
      </c>
      <c r="AF19" s="147">
        <v>0.00445014669575139</v>
      </c>
      <c r="AG19" s="147">
        <v>0.00743871800711662</v>
      </c>
      <c r="AH19" s="147">
        <v>0.0101262781016987</v>
      </c>
      <c r="AI19" s="147">
        <v>0.0183304517002759</v>
      </c>
      <c r="AJ19" s="210" t="s">
        <v>29</v>
      </c>
    </row>
    <row r="20" spans="1:36">
      <c r="A20" s="166" t="s">
        <v>30</v>
      </c>
      <c r="B20" s="166">
        <v>0.1259353</v>
      </c>
      <c r="C20" s="147">
        <v>0.0701474</v>
      </c>
      <c r="D20" s="147">
        <v>0.0686358</v>
      </c>
      <c r="E20" s="147">
        <v>0.076853</v>
      </c>
      <c r="F20" s="147">
        <v>0.0914015</v>
      </c>
      <c r="G20" s="147">
        <v>0.1043398</v>
      </c>
      <c r="H20" s="220">
        <v>0.1318261</v>
      </c>
      <c r="J20" s="267" t="s">
        <v>30</v>
      </c>
      <c r="K20" s="230">
        <f t="shared" si="2"/>
        <v>1.55466568629184</v>
      </c>
      <c r="L20" s="231">
        <f t="shared" si="3"/>
        <v>1.37805796842435</v>
      </c>
      <c r="M20" s="230">
        <f t="shared" si="4"/>
        <v>1.44559977261102</v>
      </c>
      <c r="N20" s="268">
        <f t="shared" si="5"/>
        <v>1.39937810473202</v>
      </c>
      <c r="O20" s="268">
        <f t="shared" si="6"/>
        <v>1.51832438579369</v>
      </c>
      <c r="P20" s="268">
        <f t="shared" si="7"/>
        <v>1.46515459562126</v>
      </c>
      <c r="Q20" s="231">
        <f t="shared" si="8"/>
        <v>1.4031902274572</v>
      </c>
      <c r="R20" s="266"/>
      <c r="S20" s="267" t="s">
        <v>30</v>
      </c>
      <c r="T20" s="230">
        <f t="shared" si="10"/>
        <v>-1.48902493474992</v>
      </c>
      <c r="U20" s="231">
        <f t="shared" si="10"/>
        <v>-1.50982618190531</v>
      </c>
      <c r="V20" s="230">
        <f t="shared" si="10"/>
        <v>-1.46173374701925</v>
      </c>
      <c r="W20" s="268">
        <f t="shared" si="10"/>
        <v>-1.44967450203162</v>
      </c>
      <c r="X20" s="268">
        <f t="shared" si="10"/>
        <v>-1.53825715080296</v>
      </c>
      <c r="Y20" s="268">
        <f t="shared" si="10"/>
        <v>-1.47334920000514</v>
      </c>
      <c r="Z20" s="231">
        <f t="shared" si="10"/>
        <v>-1.32564504031321</v>
      </c>
      <c r="AB20" s="166" t="s">
        <v>30</v>
      </c>
      <c r="AC20" s="166">
        <v>0.0810047466220077</v>
      </c>
      <c r="AD20" s="147">
        <v>0.0509030836200639</v>
      </c>
      <c r="AE20" s="147">
        <v>0.047479116488813</v>
      </c>
      <c r="AF20" s="147">
        <v>0.0549193957945463</v>
      </c>
      <c r="AG20" s="147">
        <v>0.0601989277490403</v>
      </c>
      <c r="AH20" s="147">
        <v>0.0712141915343465</v>
      </c>
      <c r="AI20" s="147">
        <v>0.0939474188320778</v>
      </c>
      <c r="AJ20" s="210" t="s">
        <v>30</v>
      </c>
    </row>
    <row r="21" ht="15.15" spans="1:36">
      <c r="A21" s="218" t="s">
        <v>31</v>
      </c>
      <c r="B21" s="218">
        <v>0.0872994</v>
      </c>
      <c r="C21" s="252">
        <v>0.0490094</v>
      </c>
      <c r="D21" s="252">
        <v>0.0342167</v>
      </c>
      <c r="E21" s="252">
        <v>0.0389905</v>
      </c>
      <c r="F21" s="252">
        <v>0.038869</v>
      </c>
      <c r="G21" s="252">
        <v>0.0416842</v>
      </c>
      <c r="H21" s="224">
        <v>0.0998879</v>
      </c>
      <c r="J21" s="269" t="s">
        <v>31</v>
      </c>
      <c r="K21" s="233">
        <f t="shared" si="2"/>
        <v>1.82806128347314</v>
      </c>
      <c r="L21" s="234">
        <f t="shared" si="3"/>
        <v>1.69473893842254</v>
      </c>
      <c r="M21" s="233">
        <f t="shared" si="4"/>
        <v>1.37594520760334</v>
      </c>
      <c r="N21" s="270">
        <f t="shared" si="5"/>
        <v>1.28179673109268</v>
      </c>
      <c r="O21" s="270">
        <f t="shared" si="6"/>
        <v>1.17854906963858</v>
      </c>
      <c r="P21" s="270">
        <f t="shared" si="7"/>
        <v>1.14497873977944</v>
      </c>
      <c r="Q21" s="234">
        <f t="shared" si="8"/>
        <v>1.64793351737438</v>
      </c>
      <c r="R21" s="266"/>
      <c r="S21" s="269" t="s">
        <v>31</v>
      </c>
      <c r="T21" s="233">
        <f t="shared" si="10"/>
        <v>-1.76323109255124</v>
      </c>
      <c r="U21" s="234">
        <f t="shared" si="10"/>
        <v>-1.94564602685718</v>
      </c>
      <c r="V21" s="233">
        <f t="shared" si="10"/>
        <v>-1.45557488505934</v>
      </c>
      <c r="W21" s="270">
        <f t="shared" si="10"/>
        <v>-1.42302903011306</v>
      </c>
      <c r="X21" s="270">
        <f t="shared" si="10"/>
        <v>-1.30156776099714</v>
      </c>
      <c r="Y21" s="270">
        <f t="shared" si="10"/>
        <v>-1.25766629000989</v>
      </c>
      <c r="Z21" s="234">
        <f t="shared" si="10"/>
        <v>-1.54401302769692</v>
      </c>
      <c r="AB21" s="218" t="s">
        <v>31</v>
      </c>
      <c r="AC21" s="218">
        <v>0.0477551823832402</v>
      </c>
      <c r="AD21" s="252">
        <v>0.0289185542910921</v>
      </c>
      <c r="AE21" s="252">
        <v>0.0248677780270041</v>
      </c>
      <c r="AF21" s="252">
        <v>0.0304186296112349</v>
      </c>
      <c r="AG21" s="252">
        <v>0.0329803832537239</v>
      </c>
      <c r="AH21" s="252">
        <v>0.0364060908310225</v>
      </c>
      <c r="AI21" s="252">
        <v>0.060614035060801</v>
      </c>
      <c r="AJ21" s="210" t="s">
        <v>31</v>
      </c>
    </row>
    <row r="22" ht="15.15"/>
    <row r="23" ht="15.15" spans="1:36">
      <c r="A23" t="s">
        <v>39</v>
      </c>
      <c r="B23" s="241" t="s">
        <v>1</v>
      </c>
      <c r="C23" s="211" t="s">
        <v>2</v>
      </c>
      <c r="D23" s="211" t="s">
        <v>3</v>
      </c>
      <c r="E23" s="211" t="s">
        <v>4</v>
      </c>
      <c r="F23" s="211" t="s">
        <v>5</v>
      </c>
      <c r="G23" s="211" t="s">
        <v>6</v>
      </c>
      <c r="H23" s="242" t="s">
        <v>7</v>
      </c>
      <c r="J23" s="256" t="s">
        <v>33</v>
      </c>
      <c r="K23" s="159" t="s">
        <v>1</v>
      </c>
      <c r="L23" s="98" t="s">
        <v>2</v>
      </c>
      <c r="M23" s="98" t="s">
        <v>3</v>
      </c>
      <c r="N23" s="98" t="s">
        <v>4</v>
      </c>
      <c r="O23" s="98" t="s">
        <v>5</v>
      </c>
      <c r="P23" s="98" t="s">
        <v>6</v>
      </c>
      <c r="Q23" s="160" t="s">
        <v>7</v>
      </c>
      <c r="R23" s="212"/>
      <c r="S23" s="256" t="s">
        <v>34</v>
      </c>
      <c r="T23" s="159" t="s">
        <v>1</v>
      </c>
      <c r="U23" s="98" t="s">
        <v>2</v>
      </c>
      <c r="V23" s="98" t="s">
        <v>3</v>
      </c>
      <c r="W23" s="98" t="s">
        <v>4</v>
      </c>
      <c r="X23" s="98" t="s">
        <v>5</v>
      </c>
      <c r="Y23" s="98" t="s">
        <v>6</v>
      </c>
      <c r="Z23" s="160" t="s">
        <v>7</v>
      </c>
    </row>
    <row r="24" spans="1:36">
      <c r="A24" s="163" t="s">
        <v>12</v>
      </c>
      <c r="B24" s="163">
        <v>5124.199</v>
      </c>
      <c r="C24" s="244">
        <v>3423.398</v>
      </c>
      <c r="D24" s="244">
        <v>-60.96007</v>
      </c>
      <c r="E24" s="244">
        <v>696.0611</v>
      </c>
      <c r="F24" s="244">
        <v>628.7005</v>
      </c>
      <c r="G24" s="244">
        <v>2336.466</v>
      </c>
      <c r="H24" s="245">
        <v>6589.361</v>
      </c>
      <c r="J24" s="271" t="s">
        <v>12</v>
      </c>
      <c r="K24" s="235">
        <v>5090.86153962644</v>
      </c>
      <c r="L24" s="272">
        <v>2939.473431229</v>
      </c>
      <c r="M24" s="272">
        <v>-150.279221317111</v>
      </c>
      <c r="N24" s="272">
        <v>448.755982525737</v>
      </c>
      <c r="O24" s="272">
        <v>344.531125887192</v>
      </c>
      <c r="P24" s="272">
        <v>1963.17348451608</v>
      </c>
      <c r="Q24" s="236">
        <v>6963.80557842043</v>
      </c>
      <c r="S24" s="271" t="s">
        <v>12</v>
      </c>
      <c r="T24" s="235">
        <f>Cmoyen!F3</f>
        <v>9140.82035805395</v>
      </c>
      <c r="U24" s="272">
        <f>Cmoyen!G3</f>
        <v>10946.736383864</v>
      </c>
      <c r="V24" s="272">
        <f>Cmoyen!X3</f>
        <v>7499.58588364973</v>
      </c>
      <c r="W24" s="272">
        <f>Cmoyen!Y3</f>
        <v>8813.78561537983</v>
      </c>
      <c r="X24" s="272">
        <f>Cmoyen!Z3</f>
        <v>9826.39043913317</v>
      </c>
      <c r="Y24" s="272">
        <f>Cmoyen!AA3</f>
        <v>10854.2821006623</v>
      </c>
      <c r="Z24" s="236">
        <f>Cmoyen!AB3</f>
        <v>11961.5454994921</v>
      </c>
    </row>
    <row r="25" spans="1:36">
      <c r="A25" s="166" t="s">
        <v>13</v>
      </c>
      <c r="B25" s="166">
        <v>107.4033</v>
      </c>
      <c r="C25" s="147">
        <v>89.99472</v>
      </c>
      <c r="D25" s="147">
        <v>-15.02138</v>
      </c>
      <c r="E25" s="147">
        <v>114.026</v>
      </c>
      <c r="F25" s="147">
        <v>62.04597</v>
      </c>
      <c r="G25" s="147">
        <v>-76.60921</v>
      </c>
      <c r="H25" s="220">
        <v>204.8908</v>
      </c>
      <c r="J25" s="273" t="s">
        <v>13</v>
      </c>
      <c r="K25" s="237">
        <v>74.0658396264413</v>
      </c>
      <c r="L25" s="274">
        <v>-393.929848771002</v>
      </c>
      <c r="M25" s="274">
        <v>-104.340531317111</v>
      </c>
      <c r="N25" s="274">
        <v>-133.279117474263</v>
      </c>
      <c r="O25" s="274">
        <v>-222.123404112808</v>
      </c>
      <c r="P25" s="274">
        <v>-449.901725483919</v>
      </c>
      <c r="Q25" s="238">
        <v>579.335378420429</v>
      </c>
      <c r="S25" s="273" t="s">
        <v>13</v>
      </c>
      <c r="T25" s="237">
        <f>Cmoyen!F4</f>
        <v>1234.27460500963</v>
      </c>
      <c r="U25" s="274">
        <f>Cmoyen!G4</f>
        <v>723.677209302326</v>
      </c>
      <c r="V25" s="274">
        <f>Cmoyen!X4</f>
        <v>497.137354562156</v>
      </c>
      <c r="W25" s="274">
        <f>Cmoyen!Y4</f>
        <v>747.914098155674</v>
      </c>
      <c r="X25" s="274">
        <f>Cmoyen!Z4</f>
        <v>905.909736180905</v>
      </c>
      <c r="Y25" s="274">
        <f>Cmoyen!AA4</f>
        <v>1186.30923998739</v>
      </c>
      <c r="Z25" s="238">
        <f>Cmoyen!AB4</f>
        <v>1966.56984126984</v>
      </c>
    </row>
    <row r="26" spans="1:36">
      <c r="A26" s="166" t="s">
        <v>14</v>
      </c>
      <c r="B26" s="166">
        <v>28.43899</v>
      </c>
      <c r="C26" s="147">
        <v>33.44046</v>
      </c>
      <c r="D26" s="147">
        <v>14.08062</v>
      </c>
      <c r="E26" s="147">
        <v>9.085246</v>
      </c>
      <c r="F26" s="147">
        <v>18.21835</v>
      </c>
      <c r="G26" s="147">
        <v>20.7783</v>
      </c>
      <c r="H26" s="220">
        <v>30.34938</v>
      </c>
      <c r="J26" s="273" t="s">
        <v>14</v>
      </c>
      <c r="K26" s="237">
        <v>-4.89847037355872</v>
      </c>
      <c r="L26" s="274">
        <v>-450.484108771002</v>
      </c>
      <c r="M26" s="274">
        <v>-75.2385313171111</v>
      </c>
      <c r="N26" s="274">
        <v>-238.219871474263</v>
      </c>
      <c r="O26" s="274">
        <v>-265.951024112808</v>
      </c>
      <c r="P26" s="274">
        <v>-352.514215483919</v>
      </c>
      <c r="Q26" s="238">
        <v>404.793958420429</v>
      </c>
      <c r="S26" s="273" t="s">
        <v>14</v>
      </c>
      <c r="T26" s="237">
        <f>Cmoyen!F5</f>
        <v>33.4539980732177</v>
      </c>
      <c r="U26" s="274">
        <f>Cmoyen!G5</f>
        <v>66.8455491949911</v>
      </c>
      <c r="V26" s="274">
        <f>Cmoyen!X5</f>
        <v>47.7049234537661</v>
      </c>
      <c r="W26" s="274">
        <f>Cmoyen!Y5</f>
        <v>47.0749671772429</v>
      </c>
      <c r="X26" s="274">
        <f>Cmoyen!Z5</f>
        <v>45.9478077889447</v>
      </c>
      <c r="Y26" s="274">
        <f>Cmoyen!AA5</f>
        <v>46.9272153894671</v>
      </c>
      <c r="Z26" s="238">
        <f>Cmoyen!AB5</f>
        <v>37.9104761904762</v>
      </c>
    </row>
    <row r="27" spans="1:36">
      <c r="A27" s="166" t="s">
        <v>15</v>
      </c>
      <c r="B27" s="166">
        <v>8819.409</v>
      </c>
      <c r="C27" s="147">
        <v>5190.785</v>
      </c>
      <c r="D27" s="147">
        <v>581.2645</v>
      </c>
      <c r="E27" s="147">
        <v>1862.541</v>
      </c>
      <c r="F27" s="147">
        <v>2556.339</v>
      </c>
      <c r="G27" s="147">
        <v>4744.56</v>
      </c>
      <c r="H27" s="220">
        <v>11526.89</v>
      </c>
      <c r="J27" s="273" t="s">
        <v>15</v>
      </c>
      <c r="K27" s="237">
        <v>8786.07153962645</v>
      </c>
      <c r="L27" s="274">
        <v>4706.860431229</v>
      </c>
      <c r="M27" s="274">
        <v>491.945348682889</v>
      </c>
      <c r="N27" s="274">
        <v>1615.23588252574</v>
      </c>
      <c r="O27" s="274">
        <v>2272.16962588719</v>
      </c>
      <c r="P27" s="274">
        <v>4371.26748451608</v>
      </c>
      <c r="Q27" s="238">
        <v>11901.3345784204</v>
      </c>
      <c r="S27" s="273" t="s">
        <v>15</v>
      </c>
      <c r="T27" s="237">
        <f>Cmoyen!F6</f>
        <v>17615.7915280732</v>
      </c>
      <c r="U27" s="274">
        <f>Cmoyen!G6</f>
        <v>16025.4637799284</v>
      </c>
      <c r="V27" s="274">
        <f>Cmoyen!X6</f>
        <v>11210.8933312921</v>
      </c>
      <c r="W27" s="274">
        <f>Cmoyen!Y6</f>
        <v>14441.4410605814</v>
      </c>
      <c r="X27" s="274">
        <f>Cmoyen!Z6</f>
        <v>16859.3711488693</v>
      </c>
      <c r="Y27" s="274">
        <f>Cmoyen!AA6</f>
        <v>19590.1471914222</v>
      </c>
      <c r="Z27" s="238">
        <f>Cmoyen!AB6</f>
        <v>23435.1481067937</v>
      </c>
    </row>
    <row r="28" spans="1:36">
      <c r="A28" s="166" t="s">
        <v>16</v>
      </c>
      <c r="B28" s="166">
        <v>-1276.323</v>
      </c>
      <c r="C28" s="147">
        <v>-595.1602</v>
      </c>
      <c r="D28" s="147">
        <v>-704.8282</v>
      </c>
      <c r="E28" s="147">
        <v>-866.3581</v>
      </c>
      <c r="F28" s="147">
        <v>-523.5154</v>
      </c>
      <c r="G28" s="147">
        <v>-834.3551</v>
      </c>
      <c r="H28" s="220">
        <v>-2556.232</v>
      </c>
      <c r="J28" s="273" t="s">
        <v>16</v>
      </c>
      <c r="K28" s="237">
        <v>-1309.66046037356</v>
      </c>
      <c r="L28" s="274">
        <v>-1079.084768771</v>
      </c>
      <c r="M28" s="274">
        <v>-794.147351317111</v>
      </c>
      <c r="N28" s="274">
        <v>-1113.66321747426</v>
      </c>
      <c r="O28" s="274">
        <v>-807.684774112808</v>
      </c>
      <c r="P28" s="274">
        <v>-1207.64761548392</v>
      </c>
      <c r="Q28" s="238">
        <v>-2181.78742157957</v>
      </c>
      <c r="S28" s="273" t="s">
        <v>16</v>
      </c>
      <c r="T28" s="237">
        <f>Cmoyen!F7</f>
        <v>3196.42111753372</v>
      </c>
      <c r="U28" s="274">
        <f>Cmoyen!G7</f>
        <v>2065.86577817531</v>
      </c>
      <c r="V28" s="274">
        <f>Cmoyen!X7</f>
        <v>1149.45780771586</v>
      </c>
      <c r="W28" s="274">
        <f>Cmoyen!Y7</f>
        <v>1699.70906533292</v>
      </c>
      <c r="X28" s="274">
        <f>Cmoyen!Z7</f>
        <v>2408.53005653266</v>
      </c>
      <c r="Y28" s="274">
        <f>Cmoyen!AA7</f>
        <v>3238.34689372438</v>
      </c>
      <c r="Z28" s="238">
        <f>Cmoyen!AB7</f>
        <v>5586.66180952381</v>
      </c>
    </row>
    <row r="29" spans="1:36">
      <c r="A29" s="166" t="s">
        <v>17</v>
      </c>
      <c r="B29" s="166">
        <v>441.68</v>
      </c>
      <c r="C29" s="147">
        <v>-273.1456</v>
      </c>
      <c r="D29" s="147">
        <v>-392.8261</v>
      </c>
      <c r="E29" s="147">
        <v>-318.8634</v>
      </c>
      <c r="F29" s="147">
        <v>-280.8934</v>
      </c>
      <c r="G29" s="147">
        <v>-598.1996</v>
      </c>
      <c r="H29" s="220">
        <v>1140.703</v>
      </c>
      <c r="J29" s="273" t="s">
        <v>17</v>
      </c>
      <c r="K29" s="237">
        <v>408.342539626441</v>
      </c>
      <c r="L29" s="274">
        <v>-757.070168771002</v>
      </c>
      <c r="M29" s="274">
        <v>-482.145251317111</v>
      </c>
      <c r="N29" s="274">
        <v>-566.168517474263</v>
      </c>
      <c r="O29" s="274">
        <v>-565.062774112808</v>
      </c>
      <c r="P29" s="274">
        <v>-971.492115483919</v>
      </c>
      <c r="Q29" s="238">
        <v>1515.14757842043</v>
      </c>
      <c r="S29" s="273" t="s">
        <v>17</v>
      </c>
      <c r="T29" s="237">
        <f>Cmoyen!F8</f>
        <v>4159.6632716763</v>
      </c>
      <c r="U29" s="274">
        <f>Cmoyen!G8</f>
        <v>2738.48137745975</v>
      </c>
      <c r="V29" s="274">
        <f>Cmoyen!X8</f>
        <v>1781.51276178812</v>
      </c>
      <c r="W29" s="274">
        <f>Cmoyen!Y8</f>
        <v>2520.7195273523</v>
      </c>
      <c r="X29" s="274">
        <f>Cmoyen!Z8</f>
        <v>3136.53076633166</v>
      </c>
      <c r="Y29" s="274">
        <f>Cmoyen!AA8</f>
        <v>4165.83209334595</v>
      </c>
      <c r="Z29" s="238">
        <f>Cmoyen!AB8</f>
        <v>6795.76053460317</v>
      </c>
    </row>
    <row r="30" spans="1:36">
      <c r="A30" s="166" t="s">
        <v>18</v>
      </c>
      <c r="B30" s="166">
        <v>-4632.54</v>
      </c>
      <c r="C30" s="147">
        <v>-1926.342</v>
      </c>
      <c r="D30" s="147">
        <v>-98.68393</v>
      </c>
      <c r="E30" s="147">
        <v>-908.8043</v>
      </c>
      <c r="F30" s="147">
        <v>-678.1864</v>
      </c>
      <c r="G30" s="147">
        <v>-1992.499</v>
      </c>
      <c r="H30" s="220">
        <v>-7774.668</v>
      </c>
      <c r="J30" s="273" t="s">
        <v>18</v>
      </c>
      <c r="K30" s="237">
        <v>-4665.87746037356</v>
      </c>
      <c r="L30" s="274">
        <v>-2410.266568771</v>
      </c>
      <c r="M30" s="274">
        <v>-188.003081317111</v>
      </c>
      <c r="N30" s="274">
        <v>-1156.10941747426</v>
      </c>
      <c r="O30" s="274">
        <v>-962.355774112808</v>
      </c>
      <c r="P30" s="274">
        <v>-2365.79151548392</v>
      </c>
      <c r="Q30" s="238">
        <v>-7400.22342157957</v>
      </c>
      <c r="S30" s="273" t="s">
        <v>18</v>
      </c>
      <c r="T30" s="237">
        <f>Cmoyen!F9</f>
        <v>3404.93158959538</v>
      </c>
      <c r="U30" s="274">
        <f>Cmoyen!G9</f>
        <v>1465.46329159213</v>
      </c>
      <c r="V30" s="274">
        <f>Cmoyen!X9</f>
        <v>665.94004898959</v>
      </c>
      <c r="W30" s="274">
        <f>Cmoyen!Y9</f>
        <v>1042.51475461082</v>
      </c>
      <c r="X30" s="274">
        <f>Cmoyen!Z9</f>
        <v>1437.96570351759</v>
      </c>
      <c r="Y30" s="274">
        <f>Cmoyen!AA9</f>
        <v>2546.05578681804</v>
      </c>
      <c r="Z30" s="238">
        <f>Cmoyen!AB9</f>
        <v>8054.96479365079</v>
      </c>
    </row>
    <row r="31" spans="1:36">
      <c r="A31" s="166" t="s">
        <v>19</v>
      </c>
      <c r="B31" s="166">
        <v>-537.313</v>
      </c>
      <c r="C31" s="147">
        <v>-437.1496</v>
      </c>
      <c r="D31" s="147">
        <v>-139.0167</v>
      </c>
      <c r="E31" s="147">
        <v>-81.70624</v>
      </c>
      <c r="F31" s="147">
        <v>-107.5714</v>
      </c>
      <c r="G31" s="147">
        <v>-479.3222</v>
      </c>
      <c r="H31" s="220">
        <v>-343.0416</v>
      </c>
      <c r="J31" s="273" t="s">
        <v>19</v>
      </c>
      <c r="K31" s="237">
        <v>-570.650460373559</v>
      </c>
      <c r="L31" s="274">
        <v>-921.074168771002</v>
      </c>
      <c r="M31" s="274">
        <v>-228.335851317111</v>
      </c>
      <c r="N31" s="274">
        <v>-329.011357474263</v>
      </c>
      <c r="O31" s="274">
        <v>-391.740774112808</v>
      </c>
      <c r="P31" s="274">
        <v>-852.614715483919</v>
      </c>
      <c r="Q31" s="238">
        <v>31.4029784204291</v>
      </c>
      <c r="S31" s="273" t="s">
        <v>19</v>
      </c>
      <c r="T31" s="237">
        <f>Cmoyen!F10</f>
        <v>891.379633911368</v>
      </c>
      <c r="U31" s="274">
        <f>Cmoyen!G10</f>
        <v>466.703595706619</v>
      </c>
      <c r="V31" s="274">
        <f>Cmoyen!X10</f>
        <v>170.680404164115</v>
      </c>
      <c r="W31" s="274">
        <f>Cmoyen!Y10</f>
        <v>291.140450140669</v>
      </c>
      <c r="X31" s="274">
        <f>Cmoyen!Z10</f>
        <v>453.753894472362</v>
      </c>
      <c r="Y31" s="274">
        <f>Cmoyen!AA10</f>
        <v>808.211226742353</v>
      </c>
      <c r="Z31" s="238">
        <f>Cmoyen!AB10</f>
        <v>2020.63587301587</v>
      </c>
    </row>
    <row r="32" spans="1:36">
      <c r="A32" s="166" t="s">
        <v>20</v>
      </c>
      <c r="B32" s="166">
        <v>-439.7566</v>
      </c>
      <c r="C32" s="147">
        <v>-483.0976</v>
      </c>
      <c r="D32" s="147">
        <v>281.682</v>
      </c>
      <c r="E32" s="147">
        <v>-172.1624</v>
      </c>
      <c r="F32" s="147">
        <v>-479.0838</v>
      </c>
      <c r="G32" s="147">
        <v>-1109.767</v>
      </c>
      <c r="H32" s="220">
        <v>-65.32395</v>
      </c>
      <c r="J32" s="273" t="s">
        <v>20</v>
      </c>
      <c r="K32" s="237">
        <v>-473.094060373559</v>
      </c>
      <c r="L32" s="274">
        <v>-967.022168771002</v>
      </c>
      <c r="M32" s="274">
        <v>192.362848682889</v>
      </c>
      <c r="N32" s="274">
        <v>-419.467517474263</v>
      </c>
      <c r="O32" s="274">
        <v>-763.253174112808</v>
      </c>
      <c r="P32" s="274">
        <v>-1483.05951548392</v>
      </c>
      <c r="Q32" s="238">
        <v>309.120628420429</v>
      </c>
      <c r="S32" s="273" t="s">
        <v>20</v>
      </c>
      <c r="T32" s="237">
        <f>Cmoyen!F11</f>
        <v>2946.57686897881</v>
      </c>
      <c r="U32" s="274">
        <f>Cmoyen!G11</f>
        <v>2143.47448121646</v>
      </c>
      <c r="V32" s="274">
        <f>Cmoyen!X11</f>
        <v>1380.10724127373</v>
      </c>
      <c r="W32" s="274">
        <f>Cmoyen!Y11</f>
        <v>1698.75736167552</v>
      </c>
      <c r="X32" s="274">
        <f>Cmoyen!Z11</f>
        <v>2019.52914572864</v>
      </c>
      <c r="Y32" s="274">
        <f>Cmoyen!AA11</f>
        <v>2834.99659413434</v>
      </c>
      <c r="Z32" s="238">
        <f>Cmoyen!AB11</f>
        <v>5462.15244444444</v>
      </c>
    </row>
    <row r="33" spans="1:26">
      <c r="A33" s="166" t="s">
        <v>21</v>
      </c>
      <c r="B33" s="166">
        <v>2277.079</v>
      </c>
      <c r="C33" s="147">
        <v>1123.002</v>
      </c>
      <c r="D33" s="147">
        <v>859.7666</v>
      </c>
      <c r="E33" s="147">
        <v>1113.713</v>
      </c>
      <c r="F33" s="147">
        <v>1076.096</v>
      </c>
      <c r="G33" s="147">
        <v>1579.044</v>
      </c>
      <c r="H33" s="220">
        <v>2217.827</v>
      </c>
      <c r="J33" s="273" t="s">
        <v>21</v>
      </c>
      <c r="K33" s="237">
        <v>2243.74153962644</v>
      </c>
      <c r="L33" s="274">
        <v>639.077431228998</v>
      </c>
      <c r="M33" s="274">
        <v>770.447448682889</v>
      </c>
      <c r="N33" s="274">
        <v>866.407882525737</v>
      </c>
      <c r="O33" s="274">
        <v>791.926625887192</v>
      </c>
      <c r="P33" s="274">
        <v>1205.75148451608</v>
      </c>
      <c r="Q33" s="238">
        <v>2592.27157842043</v>
      </c>
      <c r="S33" s="273" t="s">
        <v>21</v>
      </c>
      <c r="T33" s="237">
        <f>Cmoyen!F12</f>
        <v>3446.76522157996</v>
      </c>
      <c r="U33" s="274">
        <f>Cmoyen!G12</f>
        <v>1900.52432915921</v>
      </c>
      <c r="V33" s="274">
        <f>Cmoyen!X12</f>
        <v>1972.80985915493</v>
      </c>
      <c r="W33" s="274">
        <f>Cmoyen!Y12</f>
        <v>2512.77649265395</v>
      </c>
      <c r="X33" s="274">
        <f>Cmoyen!Z12</f>
        <v>2886.28297738693</v>
      </c>
      <c r="Y33" s="274">
        <f>Cmoyen!AA12</f>
        <v>3266.85083569852</v>
      </c>
      <c r="Z33" s="238">
        <f>Cmoyen!AB12</f>
        <v>3927.19873015873</v>
      </c>
    </row>
    <row r="34" spans="1:26">
      <c r="A34" s="166" t="s">
        <v>22</v>
      </c>
      <c r="B34" s="166">
        <v>-501.3305</v>
      </c>
      <c r="C34" s="147">
        <v>-1935.234</v>
      </c>
      <c r="D34" s="147">
        <v>-380.8633</v>
      </c>
      <c r="E34" s="147">
        <v>-772.1522</v>
      </c>
      <c r="F34" s="147">
        <v>-1176.012</v>
      </c>
      <c r="G34" s="147">
        <v>-1212.966</v>
      </c>
      <c r="H34" s="220">
        <v>541.0895</v>
      </c>
      <c r="J34" s="273" t="s">
        <v>22</v>
      </c>
      <c r="K34" s="237">
        <v>-534.667960373559</v>
      </c>
      <c r="L34" s="274">
        <v>-2419.158568771</v>
      </c>
      <c r="M34" s="274">
        <v>-470.182451317111</v>
      </c>
      <c r="N34" s="274">
        <v>-1019.45731747426</v>
      </c>
      <c r="O34" s="274">
        <v>-1460.18137411281</v>
      </c>
      <c r="P34" s="274">
        <v>-1586.25851548392</v>
      </c>
      <c r="Q34" s="238">
        <v>915.534078420429</v>
      </c>
      <c r="S34" s="273" t="s">
        <v>22</v>
      </c>
      <c r="T34" s="237">
        <f>Cmoyen!F13</f>
        <v>1705.99653179191</v>
      </c>
      <c r="U34" s="274">
        <f>Cmoyen!G13</f>
        <v>1643.52987477639</v>
      </c>
      <c r="V34" s="274">
        <f>Cmoyen!X13</f>
        <v>409.77281077771</v>
      </c>
      <c r="W34" s="274">
        <f>Cmoyen!Y13</f>
        <v>809.346670834636</v>
      </c>
      <c r="X34" s="274">
        <f>Cmoyen!Z13</f>
        <v>1301.47613065327</v>
      </c>
      <c r="Y34" s="274">
        <f>Cmoyen!AA13</f>
        <v>2022.91548407442</v>
      </c>
      <c r="Z34" s="238">
        <f>Cmoyen!AB13</f>
        <v>3939.55333333333</v>
      </c>
    </row>
    <row r="35" spans="1:26">
      <c r="A35" s="166" t="s">
        <v>23</v>
      </c>
      <c r="B35" s="166">
        <v>-848.3492</v>
      </c>
      <c r="C35" s="147">
        <v>-997.3093</v>
      </c>
      <c r="D35" s="147">
        <v>-243.8185</v>
      </c>
      <c r="E35" s="147">
        <v>-386.3166</v>
      </c>
      <c r="F35" s="147">
        <v>-811.8725</v>
      </c>
      <c r="G35" s="147">
        <v>-1597.025</v>
      </c>
      <c r="H35" s="220">
        <v>-286.3723</v>
      </c>
      <c r="J35" s="273" t="s">
        <v>23</v>
      </c>
      <c r="K35" s="237">
        <v>-881.686660373559</v>
      </c>
      <c r="L35" s="274">
        <v>-1481.233868771</v>
      </c>
      <c r="M35" s="274">
        <v>-333.137651317111</v>
      </c>
      <c r="N35" s="274">
        <v>-633.621717474263</v>
      </c>
      <c r="O35" s="274">
        <v>-1096.04187411281</v>
      </c>
      <c r="P35" s="274">
        <v>-1970.31751548392</v>
      </c>
      <c r="Q35" s="238">
        <v>88.0722784204291</v>
      </c>
      <c r="S35" s="273" t="s">
        <v>23</v>
      </c>
      <c r="T35" s="237">
        <f>Cmoyen!F14</f>
        <v>1064.46039499037</v>
      </c>
      <c r="U35" s="274">
        <f>Cmoyen!G14</f>
        <v>640.310983899821</v>
      </c>
      <c r="V35" s="274">
        <f>Cmoyen!X14</f>
        <v>150.01209430496</v>
      </c>
      <c r="W35" s="274">
        <f>Cmoyen!Y14</f>
        <v>253.28746483276</v>
      </c>
      <c r="X35" s="274">
        <f>Cmoyen!Z14</f>
        <v>469.304114321608</v>
      </c>
      <c r="Y35" s="274">
        <f>Cmoyen!AA14</f>
        <v>1097.62280037843</v>
      </c>
      <c r="Z35" s="238">
        <f>Cmoyen!AB14</f>
        <v>2651.8746031746</v>
      </c>
    </row>
    <row r="36" spans="1:26">
      <c r="A36" s="166" t="s">
        <v>24</v>
      </c>
      <c r="B36" s="166">
        <v>-1510.813</v>
      </c>
      <c r="C36" s="147">
        <v>-1763.62</v>
      </c>
      <c r="D36" s="147">
        <v>-685.1448</v>
      </c>
      <c r="E36" s="147">
        <v>-1619.627</v>
      </c>
      <c r="F36" s="147">
        <v>-1512.778</v>
      </c>
      <c r="G36" s="147">
        <v>-1774.291</v>
      </c>
      <c r="H36" s="220">
        <v>-639.8748</v>
      </c>
      <c r="J36" s="273" t="s">
        <v>24</v>
      </c>
      <c r="K36" s="237">
        <v>-1544.15046037356</v>
      </c>
      <c r="L36" s="274">
        <v>-2247.544568771</v>
      </c>
      <c r="M36" s="274">
        <v>-774.463951317111</v>
      </c>
      <c r="N36" s="274">
        <v>-1866.93211747426</v>
      </c>
      <c r="O36" s="274">
        <v>-1796.94737411281</v>
      </c>
      <c r="P36" s="274">
        <v>-2147.58351548392</v>
      </c>
      <c r="Q36" s="238">
        <v>-265.430221579571</v>
      </c>
      <c r="S36" s="273" t="s">
        <v>24</v>
      </c>
      <c r="T36" s="237">
        <f>Cmoyen!F15</f>
        <v>3690.81629672447</v>
      </c>
      <c r="U36" s="274">
        <f>Cmoyen!G15</f>
        <v>2528.36594275492</v>
      </c>
      <c r="V36" s="274">
        <f>Cmoyen!X15</f>
        <v>962.118646662584</v>
      </c>
      <c r="W36" s="274">
        <f>Cmoyen!Y15</f>
        <v>1750.70184432635</v>
      </c>
      <c r="X36" s="274">
        <f>Cmoyen!Z15</f>
        <v>2440.42844849246</v>
      </c>
      <c r="Y36" s="274">
        <f>Cmoyen!AA15</f>
        <v>3652.72220119836</v>
      </c>
      <c r="Z36" s="238">
        <f>Cmoyen!AB15</f>
        <v>7729.6373968254</v>
      </c>
    </row>
    <row r="37" spans="1:26">
      <c r="A37" s="166" t="s">
        <v>25</v>
      </c>
      <c r="B37" s="166">
        <v>-360.2917</v>
      </c>
      <c r="C37" s="147">
        <v>141.3029</v>
      </c>
      <c r="D37" s="147">
        <v>-281.7359</v>
      </c>
      <c r="E37" s="147">
        <v>-227.3124</v>
      </c>
      <c r="F37" s="147">
        <v>49.81949</v>
      </c>
      <c r="G37" s="147">
        <v>247.4687</v>
      </c>
      <c r="H37" s="220">
        <v>-695.1054</v>
      </c>
      <c r="J37" s="273" t="s">
        <v>25</v>
      </c>
      <c r="K37" s="237">
        <v>-393.629160373559</v>
      </c>
      <c r="L37" s="274">
        <v>-342.621668771002</v>
      </c>
      <c r="M37" s="274">
        <v>-371.055051317111</v>
      </c>
      <c r="N37" s="274">
        <v>-474.617517474263</v>
      </c>
      <c r="O37" s="274">
        <v>-234.349884112808</v>
      </c>
      <c r="P37" s="274">
        <v>-125.823815483919</v>
      </c>
      <c r="Q37" s="238">
        <v>-320.660821579571</v>
      </c>
      <c r="S37" s="273" t="s">
        <v>25</v>
      </c>
      <c r="T37" s="237">
        <f>Cmoyen!F16</f>
        <v>2002.11933526011</v>
      </c>
      <c r="U37" s="274">
        <f>Cmoyen!G16</f>
        <v>1401.99964221825</v>
      </c>
      <c r="V37" s="274">
        <f>Cmoyen!X16</f>
        <v>836.838273116963</v>
      </c>
      <c r="W37" s="274">
        <f>Cmoyen!Y16</f>
        <v>1245.31309784308</v>
      </c>
      <c r="X37" s="274">
        <f>Cmoyen!Z16</f>
        <v>1559.61199748744</v>
      </c>
      <c r="Y37" s="274">
        <f>Cmoyen!AA16</f>
        <v>1929.68987701041</v>
      </c>
      <c r="Z37" s="238">
        <f>Cmoyen!AB16</f>
        <v>3434.11273015873</v>
      </c>
    </row>
    <row r="38" spans="1:26">
      <c r="A38" s="166" t="s">
        <v>26</v>
      </c>
      <c r="B38" s="166">
        <v>-219.5854</v>
      </c>
      <c r="C38" s="147">
        <v>3.0977</v>
      </c>
      <c r="D38" s="147">
        <v>-251.9686</v>
      </c>
      <c r="E38" s="147">
        <v>-365.7549</v>
      </c>
      <c r="F38" s="147">
        <v>-324.825</v>
      </c>
      <c r="G38" s="147">
        <v>-506.0717</v>
      </c>
      <c r="H38" s="220">
        <v>144.0522</v>
      </c>
      <c r="J38" s="273" t="s">
        <v>26</v>
      </c>
      <c r="K38" s="237">
        <v>-252.922860373559</v>
      </c>
      <c r="L38" s="274">
        <v>-480.826868771002</v>
      </c>
      <c r="M38" s="274">
        <v>-341.287751317111</v>
      </c>
      <c r="N38" s="274">
        <v>-613.060017474263</v>
      </c>
      <c r="O38" s="274">
        <v>-608.994374112808</v>
      </c>
      <c r="P38" s="274">
        <v>-879.364215483919</v>
      </c>
      <c r="Q38" s="238">
        <v>518.496778420429</v>
      </c>
      <c r="S38" s="273" t="s">
        <v>26</v>
      </c>
      <c r="T38" s="237">
        <f>Cmoyen!F17</f>
        <v>1899.7074566474</v>
      </c>
      <c r="U38" s="274">
        <f>Cmoyen!G17</f>
        <v>748.898461538462</v>
      </c>
      <c r="V38" s="274">
        <f>Cmoyen!X17</f>
        <v>495.89699938763</v>
      </c>
      <c r="W38" s="274">
        <f>Cmoyen!Y17</f>
        <v>841.673898093154</v>
      </c>
      <c r="X38" s="274">
        <f>Cmoyen!Z17</f>
        <v>1170.20785175879</v>
      </c>
      <c r="Y38" s="274">
        <f>Cmoyen!AA17</f>
        <v>1670.8280037843</v>
      </c>
      <c r="Z38" s="238">
        <f>Cmoyen!AB17</f>
        <v>3355.25523809524</v>
      </c>
    </row>
    <row r="39" spans="1:26">
      <c r="A39" s="166" t="s">
        <v>27</v>
      </c>
      <c r="B39" s="166">
        <v>-1232.996</v>
      </c>
      <c r="C39" s="147">
        <v>-476.556</v>
      </c>
      <c r="D39" s="147">
        <v>-165.2043</v>
      </c>
      <c r="E39" s="147">
        <v>-449.8075</v>
      </c>
      <c r="F39" s="147">
        <v>-815.8276</v>
      </c>
      <c r="G39" s="147">
        <v>-998.8241</v>
      </c>
      <c r="H39" s="220">
        <v>-534.2634</v>
      </c>
      <c r="J39" s="273" t="s">
        <v>27</v>
      </c>
      <c r="K39" s="237">
        <v>-1266.33346037356</v>
      </c>
      <c r="L39" s="274">
        <v>-960.480568771002</v>
      </c>
      <c r="M39" s="274">
        <v>-254.523451317111</v>
      </c>
      <c r="N39" s="274">
        <v>-697.112617474263</v>
      </c>
      <c r="O39" s="274">
        <v>-1099.99697411281</v>
      </c>
      <c r="P39" s="274">
        <v>-1372.11661548392</v>
      </c>
      <c r="Q39" s="238">
        <v>-159.818821579571</v>
      </c>
      <c r="S39" s="273" t="s">
        <v>27</v>
      </c>
      <c r="T39" s="237">
        <f>Cmoyen!F18</f>
        <v>2465.05997109827</v>
      </c>
      <c r="U39" s="274">
        <f>Cmoyen!G18</f>
        <v>600.513881932021</v>
      </c>
      <c r="V39" s="274">
        <f>Cmoyen!X18</f>
        <v>280.891977954685</v>
      </c>
      <c r="W39" s="274">
        <f>Cmoyen!Y18</f>
        <v>623.617693029072</v>
      </c>
      <c r="X39" s="274">
        <f>Cmoyen!Z18</f>
        <v>1090.95854271357</v>
      </c>
      <c r="Y39" s="274">
        <f>Cmoyen!AA18</f>
        <v>1985.35433617155</v>
      </c>
      <c r="Z39" s="238">
        <f>Cmoyen!AB18</f>
        <v>5162.75501587302</v>
      </c>
    </row>
    <row r="40" spans="1:26">
      <c r="A40" s="166" t="s">
        <v>28</v>
      </c>
      <c r="B40" s="166">
        <v>2916.884</v>
      </c>
      <c r="C40" s="147">
        <v>1601.97</v>
      </c>
      <c r="D40" s="147">
        <v>2877.359</v>
      </c>
      <c r="E40" s="147">
        <v>4054.856</v>
      </c>
      <c r="F40" s="147">
        <v>4853.634</v>
      </c>
      <c r="G40" s="147">
        <v>6020.705</v>
      </c>
      <c r="H40" s="220">
        <v>2531.88</v>
      </c>
      <c r="J40" s="273" t="s">
        <v>28</v>
      </c>
      <c r="K40" s="237">
        <v>2883.54653962644</v>
      </c>
      <c r="L40" s="274">
        <v>1118.045431229</v>
      </c>
      <c r="M40" s="274">
        <v>2788.03984868289</v>
      </c>
      <c r="N40" s="274">
        <v>3807.55088252574</v>
      </c>
      <c r="O40" s="274">
        <v>4569.46462588719</v>
      </c>
      <c r="P40" s="274">
        <v>5647.41248451608</v>
      </c>
      <c r="Q40" s="238">
        <v>2906.32457842043</v>
      </c>
      <c r="S40" s="273" t="s">
        <v>28</v>
      </c>
      <c r="T40" s="237">
        <f>Cmoyen!F19</f>
        <v>14319.5658381503</v>
      </c>
      <c r="U40" s="274">
        <f>Cmoyen!G19</f>
        <v>5112.66110912344</v>
      </c>
      <c r="V40" s="274">
        <f>Cmoyen!X19</f>
        <v>5173.04519289651</v>
      </c>
      <c r="W40" s="274">
        <f>Cmoyen!Y19</f>
        <v>7379.00975304783</v>
      </c>
      <c r="X40" s="274">
        <f>Cmoyen!Z19</f>
        <v>9299.25188442211</v>
      </c>
      <c r="Y40" s="274">
        <f>Cmoyen!AA19</f>
        <v>12118.9924314096</v>
      </c>
      <c r="Z40" s="238">
        <f>Cmoyen!AB19</f>
        <v>21802.574031746</v>
      </c>
    </row>
    <row r="41" spans="1:26">
      <c r="A41" s="166" t="s">
        <v>29</v>
      </c>
      <c r="B41" s="166">
        <v>-940.0539</v>
      </c>
      <c r="C41" s="147">
        <v>-316.4359</v>
      </c>
      <c r="D41" s="147">
        <v>-50.01836</v>
      </c>
      <c r="E41" s="147">
        <v>-115.6781</v>
      </c>
      <c r="F41" s="147">
        <v>-170.7398</v>
      </c>
      <c r="G41" s="147">
        <v>-590.7891</v>
      </c>
      <c r="H41" s="220">
        <v>-1088.198</v>
      </c>
      <c r="J41" s="273" t="s">
        <v>29</v>
      </c>
      <c r="K41" s="237">
        <v>-973.391360373559</v>
      </c>
      <c r="L41" s="274">
        <v>-800.360468771002</v>
      </c>
      <c r="M41" s="274">
        <v>-139.337511317111</v>
      </c>
      <c r="N41" s="274">
        <v>-362.983217474263</v>
      </c>
      <c r="O41" s="274">
        <v>-454.909174112808</v>
      </c>
      <c r="P41" s="274">
        <v>-964.081615483919</v>
      </c>
      <c r="Q41" s="238">
        <v>-713.753421579571</v>
      </c>
      <c r="S41" s="273" t="s">
        <v>29</v>
      </c>
      <c r="T41" s="237">
        <f>Cmoyen!F20</f>
        <v>1202.87697495183</v>
      </c>
      <c r="U41" s="274">
        <f>Cmoyen!G20</f>
        <v>169.632245080501</v>
      </c>
      <c r="V41" s="274">
        <f>Cmoyen!X20</f>
        <v>105.990508266993</v>
      </c>
      <c r="W41" s="274">
        <f>Cmoyen!Y20</f>
        <v>228.414348233823</v>
      </c>
      <c r="X41" s="274">
        <f>Cmoyen!Z20</f>
        <v>474.018530150754</v>
      </c>
      <c r="Y41" s="274">
        <f>Cmoyen!AA20</f>
        <v>838.059839167455</v>
      </c>
      <c r="Z41" s="238">
        <f>Cmoyen!AB20</f>
        <v>2600.15301587302</v>
      </c>
    </row>
    <row r="42" spans="1:26">
      <c r="A42" s="166" t="s">
        <v>30</v>
      </c>
      <c r="B42" s="166">
        <v>-3837.936</v>
      </c>
      <c r="C42" s="147">
        <v>-1074.736</v>
      </c>
      <c r="D42" s="147">
        <v>-793.4527</v>
      </c>
      <c r="E42" s="147">
        <v>-1125.795</v>
      </c>
      <c r="F42" s="147">
        <v>-1988.33</v>
      </c>
      <c r="G42" s="147">
        <v>-2741.507</v>
      </c>
      <c r="H42" s="220">
        <v>-5373.044</v>
      </c>
      <c r="J42" s="273" t="s">
        <v>30</v>
      </c>
      <c r="K42" s="237">
        <v>-3871.27346037356</v>
      </c>
      <c r="L42" s="274">
        <v>-1558.660568771</v>
      </c>
      <c r="M42" s="274">
        <v>-882.771851317111</v>
      </c>
      <c r="N42" s="274">
        <v>-1373.10011747426</v>
      </c>
      <c r="O42" s="274">
        <v>-2272.49937411281</v>
      </c>
      <c r="P42" s="274">
        <v>-3114.79951548392</v>
      </c>
      <c r="Q42" s="238">
        <v>-4998.59942157957</v>
      </c>
      <c r="S42" s="273" t="s">
        <v>30</v>
      </c>
      <c r="T42" s="237">
        <f>Cmoyen!F21</f>
        <v>6919.36798169557</v>
      </c>
      <c r="U42" s="274">
        <f>Cmoyen!G21</f>
        <v>2842.78178294574</v>
      </c>
      <c r="V42" s="274">
        <f>Cmoyen!X21</f>
        <v>1780.64112573995</v>
      </c>
      <c r="W42" s="274">
        <f>Cmoyen!Y21</f>
        <v>2818.86842242367</v>
      </c>
      <c r="X42" s="274">
        <f>Cmoyen!Z21</f>
        <v>3836.06519577052</v>
      </c>
      <c r="Y42" s="274">
        <f>Cmoyen!AA21</f>
        <v>5893.75023126248</v>
      </c>
      <c r="Z42" s="238">
        <f>Cmoyen!AB21</f>
        <v>13326.3308730159</v>
      </c>
    </row>
    <row r="43" ht="15.15" spans="1:26">
      <c r="A43" s="218" t="s">
        <v>31</v>
      </c>
      <c r="B43" s="218">
        <v>-3377.839</v>
      </c>
      <c r="C43" s="252">
        <v>-1122.012</v>
      </c>
      <c r="D43" s="252">
        <v>-350.6182</v>
      </c>
      <c r="E43" s="252">
        <v>-439.9709</v>
      </c>
      <c r="F43" s="252">
        <v>-375.2402</v>
      </c>
      <c r="G43" s="252">
        <v>-436.8253</v>
      </c>
      <c r="H43" s="224">
        <v>-5570.953</v>
      </c>
      <c r="J43" s="275" t="s">
        <v>31</v>
      </c>
      <c r="K43" s="239">
        <v>-3411.17646037356</v>
      </c>
      <c r="L43" s="276">
        <v>-1605.93656877101</v>
      </c>
      <c r="M43" s="276">
        <v>-439.93735131711</v>
      </c>
      <c r="N43" s="276">
        <v>-687.276017474261</v>
      </c>
      <c r="O43" s="276">
        <v>-659.409574112808</v>
      </c>
      <c r="P43" s="276">
        <v>-810.117815483919</v>
      </c>
      <c r="Q43" s="240">
        <v>-5196.50842157957</v>
      </c>
      <c r="S43" s="275" t="s">
        <v>31</v>
      </c>
      <c r="T43" s="239">
        <f>Cmoyen!F22</f>
        <v>4079.21379576108</v>
      </c>
      <c r="U43" s="276">
        <f>Cmoyen!G22</f>
        <v>1615.01295169946</v>
      </c>
      <c r="V43" s="276">
        <f>Cmoyen!X22</f>
        <v>932.632945499082</v>
      </c>
      <c r="W43" s="276">
        <f>Cmoyen!Y22</f>
        <v>1561.30840887777</v>
      </c>
      <c r="X43" s="276">
        <f>Cmoyen!Z22</f>
        <v>2101.61385050251</v>
      </c>
      <c r="Y43" s="276">
        <f>Cmoyen!AA22</f>
        <v>3013.00066225165</v>
      </c>
      <c r="Z43" s="240">
        <f>Cmoyen!AB22</f>
        <v>8598.02958730158</v>
      </c>
    </row>
    <row r="44" ht="15.15"/>
    <row r="45" ht="58.35" spans="1:26">
      <c r="J45" s="206" t="s">
        <v>40</v>
      </c>
      <c r="K45" s="159" t="s">
        <v>1</v>
      </c>
      <c r="L45" s="98" t="s">
        <v>2</v>
      </c>
      <c r="M45" s="98" t="s">
        <v>3</v>
      </c>
      <c r="N45" s="98" t="s">
        <v>4</v>
      </c>
      <c r="O45" s="98" t="s">
        <v>5</v>
      </c>
      <c r="P45" s="98" t="s">
        <v>6</v>
      </c>
      <c r="Q45" s="160" t="s">
        <v>7</v>
      </c>
    </row>
    <row r="46" spans="1:26">
      <c r="J46" s="243" t="s">
        <v>12</v>
      </c>
      <c r="K46" s="277">
        <f>IF('20pdts2007'!K2=0,0,'20pdts2014'!K2/'20pdts2007'!K2-1)</f>
        <v>-0.273327557379865</v>
      </c>
      <c r="L46" s="278">
        <f>IF('20pdts2007'!L2=0,0,'20pdts2014'!L2/'20pdts2007'!L2-1)</f>
        <v>-0.205333932973922</v>
      </c>
      <c r="M46" s="279">
        <f>IF('20pdts2007'!M2=0,0,'20pdts2014'!M2/'20pdts2007'!M2-1)</f>
        <v>-0.0484703536845742</v>
      </c>
      <c r="N46" s="279">
        <f>IF('20pdts2007'!N2=0,0,'20pdts2014'!N2/'20pdts2007'!N2-1)</f>
        <v>-0.0829221942606243</v>
      </c>
      <c r="O46" s="279">
        <f>IF('20pdts2007'!O2=0,0,'20pdts2014'!O2/'20pdts2007'!O2-1)</f>
        <v>0.220911376449068</v>
      </c>
      <c r="P46" s="279">
        <f>IF('20pdts2007'!P2=0,0,'20pdts2014'!P2/'20pdts2007'!P2-1)</f>
        <v>-0.102578916942618</v>
      </c>
      <c r="Q46" s="280">
        <f>IF('20pdts2007'!Q2=0,0,'20pdts2014'!Q2/'20pdts2007'!Q2-1)</f>
        <v>-0.11088209881667</v>
      </c>
    </row>
    <row r="47" spans="1:26">
      <c r="J47" s="267" t="s">
        <v>13</v>
      </c>
      <c r="K47" s="281">
        <f>IF('20pdts2007'!K3=0,0,'20pdts2014'!K3/'20pdts2007'!K3-1)</f>
        <v>0.145917671422635</v>
      </c>
      <c r="L47" s="282">
        <f>IF('20pdts2007'!L3=0,0,'20pdts2014'!L3/'20pdts2007'!L3-1)</f>
        <v>-0.0333782606922238</v>
      </c>
      <c r="M47" s="283">
        <f>IF('20pdts2007'!M3=0,0,'20pdts2014'!M3/'20pdts2007'!M3-1)</f>
        <v>-0.147334128229162</v>
      </c>
      <c r="N47" s="283">
        <f>IF('20pdts2007'!N3=0,0,'20pdts2014'!N3/'20pdts2007'!N3-1)</f>
        <v>-0.0732645931792937</v>
      </c>
      <c r="O47" s="283">
        <f>IF('20pdts2007'!O3=0,0,'20pdts2014'!O3/'20pdts2007'!O3-1)</f>
        <v>-0.0836682254605327</v>
      </c>
      <c r="P47" s="283">
        <f>IF('20pdts2007'!P3=0,0,'20pdts2014'!P3/'20pdts2007'!P3-1)</f>
        <v>0.166570497219449</v>
      </c>
      <c r="Q47" s="284">
        <f>IF('20pdts2007'!Q3=0,0,'20pdts2014'!Q3/'20pdts2007'!Q3-1)</f>
        <v>0.109854001521886</v>
      </c>
    </row>
    <row r="48" spans="1:26">
      <c r="J48" s="267" t="s">
        <v>14</v>
      </c>
      <c r="K48" s="281">
        <f>IF('20pdts2007'!K4=0,0,'20pdts2014'!K4/'20pdts2007'!K4-1)</f>
        <v>-0.577737381710979</v>
      </c>
      <c r="L48" s="282">
        <f>IF('20pdts2007'!L4=0,0,'20pdts2014'!L4/'20pdts2007'!L4-1)</f>
        <v>-0.0631128940199942</v>
      </c>
      <c r="M48" s="283">
        <f>IF('20pdts2007'!M4=0,0,'20pdts2014'!M4/'20pdts2007'!M4-1)</f>
        <v>-0.21747412084156</v>
      </c>
      <c r="N48" s="283">
        <f>IF('20pdts2007'!N4=0,0,'20pdts2014'!N4/'20pdts2007'!N4-1)</f>
        <v>0.00759461061560818</v>
      </c>
      <c r="O48" s="283">
        <f>IF('20pdts2007'!O4=0,0,'20pdts2014'!O4/'20pdts2007'!O4-1)</f>
        <v>-0.0767396225039271</v>
      </c>
      <c r="P48" s="283">
        <f>IF('20pdts2007'!P4=0,0,'20pdts2014'!P4/'20pdts2007'!P4-1)</f>
        <v>-0.0402787058991328</v>
      </c>
      <c r="Q48" s="284">
        <f>IF('20pdts2007'!Q4=0,0,'20pdts2014'!Q4/'20pdts2007'!Q4-1)</f>
        <v>-0.0600668488917731</v>
      </c>
    </row>
    <row r="49" spans="10:17">
      <c r="J49" s="267" t="s">
        <v>15</v>
      </c>
      <c r="K49" s="281">
        <f>IF('20pdts2007'!K5=0,0,'20pdts2014'!K5/'20pdts2007'!K5-1)</f>
        <v>0.116254673351313</v>
      </c>
      <c r="L49" s="282">
        <f>IF('20pdts2007'!L5=0,0,'20pdts2014'!L5/'20pdts2007'!L5-1)</f>
        <v>0.0221790011742671</v>
      </c>
      <c r="M49" s="283">
        <f>IF('20pdts2007'!M5=0,0,'20pdts2014'!M5/'20pdts2007'!M5-1)</f>
        <v>-0.00519579654592406</v>
      </c>
      <c r="N49" s="283">
        <f>IF('20pdts2007'!N5=0,0,'20pdts2014'!N5/'20pdts2007'!N5-1)</f>
        <v>-0.0620104680849157</v>
      </c>
      <c r="O49" s="283">
        <f>IF('20pdts2007'!O5=0,0,'20pdts2014'!O5/'20pdts2007'!O5-1)</f>
        <v>0.428379735767563</v>
      </c>
      <c r="P49" s="283">
        <f>IF('20pdts2007'!P5=0,0,'20pdts2014'!P5/'20pdts2007'!P5-1)</f>
        <v>-0.0297135862827184</v>
      </c>
      <c r="Q49" s="284">
        <f>IF('20pdts2007'!Q5=0,0,'20pdts2014'!Q5/'20pdts2007'!Q5-1)</f>
        <v>0.583980225897166</v>
      </c>
    </row>
    <row r="50" spans="10:17">
      <c r="J50" s="267" t="s">
        <v>16</v>
      </c>
      <c r="K50" s="281">
        <f>IF('20pdts2007'!K6=0,0,'20pdts2014'!K6/'20pdts2007'!K6-1)</f>
        <v>0.240085786217404</v>
      </c>
      <c r="L50" s="282">
        <f>IF('20pdts2007'!L6=0,0,'20pdts2014'!L6/'20pdts2007'!L6-1)</f>
        <v>0.149199716410624</v>
      </c>
      <c r="M50" s="283">
        <f>IF('20pdts2007'!M6=0,0,'20pdts2014'!M6/'20pdts2007'!M6-1)</f>
        <v>0.0789626838484929</v>
      </c>
      <c r="N50" s="283">
        <f>IF('20pdts2007'!N6=0,0,'20pdts2014'!N6/'20pdts2007'!N6-1)</f>
        <v>-0.049612139778287</v>
      </c>
      <c r="O50" s="283">
        <f>IF('20pdts2007'!O6=0,0,'20pdts2014'!O6/'20pdts2007'!O6-1)</f>
        <v>-0.0263026026720979</v>
      </c>
      <c r="P50" s="283">
        <f>IF('20pdts2007'!P6=0,0,'20pdts2014'!P6/'20pdts2007'!P6-1)</f>
        <v>-0.0846699284529389</v>
      </c>
      <c r="Q50" s="284">
        <f>IF('20pdts2007'!Q6=0,0,'20pdts2014'!Q6/'20pdts2007'!Q6-1)</f>
        <v>0.571432592278073</v>
      </c>
    </row>
    <row r="51" spans="10:17">
      <c r="J51" s="267" t="s">
        <v>17</v>
      </c>
      <c r="K51" s="281">
        <f>IF('20pdts2007'!K7=0,0,'20pdts2014'!K7/'20pdts2007'!K7-1)</f>
        <v>0.42683218667285</v>
      </c>
      <c r="L51" s="282">
        <f>IF('20pdts2007'!L7=0,0,'20pdts2014'!L7/'20pdts2007'!L7-1)</f>
        <v>0.257618232797387</v>
      </c>
      <c r="M51" s="283">
        <f>IF('20pdts2007'!M7=0,0,'20pdts2014'!M7/'20pdts2007'!M7-1)</f>
        <v>0.0605872840995474</v>
      </c>
      <c r="N51" s="283">
        <f>IF('20pdts2007'!N7=0,0,'20pdts2014'!N7/'20pdts2007'!N7-1)</f>
        <v>0.3927656081353</v>
      </c>
      <c r="O51" s="283">
        <f>IF('20pdts2007'!O7=0,0,'20pdts2014'!O7/'20pdts2007'!O7-1)</f>
        <v>-0.0394568093937557</v>
      </c>
      <c r="P51" s="283">
        <f>IF('20pdts2007'!P7=0,0,'20pdts2014'!P7/'20pdts2007'!P7-1)</f>
        <v>0.0811486337430909</v>
      </c>
      <c r="Q51" s="284">
        <f>IF('20pdts2007'!Q7=0,0,'20pdts2014'!Q7/'20pdts2007'!Q7-1)</f>
        <v>0.624898116290464</v>
      </c>
    </row>
    <row r="52" spans="10:17">
      <c r="J52" s="267" t="s">
        <v>18</v>
      </c>
      <c r="K52" s="281">
        <f>IF('20pdts2007'!K8=0,0,'20pdts2014'!K8/'20pdts2007'!K8-1)</f>
        <v>-0.00640752383543097</v>
      </c>
      <c r="L52" s="282">
        <f>IF('20pdts2007'!L8=0,0,'20pdts2014'!L8/'20pdts2007'!L8-1)</f>
        <v>0.0312024033367417</v>
      </c>
      <c r="M52" s="283">
        <f>IF('20pdts2007'!M8=0,0,'20pdts2014'!M8/'20pdts2007'!M8-1)</f>
        <v>-0.141439905405888</v>
      </c>
      <c r="N52" s="283">
        <f>IF('20pdts2007'!N8=0,0,'20pdts2014'!N8/'20pdts2007'!N8-1)</f>
        <v>0.473762398266701</v>
      </c>
      <c r="O52" s="283">
        <f>IF('20pdts2007'!O8=0,0,'20pdts2014'!O8/'20pdts2007'!O8-1)</f>
        <v>-0.150157674534275</v>
      </c>
      <c r="P52" s="283">
        <f>IF('20pdts2007'!P8=0,0,'20pdts2014'!P8/'20pdts2007'!P8-1)</f>
        <v>0.265993525506423</v>
      </c>
      <c r="Q52" s="284">
        <f>IF('20pdts2007'!Q8=0,0,'20pdts2014'!Q8/'20pdts2007'!Q8-1)</f>
        <v>-0.0903491593263873</v>
      </c>
    </row>
    <row r="53" spans="10:17">
      <c r="J53" s="267" t="s">
        <v>19</v>
      </c>
      <c r="K53" s="281">
        <f>IF('20pdts2007'!K9=0,0,'20pdts2014'!K9/'20pdts2007'!K9-1)</f>
        <v>0.0499045595221781</v>
      </c>
      <c r="L53" s="282">
        <f>IF('20pdts2007'!L9=0,0,'20pdts2014'!L9/'20pdts2007'!L9-1)</f>
        <v>0.365132564144912</v>
      </c>
      <c r="M53" s="283">
        <f>IF('20pdts2007'!M9=0,0,'20pdts2014'!M9/'20pdts2007'!M9-1)</f>
        <v>0.3385293055254</v>
      </c>
      <c r="N53" s="283">
        <f>IF('20pdts2007'!N9=0,0,'20pdts2014'!N9/'20pdts2007'!N9-1)</f>
        <v>-0.183934209320892</v>
      </c>
      <c r="O53" s="283">
        <f>IF('20pdts2007'!O9=0,0,'20pdts2014'!O9/'20pdts2007'!O9-1)</f>
        <v>-0.193588072372877</v>
      </c>
      <c r="P53" s="283">
        <f>IF('20pdts2007'!P9=0,0,'20pdts2014'!P9/'20pdts2007'!P9-1)</f>
        <v>-0.00965161403341053</v>
      </c>
      <c r="Q53" s="284">
        <f>IF('20pdts2007'!Q9=0,0,'20pdts2014'!Q9/'20pdts2007'!Q9-1)</f>
        <v>-0.000329218857922475</v>
      </c>
    </row>
    <row r="54" spans="10:17">
      <c r="J54" s="267" t="s">
        <v>20</v>
      </c>
      <c r="K54" s="281">
        <f>IF('20pdts2007'!K10=0,0,'20pdts2014'!K10/'20pdts2007'!K10-1)</f>
        <v>-0.350784361229112</v>
      </c>
      <c r="L54" s="282">
        <f>IF('20pdts2007'!L10=0,0,'20pdts2014'!L10/'20pdts2007'!L10-1)</f>
        <v>-0.107756730140002</v>
      </c>
      <c r="M54" s="283">
        <f>IF('20pdts2007'!M10=0,0,'20pdts2014'!M10/'20pdts2007'!M10-1)</f>
        <v>0.0635108646815865</v>
      </c>
      <c r="N54" s="283">
        <f>IF('20pdts2007'!N10=0,0,'20pdts2014'!N10/'20pdts2007'!N10-1)</f>
        <v>0.467913187758325</v>
      </c>
      <c r="O54" s="283">
        <f>IF('20pdts2007'!O10=0,0,'20pdts2014'!O10/'20pdts2007'!O10-1)</f>
        <v>0.992273615180549</v>
      </c>
      <c r="P54" s="283">
        <f>IF('20pdts2007'!P10=0,0,'20pdts2014'!P10/'20pdts2007'!P10-1)</f>
        <v>0.563026612180821</v>
      </c>
      <c r="Q54" s="284">
        <f>IF('20pdts2007'!Q10=0,0,'20pdts2014'!Q10/'20pdts2007'!Q10-1)</f>
        <v>-0.467535464144199</v>
      </c>
    </row>
    <row r="55" spans="10:17">
      <c r="J55" s="267" t="s">
        <v>21</v>
      </c>
      <c r="K55" s="281">
        <f>IF('20pdts2007'!K11=0,0,'20pdts2014'!K11/'20pdts2007'!K11-1)</f>
        <v>-0.120193146298498</v>
      </c>
      <c r="L55" s="282">
        <f>IF('20pdts2007'!L11=0,0,'20pdts2014'!L11/'20pdts2007'!L11-1)</f>
        <v>-0.198879890585306</v>
      </c>
      <c r="M55" s="283">
        <f>IF('20pdts2007'!M11=0,0,'20pdts2014'!M11/'20pdts2007'!M11-1)</f>
        <v>-0.202930688443836</v>
      </c>
      <c r="N55" s="283">
        <f>IF('20pdts2007'!N11=0,0,'20pdts2014'!N11/'20pdts2007'!N11-1)</f>
        <v>-0.134649945092914</v>
      </c>
      <c r="O55" s="283">
        <f>IF('20pdts2007'!O11=0,0,'20pdts2014'!O11/'20pdts2007'!O11-1)</f>
        <v>0.285951835986754</v>
      </c>
      <c r="P55" s="283">
        <f>IF('20pdts2007'!P11=0,0,'20pdts2014'!P11/'20pdts2007'!P11-1)</f>
        <v>-0.156153838319379</v>
      </c>
      <c r="Q55" s="284">
        <f>IF('20pdts2007'!Q11=0,0,'20pdts2014'!Q11/'20pdts2007'!Q11-1)</f>
        <v>0.144575277973787</v>
      </c>
    </row>
    <row r="56" spans="10:17">
      <c r="J56" s="267" t="s">
        <v>22</v>
      </c>
      <c r="K56" s="281">
        <f>IF('20pdts2007'!K12=0,0,'20pdts2014'!K12/'20pdts2007'!K12-1)</f>
        <v>-0.0132630346399533</v>
      </c>
      <c r="L56" s="282">
        <f>IF('20pdts2007'!L12=0,0,'20pdts2014'!L12/'20pdts2007'!L12-1)</f>
        <v>0.474695176584365</v>
      </c>
      <c r="M56" s="283">
        <f>IF('20pdts2007'!M12=0,0,'20pdts2014'!M12/'20pdts2007'!M12-1)</f>
        <v>0.154563469397386</v>
      </c>
      <c r="N56" s="283">
        <f>IF('20pdts2007'!N12=0,0,'20pdts2014'!N12/'20pdts2007'!N12-1)</f>
        <v>-0.123767908859476</v>
      </c>
      <c r="O56" s="283">
        <f>IF('20pdts2007'!O12=0,0,'20pdts2014'!O12/'20pdts2007'!O12-1)</f>
        <v>0.508037524290601</v>
      </c>
      <c r="P56" s="283">
        <f>IF('20pdts2007'!P12=0,0,'20pdts2014'!P12/'20pdts2007'!P12-1)</f>
        <v>1.3820571675458</v>
      </c>
      <c r="Q56" s="284">
        <f>IF('20pdts2007'!Q12=0,0,'20pdts2014'!Q12/'20pdts2007'!Q12-1)</f>
        <v>-0.0103256570845143</v>
      </c>
    </row>
    <row r="57" spans="10:17">
      <c r="J57" s="267" t="s">
        <v>23</v>
      </c>
      <c r="K57" s="281">
        <f>IF('20pdts2007'!K13=0,0,'20pdts2014'!K13/'20pdts2007'!K13-1)</f>
        <v>-0.42672024113647</v>
      </c>
      <c r="L57" s="282">
        <f>IF('20pdts2007'!L13=0,0,'20pdts2014'!L13/'20pdts2007'!L13-1)</f>
        <v>-0.158059037301678</v>
      </c>
      <c r="M57" s="283">
        <f>IF('20pdts2007'!M13=0,0,'20pdts2014'!M13/'20pdts2007'!M13-1)</f>
        <v>0.718954984795791</v>
      </c>
      <c r="N57" s="283">
        <f>IF('20pdts2007'!N13=0,0,'20pdts2014'!N13/'20pdts2007'!N13-1)</f>
        <v>0.227950058436148</v>
      </c>
      <c r="O57" s="283">
        <f>IF('20pdts2007'!O13=0,0,'20pdts2014'!O13/'20pdts2007'!O13-1)</f>
        <v>1.27067963011562</v>
      </c>
      <c r="P57" s="283">
        <f>IF('20pdts2007'!P13=0,0,'20pdts2014'!P13/'20pdts2007'!P13-1)</f>
        <v>0.331827744533785</v>
      </c>
      <c r="Q57" s="284">
        <f>IF('20pdts2007'!Q13=0,0,'20pdts2014'!Q13/'20pdts2007'!Q13-1)</f>
        <v>-0.568865963654756</v>
      </c>
    </row>
    <row r="58" spans="10:17">
      <c r="J58" s="267" t="s">
        <v>24</v>
      </c>
      <c r="K58" s="281">
        <f>IF('20pdts2007'!K14=0,0,'20pdts2014'!K14/'20pdts2007'!K14-1)</f>
        <v>0.0390728582001572</v>
      </c>
      <c r="L58" s="282">
        <f>IF('20pdts2007'!L14=0,0,'20pdts2014'!L14/'20pdts2007'!L14-1)</f>
        <v>0.103754082276025</v>
      </c>
      <c r="M58" s="283">
        <f>IF('20pdts2007'!M14=0,0,'20pdts2014'!M14/'20pdts2007'!M14-1)</f>
        <v>1.27174371350605</v>
      </c>
      <c r="N58" s="283">
        <f>IF('20pdts2007'!N14=0,0,'20pdts2014'!N14/'20pdts2007'!N14-1)</f>
        <v>0.536287143730537</v>
      </c>
      <c r="O58" s="283">
        <f>IF('20pdts2007'!O14=0,0,'20pdts2014'!O14/'20pdts2007'!O14-1)</f>
        <v>-0.0891882673565209</v>
      </c>
      <c r="P58" s="283">
        <f>IF('20pdts2007'!P14=0,0,'20pdts2014'!P14/'20pdts2007'!P14-1)</f>
        <v>0.0341369267811522</v>
      </c>
      <c r="Q58" s="284">
        <f>IF('20pdts2007'!Q14=0,0,'20pdts2014'!Q14/'20pdts2007'!Q14-1)</f>
        <v>-0.0352535261601592</v>
      </c>
    </row>
    <row r="59" spans="10:17">
      <c r="J59" s="267" t="s">
        <v>25</v>
      </c>
      <c r="K59" s="281">
        <f>IF('20pdts2007'!K15=0,0,'20pdts2014'!K15/'20pdts2007'!K15-1)</f>
        <v>0.678731067179482</v>
      </c>
      <c r="L59" s="282">
        <f>IF('20pdts2007'!L15=0,0,'20pdts2014'!L15/'20pdts2007'!L15-1)</f>
        <v>0.157286619005272</v>
      </c>
      <c r="M59" s="283">
        <f>IF('20pdts2007'!M15=0,0,'20pdts2014'!M15/'20pdts2007'!M15-1)</f>
        <v>-0.0435425466457832</v>
      </c>
      <c r="N59" s="283">
        <f>IF('20pdts2007'!N15=0,0,'20pdts2014'!N15/'20pdts2007'!N15-1)</f>
        <v>-0.0719435530484768</v>
      </c>
      <c r="O59" s="283">
        <f>IF('20pdts2007'!O15=0,0,'20pdts2014'!O15/'20pdts2007'!O15-1)</f>
        <v>-0.220950293015196</v>
      </c>
      <c r="P59" s="283">
        <f>IF('20pdts2007'!P15=0,0,'20pdts2014'!P15/'20pdts2007'!P15-1)</f>
        <v>-0.251022440336098</v>
      </c>
      <c r="Q59" s="284">
        <f>IF('20pdts2007'!Q15=0,0,'20pdts2014'!Q15/'20pdts2007'!Q15-1)</f>
        <v>1.62630696542461</v>
      </c>
    </row>
    <row r="60" spans="10:17">
      <c r="J60" s="267" t="s">
        <v>26</v>
      </c>
      <c r="K60" s="281">
        <f>IF('20pdts2007'!K16=0,0,'20pdts2014'!K16/'20pdts2007'!K16-1)</f>
        <v>-0.0828695104213308</v>
      </c>
      <c r="L60" s="282">
        <f>IF('20pdts2007'!L16=0,0,'20pdts2014'!L16/'20pdts2007'!L16-1)</f>
        <v>-0.251525499162886</v>
      </c>
      <c r="M60" s="283">
        <f>IF('20pdts2007'!M16=0,0,'20pdts2014'!M16/'20pdts2007'!M16-1)</f>
        <v>0.0129784377179556</v>
      </c>
      <c r="N60" s="283">
        <f>IF('20pdts2007'!N16=0,0,'20pdts2014'!N16/'20pdts2007'!N16-1)</f>
        <v>-0.186619791679886</v>
      </c>
      <c r="O60" s="283">
        <f>IF('20pdts2007'!O16=0,0,'20pdts2014'!O16/'20pdts2007'!O16-1)</f>
        <v>-0.231805588947163</v>
      </c>
      <c r="P60" s="283">
        <f>IF('20pdts2007'!P16=0,0,'20pdts2014'!P16/'20pdts2007'!P16-1)</f>
        <v>-0.286928763732007</v>
      </c>
      <c r="Q60" s="284">
        <f>IF('20pdts2007'!Q16=0,0,'20pdts2014'!Q16/'20pdts2007'!Q16-1)</f>
        <v>-0.0928264449387172</v>
      </c>
    </row>
    <row r="61" spans="10:17">
      <c r="J61" s="267" t="s">
        <v>27</v>
      </c>
      <c r="K61" s="281">
        <f>IF('20pdts2007'!K17=0,0,'20pdts2014'!K17/'20pdts2007'!K17-1)</f>
        <v>0.0967447449692167</v>
      </c>
      <c r="L61" s="282">
        <f>IF('20pdts2007'!L17=0,0,'20pdts2014'!L17/'20pdts2007'!L17-1)</f>
        <v>-0.295540997601294</v>
      </c>
      <c r="M61" s="283">
        <f>IF('20pdts2007'!M17=0,0,'20pdts2014'!M17/'20pdts2007'!M17-1)</f>
        <v>0.372811900708814</v>
      </c>
      <c r="N61" s="283">
        <f>IF('20pdts2007'!N17=0,0,'20pdts2014'!N17/'20pdts2007'!N17-1)</f>
        <v>0.0478442749199111</v>
      </c>
      <c r="O61" s="283">
        <f>IF('20pdts2007'!O17=0,0,'20pdts2014'!O17/'20pdts2007'!O17-1)</f>
        <v>-0.301874181368652</v>
      </c>
      <c r="P61" s="283">
        <f>IF('20pdts2007'!P17=0,0,'20pdts2014'!P17/'20pdts2007'!P17-1)</f>
        <v>-0.319834374455421</v>
      </c>
      <c r="Q61" s="284">
        <f>IF('20pdts2007'!Q17=0,0,'20pdts2014'!Q17/'20pdts2007'!Q17-1)</f>
        <v>0.0730890670406141</v>
      </c>
    </row>
    <row r="62" spans="10:17">
      <c r="J62" s="267" t="s">
        <v>28</v>
      </c>
      <c r="K62" s="281">
        <f>IF('20pdts2007'!K18=0,0,'20pdts2014'!K18/'20pdts2007'!K18-1)</f>
        <v>-0.0667267106327365</v>
      </c>
      <c r="L62" s="282">
        <f>IF('20pdts2007'!L18=0,0,'20pdts2014'!L18/'20pdts2007'!L18-1)</f>
        <v>0.112792948472157</v>
      </c>
      <c r="M62" s="283">
        <f>IF('20pdts2007'!M18=0,0,'20pdts2014'!M18/'20pdts2007'!M18-1)</f>
        <v>-0.424166660317958</v>
      </c>
      <c r="N62" s="283">
        <f>IF('20pdts2007'!N18=0,0,'20pdts2014'!N18/'20pdts2007'!N18-1)</f>
        <v>-0.38440518638815</v>
      </c>
      <c r="O62" s="283">
        <f>IF('20pdts2007'!O18=0,0,'20pdts2014'!O18/'20pdts2007'!O18-1)</f>
        <v>-0.585846702227135</v>
      </c>
      <c r="P62" s="283">
        <f>IF('20pdts2007'!P18=0,0,'20pdts2014'!P18/'20pdts2007'!P18-1)</f>
        <v>-0.37968441540104</v>
      </c>
      <c r="Q62" s="284">
        <f>IF('20pdts2007'!Q18=0,0,'20pdts2014'!Q18/'20pdts2007'!Q18-1)</f>
        <v>-0.262757735221082</v>
      </c>
    </row>
    <row r="63" spans="10:17">
      <c r="J63" s="267" t="s">
        <v>29</v>
      </c>
      <c r="K63" s="281">
        <f>IF('20pdts2007'!K19=0,0,'20pdts2014'!K19/'20pdts2007'!K19-1)</f>
        <v>0.0981429526594284</v>
      </c>
      <c r="L63" s="282">
        <f>IF('20pdts2007'!L19=0,0,'20pdts2014'!L19/'20pdts2007'!L19-1)</f>
        <v>0.225352666454959</v>
      </c>
      <c r="M63" s="283">
        <f>IF('20pdts2007'!M19=0,0,'20pdts2014'!M19/'20pdts2007'!M19-1)</f>
        <v>0.596888062957185</v>
      </c>
      <c r="N63" s="283">
        <f>IF('20pdts2007'!N19=0,0,'20pdts2014'!N19/'20pdts2007'!N19-1)</f>
        <v>-0.230699105785579</v>
      </c>
      <c r="O63" s="283">
        <f>IF('20pdts2007'!O19=0,0,'20pdts2014'!O19/'20pdts2007'!O19-1)</f>
        <v>-0.491529941653555</v>
      </c>
      <c r="P63" s="283">
        <f>IF('20pdts2007'!P19=0,0,'20pdts2014'!P19/'20pdts2007'!P19-1)</f>
        <v>-0.435402642509907</v>
      </c>
      <c r="Q63" s="284">
        <f>IF('20pdts2007'!Q19=0,0,'20pdts2014'!Q19/'20pdts2007'!Q19-1)</f>
        <v>0.216599336193752</v>
      </c>
    </row>
    <row r="64" spans="10:17">
      <c r="J64" s="267" t="s">
        <v>30</v>
      </c>
      <c r="K64" s="281">
        <f>IF('20pdts2007'!K20=0,0,'20pdts2014'!K20/'20pdts2007'!K20-1)</f>
        <v>0.126024556832027</v>
      </c>
      <c r="L64" s="282">
        <f>IF('20pdts2007'!L20=0,0,'20pdts2014'!L20/'20pdts2007'!L20-1)</f>
        <v>0.124339746754916</v>
      </c>
      <c r="M64" s="283">
        <f>IF('20pdts2007'!M20=0,0,'20pdts2014'!M20/'20pdts2007'!M20-1)</f>
        <v>0.24263978574116</v>
      </c>
      <c r="N64" s="283">
        <f>IF('20pdts2007'!N20=0,0,'20pdts2014'!N20/'20pdts2007'!N20-1)</f>
        <v>0.21500151288123</v>
      </c>
      <c r="O64" s="283">
        <f>IF('20pdts2007'!O20=0,0,'20pdts2014'!O20/'20pdts2007'!O20-1)</f>
        <v>-0.222875656938284</v>
      </c>
      <c r="P64" s="283">
        <f>IF('20pdts2007'!P20=0,0,'20pdts2014'!P20/'20pdts2007'!P20-1)</f>
        <v>0.228899971787166</v>
      </c>
      <c r="Q64" s="284">
        <f>IF('20pdts2007'!Q20=0,0,'20pdts2014'!Q20/'20pdts2007'!Q20-1)</f>
        <v>0.153331433751774</v>
      </c>
    </row>
    <row r="65" ht="15.15" spans="10:17">
      <c r="J65" s="269" t="s">
        <v>31</v>
      </c>
      <c r="K65" s="285">
        <f>IF('20pdts2007'!K21=0,0,'20pdts2014'!K21/'20pdts2007'!K21-1)</f>
        <v>0.295305292269809</v>
      </c>
      <c r="L65" s="286">
        <f>IF('20pdts2007'!L21=0,0,'20pdts2014'!L21/'20pdts2007'!L21-1)</f>
        <v>0.155509153366371</v>
      </c>
      <c r="M65" s="287">
        <f>IF('20pdts2007'!M21=0,0,'20pdts2014'!M21/'20pdts2007'!M21-1)</f>
        <v>0.0422245628745326</v>
      </c>
      <c r="N65" s="287">
        <f>IF('20pdts2007'!N21=0,0,'20pdts2014'!N21/'20pdts2007'!N21-1)</f>
        <v>0.26968490200391</v>
      </c>
      <c r="O65" s="287">
        <f>IF('20pdts2007'!O21=0,0,'20pdts2014'!O21/'20pdts2007'!O21-1)</f>
        <v>-0.429538402267958</v>
      </c>
      <c r="P65" s="287">
        <f>IF('20pdts2007'!P21=0,0,'20pdts2014'!P21/'20pdts2007'!P21-1)</f>
        <v>-0.135145359479431</v>
      </c>
      <c r="Q65" s="288">
        <f>IF('20pdts2007'!Q21=0,0,'20pdts2014'!Q21/'20pdts2007'!Q21-1)</f>
        <v>0.218023337992657</v>
      </c>
    </row>
  </sheetData>
  <conditionalFormatting sqref="A23:R23 AA23:XFD43 J24:J43 A24:I1048576 J44:XFD1048576 K43:R43 K24:O42 $A22:$XFD22 A1:I21 R1:R21 AA1:XFD21">
    <cfRule type="cellIs" dxfId="0" priority="7" operator="equal">
      <formula>0</formula>
    </cfRule>
  </conditionalFormatting>
  <conditionalFormatting sqref="$A22:$XFD1048576 A1:I21 R1:R21 AA1:XFD21">
    <cfRule type="cellIs" dxfId="0" priority="3" operator="equal">
      <formula>0</formula>
    </cfRule>
  </conditionalFormatting>
  <conditionalFormatting sqref="J1:Q21">
    <cfRule type="cellIs" dxfId="0" priority="2" operator="equal">
      <formula>0</formula>
    </cfRule>
  </conditionalFormatting>
  <conditionalFormatting sqref="S1:Z21">
    <cfRule type="cellIs" dxfId="0" priority="1" operator="equal">
      <formula>0</formula>
    </cfRule>
  </conditionalFormatting>
  <conditionalFormatting sqref="S23:Z23 S24:S43">
    <cfRule type="cellIs" dxfId="0" priority="6" operator="equal">
      <formula>0</formula>
    </cfRule>
  </conditionalFormatting>
  <conditionalFormatting sqref="T43:Z43 T24:X42">
    <cfRule type="cellIs" dxfId="0" priority="4" operator="equal">
      <formula>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9"/>
  <sheetViews>
    <sheetView topLeftCell="H24" workbookViewId="0">
      <selection activeCell="J1" sqref="J1:Z49"/>
    </sheetView>
  </sheetViews>
  <sheetFormatPr defaultColWidth="11" defaultRowHeight="14.4"/>
  <cols>
    <col min="1" max="1" width="8.57407407407407" customWidth="1"/>
    <col min="2" max="2" width="10.712962962963" customWidth="1"/>
    <col min="3" max="3" width="11" customWidth="1"/>
    <col min="4" max="4" width="10" customWidth="1"/>
    <col min="5" max="5" width="11.712962962963" customWidth="1"/>
    <col min="6" max="7" width="11" customWidth="1"/>
    <col min="8" max="8" width="10.712962962963" customWidth="1"/>
    <col min="9" max="9" width="12" customWidth="1"/>
    <col min="10" max="10" width="11.712962962963" customWidth="1"/>
    <col min="11" max="11" width="7.13888888888889" customWidth="1"/>
    <col min="12" max="12" width="6.13888888888889" customWidth="1"/>
    <col min="13" max="15" width="5.42592592592593" customWidth="1"/>
    <col min="16" max="16" width="6.13888888888889" customWidth="1"/>
    <col min="17" max="17" width="7.13888888888889" customWidth="1"/>
    <col min="19" max="19" width="13.1388888888889" style="209" customWidth="1"/>
    <col min="20" max="20" width="6.57407407407407" style="209" customWidth="1"/>
    <col min="21" max="21" width="9" style="209" customWidth="1"/>
    <col min="22" max="22" width="7.28703703703704" style="209" customWidth="1"/>
    <col min="23" max="23" width="6.28703703703704" style="209" customWidth="1"/>
    <col min="24" max="24" width="8.71296296296296" style="209" customWidth="1"/>
    <col min="25" max="26" width="6.57407407407407" style="209" customWidth="1"/>
    <col min="27" max="27" width="11.4259259259259" style="209"/>
    <col min="28" max="28" width="4.28703703703704" style="209" customWidth="1"/>
    <col min="29" max="35" width="12" style="209" customWidth="1"/>
    <col min="36" max="36" width="8" style="209" customWidth="1"/>
    <col min="37" max="16384" width="11.4259259259259" style="209"/>
  </cols>
  <sheetData>
    <row r="1" customFormat="1" ht="29.55" spans="1:36">
      <c r="A1" t="s">
        <v>0</v>
      </c>
      <c r="B1" s="241" t="s">
        <v>1</v>
      </c>
      <c r="C1" s="211" t="s">
        <v>2</v>
      </c>
      <c r="D1" s="211" t="s">
        <v>3</v>
      </c>
      <c r="E1" s="211" t="s">
        <v>4</v>
      </c>
      <c r="F1" s="211" t="s">
        <v>5</v>
      </c>
      <c r="G1" s="211" t="s">
        <v>6</v>
      </c>
      <c r="H1" s="242" t="s">
        <v>7</v>
      </c>
      <c r="J1" s="243" t="s">
        <v>8</v>
      </c>
      <c r="K1" s="159" t="s">
        <v>1</v>
      </c>
      <c r="L1" s="160" t="s">
        <v>2</v>
      </c>
      <c r="M1" s="98" t="s">
        <v>3</v>
      </c>
      <c r="N1" s="98" t="s">
        <v>4</v>
      </c>
      <c r="O1" s="98" t="s">
        <v>5</v>
      </c>
      <c r="P1" s="98" t="s">
        <v>6</v>
      </c>
      <c r="Q1" s="160" t="s">
        <v>7</v>
      </c>
      <c r="R1" s="206"/>
      <c r="S1" s="243" t="s">
        <v>9</v>
      </c>
      <c r="T1" s="159" t="s">
        <v>1</v>
      </c>
      <c r="U1" s="160" t="s">
        <v>2</v>
      </c>
      <c r="V1" s="98" t="s">
        <v>3</v>
      </c>
      <c r="W1" s="98" t="s">
        <v>4</v>
      </c>
      <c r="X1" s="98" t="s">
        <v>5</v>
      </c>
      <c r="Y1" s="98" t="s">
        <v>6</v>
      </c>
      <c r="Z1" s="160" t="s">
        <v>7</v>
      </c>
      <c r="AB1" s="206" t="s">
        <v>10</v>
      </c>
      <c r="AC1" s="98" t="s">
        <v>1</v>
      </c>
      <c r="AD1" s="98" t="s">
        <v>2</v>
      </c>
      <c r="AE1" s="98" t="s">
        <v>3</v>
      </c>
      <c r="AF1" s="98" t="s">
        <v>4</v>
      </c>
      <c r="AG1" s="98" t="s">
        <v>5</v>
      </c>
      <c r="AH1" s="98" t="s">
        <v>6</v>
      </c>
      <c r="AI1" s="160" t="s">
        <v>7</v>
      </c>
      <c r="AJ1" t="s">
        <v>11</v>
      </c>
    </row>
    <row r="2" customFormat="1" spans="1:36">
      <c r="A2" s="163" t="s">
        <v>41</v>
      </c>
      <c r="B2" s="163">
        <v>0.0187501</v>
      </c>
      <c r="C2" s="244">
        <v>0.0450117</v>
      </c>
      <c r="D2" s="244">
        <v>0.0989937</v>
      </c>
      <c r="E2" s="244">
        <v>0.0884269</v>
      </c>
      <c r="F2" s="244">
        <v>0.0734788</v>
      </c>
      <c r="G2" s="244">
        <v>0.054636</v>
      </c>
      <c r="H2" s="245">
        <v>0.0155113</v>
      </c>
      <c r="J2" s="163" t="s">
        <v>41</v>
      </c>
      <c r="K2" s="246">
        <f>IF(AC2=0,0,B2/AC2)</f>
        <v>0.298916187349072</v>
      </c>
      <c r="L2" s="247">
        <f t="shared" ref="L2:Q2" si="0">IF(AD2=0,0,C2/AD2)</f>
        <v>0.456149425850422</v>
      </c>
      <c r="M2" s="248">
        <f t="shared" si="0"/>
        <v>0.803444030446107</v>
      </c>
      <c r="N2" s="248">
        <f t="shared" si="0"/>
        <v>0.810766518544298</v>
      </c>
      <c r="O2" s="248">
        <f t="shared" si="0"/>
        <v>0.774231292489176</v>
      </c>
      <c r="P2" s="248">
        <f t="shared" si="0"/>
        <v>0.662470030163124</v>
      </c>
      <c r="Q2" s="247">
        <f t="shared" si="0"/>
        <v>0.325213523351974</v>
      </c>
      <c r="S2" s="163" t="s">
        <v>41</v>
      </c>
      <c r="T2" s="246">
        <f>IF(T52=0,0,((1-B2)*(K52/T52))-1)</f>
        <v>0.0347851486682074</v>
      </c>
      <c r="U2" s="247">
        <f t="shared" ref="U2:Z2" si="1">IF(U52=0,0,((1-C2)*(L52/U52))-1)</f>
        <v>-0.408515007034669</v>
      </c>
      <c r="V2" s="248">
        <f t="shared" si="1"/>
        <v>-0.842061453316485</v>
      </c>
      <c r="W2" s="248">
        <f t="shared" si="1"/>
        <v>-0.833768010675972</v>
      </c>
      <c r="X2" s="248">
        <f t="shared" si="1"/>
        <v>-0.800384342412279</v>
      </c>
      <c r="Y2" s="248">
        <f t="shared" si="1"/>
        <v>-0.651495166096358</v>
      </c>
      <c r="Z2" s="247">
        <f t="shared" si="1"/>
        <v>0.221258455878653</v>
      </c>
      <c r="AB2" s="163" t="s">
        <v>42</v>
      </c>
      <c r="AC2" s="244">
        <v>0.0627269475309605</v>
      </c>
      <c r="AD2" s="244">
        <v>0.0986775329511432</v>
      </c>
      <c r="AE2" s="244">
        <v>0.123211693968321</v>
      </c>
      <c r="AF2" s="244">
        <v>0.109065801284897</v>
      </c>
      <c r="AG2" s="244">
        <v>0.0949054897584461</v>
      </c>
      <c r="AH2" s="244">
        <v>0.0824731648412029</v>
      </c>
      <c r="AI2" s="245">
        <v>0.0476957410630564</v>
      </c>
      <c r="AJ2" t="s">
        <v>42</v>
      </c>
    </row>
    <row r="3" customFormat="1" spans="1:36">
      <c r="A3" s="166" t="s">
        <v>43</v>
      </c>
      <c r="B3" s="166">
        <v>0.0206129</v>
      </c>
      <c r="C3" s="147">
        <v>0.0218548</v>
      </c>
      <c r="D3" s="147">
        <v>0.0292642</v>
      </c>
      <c r="E3" s="147">
        <v>0.0355814</v>
      </c>
      <c r="F3" s="147">
        <v>0.0289323</v>
      </c>
      <c r="G3" s="147">
        <v>0.0282661</v>
      </c>
      <c r="H3" s="220">
        <v>0.0168328</v>
      </c>
      <c r="J3" s="166" t="s">
        <v>43</v>
      </c>
      <c r="K3" s="249">
        <f t="shared" ref="K3:K49" si="2">IF(AC3=0,0,B3/AC3)</f>
        <v>0.595464436700397</v>
      </c>
      <c r="L3" s="250">
        <f t="shared" ref="L3:L49" si="3">IF(AD3=0,0,C3/AD3)</f>
        <v>0.80568397968193</v>
      </c>
      <c r="M3" s="251">
        <f t="shared" ref="M3:M49" si="4">IF(AE3=0,0,D3/AE3)</f>
        <v>1.0235349489675</v>
      </c>
      <c r="N3" s="251">
        <f t="shared" ref="N3:N49" si="5">IF(AF3=0,0,E3/AF3)</f>
        <v>1.11375333859014</v>
      </c>
      <c r="O3" s="251">
        <f t="shared" ref="O3:O49" si="6">IF(AG3=0,0,F3/AG3)</f>
        <v>0.847430541738598</v>
      </c>
      <c r="P3" s="251">
        <f t="shared" ref="P3:P49" si="7">IF(AH3=0,0,G3/AH3)</f>
        <v>0.801693056907784</v>
      </c>
      <c r="Q3" s="250">
        <f t="shared" ref="Q3:Q49" si="8">IF(AI3=0,0,H3/AI3)</f>
        <v>0.540586098518039</v>
      </c>
      <c r="S3" s="166" t="s">
        <v>43</v>
      </c>
      <c r="T3" s="249">
        <f t="shared" ref="T3:T49" si="9">IF(T53=0,0,((1-B3)*(K53/T53))-1)</f>
        <v>0.0235075800054587</v>
      </c>
      <c r="U3" s="250">
        <f t="shared" ref="U3:U49" si="10">IF(U53=0,0,((1-C3)*(L53/U53))-1)</f>
        <v>-0.541233273963049</v>
      </c>
      <c r="V3" s="251">
        <f t="shared" ref="V3:V49" si="11">IF(V53=0,0,((1-D3)*(M53/V53))-1)</f>
        <v>-1.11179960423835</v>
      </c>
      <c r="W3" s="251">
        <f t="shared" ref="W3:W49" si="12">IF(W53=0,0,((1-E3)*(N53/W53))-1)</f>
        <v>-1.13234514511878</v>
      </c>
      <c r="X3" s="251">
        <f t="shared" ref="X3:X49" si="13">IF(X53=0,0,((1-F3)*(O53/X53))-1)</f>
        <v>-0.879711093613919</v>
      </c>
      <c r="Y3" s="251">
        <f t="shared" ref="Y3:Y49" si="14">IF(Y53=0,0,((1-G3)*(P53/Y53))-1)</f>
        <v>-0.736569428250721</v>
      </c>
      <c r="Z3" s="250">
        <f t="shared" ref="Z3:Z49" si="15">IF(Z53=0,0,((1-H3)*(Q53/Z53))-1)</f>
        <v>0.303627108107755</v>
      </c>
      <c r="AB3" s="166" t="s">
        <v>44</v>
      </c>
      <c r="AC3" s="147">
        <v>0.0346165089458923</v>
      </c>
      <c r="AD3" s="147">
        <v>0.0271257720783128</v>
      </c>
      <c r="AE3" s="147">
        <v>0.0285913050937054</v>
      </c>
      <c r="AF3" s="147">
        <v>0.0319472891951474</v>
      </c>
      <c r="AG3" s="147">
        <v>0.0341412051784707</v>
      </c>
      <c r="AH3" s="147">
        <v>0.035258007733066</v>
      </c>
      <c r="AI3" s="220">
        <v>0.0311380556143515</v>
      </c>
      <c r="AJ3" t="s">
        <v>44</v>
      </c>
    </row>
    <row r="4" customFormat="1" spans="1:36">
      <c r="A4" s="166" t="s">
        <v>45</v>
      </c>
      <c r="B4" s="166">
        <v>0.0093069</v>
      </c>
      <c r="C4" s="147">
        <v>0.0324212</v>
      </c>
      <c r="D4" s="147">
        <v>0.0524832</v>
      </c>
      <c r="E4" s="147">
        <v>0.0519227</v>
      </c>
      <c r="F4" s="147">
        <v>0.0414569</v>
      </c>
      <c r="G4" s="147">
        <v>0.0338878</v>
      </c>
      <c r="H4" s="220">
        <v>0.0065255</v>
      </c>
      <c r="J4" s="166" t="s">
        <v>45</v>
      </c>
      <c r="K4" s="249">
        <f t="shared" si="2"/>
        <v>0.312690450361572</v>
      </c>
      <c r="L4" s="250">
        <f t="shared" si="3"/>
        <v>0.609971957731519</v>
      </c>
      <c r="M4" s="251">
        <f t="shared" si="4"/>
        <v>0.959722326741751</v>
      </c>
      <c r="N4" s="251">
        <f t="shared" si="5"/>
        <v>0.996783468399015</v>
      </c>
      <c r="O4" s="251">
        <f t="shared" si="6"/>
        <v>0.87863885423966</v>
      </c>
      <c r="P4" s="251">
        <f t="shared" si="7"/>
        <v>0.80661268240486</v>
      </c>
      <c r="Q4" s="250">
        <f t="shared" si="8"/>
        <v>0.258493654726148</v>
      </c>
      <c r="S4" s="166" t="s">
        <v>45</v>
      </c>
      <c r="T4" s="249">
        <f t="shared" si="9"/>
        <v>0.418918827837649</v>
      </c>
      <c r="U4" s="250">
        <f t="shared" si="10"/>
        <v>-0.486970931374872</v>
      </c>
      <c r="V4" s="251">
        <f t="shared" si="11"/>
        <v>-1.00723174088349</v>
      </c>
      <c r="W4" s="251">
        <f t="shared" si="12"/>
        <v>-1.01060013989136</v>
      </c>
      <c r="X4" s="251">
        <f t="shared" si="13"/>
        <v>-0.903572537378394</v>
      </c>
      <c r="Y4" s="251">
        <f t="shared" si="14"/>
        <v>-0.754152133047106</v>
      </c>
      <c r="Z4" s="250">
        <f t="shared" si="15"/>
        <v>0.798532111420224</v>
      </c>
      <c r="AB4" s="166" t="s">
        <v>46</v>
      </c>
      <c r="AC4" s="147">
        <v>0.0297639406295849</v>
      </c>
      <c r="AD4" s="147">
        <v>0.0531519516414725</v>
      </c>
      <c r="AE4" s="147">
        <v>0.0546858174886688</v>
      </c>
      <c r="AF4" s="147">
        <v>0.0520902499350192</v>
      </c>
      <c r="AG4" s="147">
        <v>0.0471830943964744</v>
      </c>
      <c r="AH4" s="147">
        <v>0.0420124810075709</v>
      </c>
      <c r="AI4" s="220">
        <v>0.0252443333934568</v>
      </c>
      <c r="AJ4" t="s">
        <v>46</v>
      </c>
    </row>
    <row r="5" customFormat="1" spans="1:36">
      <c r="A5" s="166" t="s">
        <v>47</v>
      </c>
      <c r="B5" s="166">
        <v>0.0564788</v>
      </c>
      <c r="C5" s="147">
        <v>0.1115151</v>
      </c>
      <c r="D5" s="147">
        <v>0.113481</v>
      </c>
      <c r="E5" s="147">
        <v>0.1308921</v>
      </c>
      <c r="F5" s="147">
        <v>0.1287152</v>
      </c>
      <c r="G5" s="147">
        <v>0.1138738</v>
      </c>
      <c r="H5" s="220">
        <v>0.0482654</v>
      </c>
      <c r="J5" s="166" t="s">
        <v>47</v>
      </c>
      <c r="K5" s="249">
        <f t="shared" si="2"/>
        <v>0.589362272128542</v>
      </c>
      <c r="L5" s="250">
        <f t="shared" si="3"/>
        <v>0.953596031151412</v>
      </c>
      <c r="M5" s="251">
        <f t="shared" si="4"/>
        <v>1.03195001232642</v>
      </c>
      <c r="N5" s="251">
        <f t="shared" si="5"/>
        <v>1.14764504722</v>
      </c>
      <c r="O5" s="251">
        <f t="shared" si="6"/>
        <v>1.15276210969584</v>
      </c>
      <c r="P5" s="251">
        <f t="shared" si="7"/>
        <v>0.998490247782289</v>
      </c>
      <c r="Q5" s="250">
        <f t="shared" si="8"/>
        <v>0.534808657592224</v>
      </c>
      <c r="S5" s="166" t="s">
        <v>47</v>
      </c>
      <c r="T5" s="249">
        <f t="shared" si="9"/>
        <v>-0.394251789570469</v>
      </c>
      <c r="U5" s="250">
        <f t="shared" si="10"/>
        <v>-0.902157089594909</v>
      </c>
      <c r="V5" s="251">
        <f t="shared" si="11"/>
        <v>-1.0494462457378</v>
      </c>
      <c r="W5" s="251">
        <f t="shared" si="12"/>
        <v>-1.134034028073</v>
      </c>
      <c r="X5" s="251">
        <f t="shared" si="13"/>
        <v>-1.14074368753428</v>
      </c>
      <c r="Y5" s="251">
        <f t="shared" si="14"/>
        <v>-0.978722656404423</v>
      </c>
      <c r="Z5" s="250">
        <f t="shared" si="15"/>
        <v>-0.272713803723366</v>
      </c>
      <c r="AB5" s="166" t="s">
        <v>48</v>
      </c>
      <c r="AC5" s="147">
        <v>0.0958303621913582</v>
      </c>
      <c r="AD5" s="147">
        <v>0.116941657008945</v>
      </c>
      <c r="AE5" s="147">
        <v>0.109967535873341</v>
      </c>
      <c r="AF5" s="147">
        <v>0.114052772951939</v>
      </c>
      <c r="AG5" s="147">
        <v>0.111658076646848</v>
      </c>
      <c r="AH5" s="147">
        <v>0.114045981172997</v>
      </c>
      <c r="AI5" s="220">
        <v>0.0902479780662057</v>
      </c>
      <c r="AJ5" t="s">
        <v>48</v>
      </c>
    </row>
    <row r="6" customFormat="1" spans="1:36">
      <c r="A6" s="166" t="s">
        <v>49</v>
      </c>
      <c r="B6" s="166">
        <v>0.0130662</v>
      </c>
      <c r="C6" s="147">
        <v>0.0109763</v>
      </c>
      <c r="D6" s="147">
        <v>0.0134419</v>
      </c>
      <c r="E6" s="147">
        <v>0.0095894</v>
      </c>
      <c r="F6" s="147">
        <v>0.0127218</v>
      </c>
      <c r="G6" s="147">
        <v>0.0118986</v>
      </c>
      <c r="H6" s="220">
        <v>0.0123905</v>
      </c>
      <c r="J6" s="166" t="s">
        <v>49</v>
      </c>
      <c r="K6" s="249">
        <f t="shared" si="2"/>
        <v>0.796722292352308</v>
      </c>
      <c r="L6" s="250">
        <f t="shared" si="3"/>
        <v>0.90588528214549</v>
      </c>
      <c r="M6" s="251">
        <f t="shared" si="4"/>
        <v>0.909248782262836</v>
      </c>
      <c r="N6" s="251">
        <f t="shared" si="5"/>
        <v>0.683962920925333</v>
      </c>
      <c r="O6" s="251">
        <f t="shared" si="6"/>
        <v>0.818599740052762</v>
      </c>
      <c r="P6" s="251">
        <f t="shared" si="7"/>
        <v>0.799124419434478</v>
      </c>
      <c r="Q6" s="250">
        <f t="shared" si="8"/>
        <v>0.807233965769623</v>
      </c>
      <c r="S6" s="166" t="s">
        <v>49</v>
      </c>
      <c r="T6" s="249">
        <f t="shared" si="9"/>
        <v>0.534933090817586</v>
      </c>
      <c r="U6" s="250">
        <f t="shared" si="10"/>
        <v>-0.298690444022464</v>
      </c>
      <c r="V6" s="251">
        <f t="shared" si="11"/>
        <v>-1.0853139470886</v>
      </c>
      <c r="W6" s="251">
        <f t="shared" si="12"/>
        <v>-0.739970144044323</v>
      </c>
      <c r="X6" s="251">
        <f t="shared" si="13"/>
        <v>-0.883142476721219</v>
      </c>
      <c r="Y6" s="251">
        <f t="shared" si="14"/>
        <v>-0.631210970659751</v>
      </c>
      <c r="Z6" s="250">
        <f t="shared" si="15"/>
        <v>0.926462515910284</v>
      </c>
      <c r="AB6" s="166" t="s">
        <v>50</v>
      </c>
      <c r="AC6" s="147">
        <v>0.0163999427723081</v>
      </c>
      <c r="AD6" s="147">
        <v>0.0121166556255378</v>
      </c>
      <c r="AE6" s="147">
        <v>0.0147835226862194</v>
      </c>
      <c r="AF6" s="147">
        <v>0.014020350674897</v>
      </c>
      <c r="AG6" s="147">
        <v>0.0155409284630118</v>
      </c>
      <c r="AH6" s="147">
        <v>0.0148895462466538</v>
      </c>
      <c r="AI6" s="220">
        <v>0.0153493293461541</v>
      </c>
      <c r="AJ6" t="s">
        <v>50</v>
      </c>
    </row>
    <row r="7" customFormat="1" spans="1:36">
      <c r="A7" s="166" t="s">
        <v>51</v>
      </c>
      <c r="B7" s="166">
        <v>0.0099108</v>
      </c>
      <c r="C7" s="147">
        <v>0.0340422</v>
      </c>
      <c r="D7" s="147">
        <v>0.0613363</v>
      </c>
      <c r="E7" s="147">
        <v>0.0552145</v>
      </c>
      <c r="F7" s="147">
        <v>0.0480111</v>
      </c>
      <c r="G7" s="147">
        <v>0.0388069</v>
      </c>
      <c r="H7" s="220">
        <v>0.0078959</v>
      </c>
      <c r="J7" s="166" t="s">
        <v>51</v>
      </c>
      <c r="K7" s="249">
        <f t="shared" si="2"/>
        <v>0.291353559349734</v>
      </c>
      <c r="L7" s="250">
        <f t="shared" si="3"/>
        <v>0.667638537929872</v>
      </c>
      <c r="M7" s="251">
        <f t="shared" si="4"/>
        <v>1.04348132100254</v>
      </c>
      <c r="N7" s="251">
        <f t="shared" si="5"/>
        <v>0.971726865753784</v>
      </c>
      <c r="O7" s="251">
        <f t="shared" si="6"/>
        <v>0.9574394561005</v>
      </c>
      <c r="P7" s="251">
        <f t="shared" si="7"/>
        <v>0.878228949150483</v>
      </c>
      <c r="Q7" s="250">
        <f t="shared" si="8"/>
        <v>0.297024773022176</v>
      </c>
      <c r="S7" s="166" t="s">
        <v>51</v>
      </c>
      <c r="T7" s="249">
        <f t="shared" si="9"/>
        <v>0.346976651948221</v>
      </c>
      <c r="U7" s="250">
        <f t="shared" si="10"/>
        <v>-0.537789227128195</v>
      </c>
      <c r="V7" s="251">
        <f t="shared" si="11"/>
        <v>-1.08265326171847</v>
      </c>
      <c r="W7" s="251">
        <f t="shared" si="12"/>
        <v>-0.985756976120308</v>
      </c>
      <c r="X7" s="251">
        <f t="shared" si="13"/>
        <v>-0.978082129339293</v>
      </c>
      <c r="Y7" s="251">
        <f t="shared" si="14"/>
        <v>-0.827132453506682</v>
      </c>
      <c r="Z7" s="250">
        <f t="shared" si="15"/>
        <v>0.704410259902178</v>
      </c>
      <c r="AB7" s="166" t="s">
        <v>52</v>
      </c>
      <c r="AC7" s="147">
        <v>0.0340164026899816</v>
      </c>
      <c r="AD7" s="147">
        <v>0.0509889679309911</v>
      </c>
      <c r="AE7" s="147">
        <v>0.0587804484521775</v>
      </c>
      <c r="AF7" s="147">
        <v>0.0568210079868166</v>
      </c>
      <c r="AG7" s="147">
        <v>0.0501453117417384</v>
      </c>
      <c r="AH7" s="147">
        <v>0.0441876802598436</v>
      </c>
      <c r="AI7" s="220">
        <v>0.0265833045495181</v>
      </c>
      <c r="AJ7" t="s">
        <v>52</v>
      </c>
    </row>
    <row r="8" customFormat="1" spans="1:36">
      <c r="A8" s="166" t="s">
        <v>53</v>
      </c>
      <c r="B8" s="166">
        <v>0.003922</v>
      </c>
      <c r="C8" s="147">
        <v>0.011604</v>
      </c>
      <c r="D8" s="147">
        <v>0.0172521</v>
      </c>
      <c r="E8" s="147">
        <v>0.0196611</v>
      </c>
      <c r="F8" s="147">
        <v>0.0171507</v>
      </c>
      <c r="G8" s="147">
        <v>0.0121642</v>
      </c>
      <c r="H8" s="220">
        <v>0.0034879</v>
      </c>
      <c r="J8" s="166" t="s">
        <v>53</v>
      </c>
      <c r="K8" s="249">
        <f t="shared" si="2"/>
        <v>0.300439150349849</v>
      </c>
      <c r="L8" s="250">
        <f t="shared" si="3"/>
        <v>0.649746655787799</v>
      </c>
      <c r="M8" s="251">
        <f t="shared" si="4"/>
        <v>0.851685115594032</v>
      </c>
      <c r="N8" s="251">
        <f t="shared" si="5"/>
        <v>0.916557541010313</v>
      </c>
      <c r="O8" s="251">
        <f t="shared" si="6"/>
        <v>0.916052248707647</v>
      </c>
      <c r="P8" s="251">
        <f t="shared" si="7"/>
        <v>0.728990644520286</v>
      </c>
      <c r="Q8" s="250">
        <f t="shared" si="8"/>
        <v>0.356058621179539</v>
      </c>
      <c r="S8" s="166" t="s">
        <v>53</v>
      </c>
      <c r="T8" s="249">
        <f t="shared" si="9"/>
        <v>1.38863529596394</v>
      </c>
      <c r="U8" s="250">
        <f t="shared" si="10"/>
        <v>-0.241419386525823</v>
      </c>
      <c r="V8" s="251">
        <f t="shared" si="11"/>
        <v>-0.981354797136831</v>
      </c>
      <c r="W8" s="251">
        <f t="shared" si="12"/>
        <v>-0.952471020308064</v>
      </c>
      <c r="X8" s="251">
        <f t="shared" si="13"/>
        <v>-0.968922997764248</v>
      </c>
      <c r="Y8" s="251">
        <f t="shared" si="14"/>
        <v>-0.580363382281394</v>
      </c>
      <c r="Z8" s="250">
        <f t="shared" si="15"/>
        <v>2.38652394122423</v>
      </c>
      <c r="AB8" s="166" t="s">
        <v>54</v>
      </c>
      <c r="AC8" s="147">
        <v>0.0130542241097174</v>
      </c>
      <c r="AD8" s="147">
        <v>0.017859268526639</v>
      </c>
      <c r="AE8" s="147">
        <v>0.0202564300868015</v>
      </c>
      <c r="AF8" s="147">
        <v>0.0214510263898192</v>
      </c>
      <c r="AG8" s="147">
        <v>0.0187224036884315</v>
      </c>
      <c r="AH8" s="147">
        <v>0.0166863595458138</v>
      </c>
      <c r="AI8" s="220">
        <v>0.00979585886291815</v>
      </c>
      <c r="AJ8" t="s">
        <v>54</v>
      </c>
    </row>
    <row r="9" customFormat="1" spans="1:36">
      <c r="A9" s="166" t="s">
        <v>55</v>
      </c>
      <c r="B9" s="166">
        <v>0.018127</v>
      </c>
      <c r="C9" s="147">
        <v>0.0353989</v>
      </c>
      <c r="D9" s="147">
        <v>0.028647</v>
      </c>
      <c r="E9" s="147">
        <v>0.0380489</v>
      </c>
      <c r="F9" s="147">
        <v>0.0323319</v>
      </c>
      <c r="G9" s="147">
        <v>0.0325771</v>
      </c>
      <c r="H9" s="220">
        <v>0.0155415</v>
      </c>
      <c r="J9" s="166" t="s">
        <v>55</v>
      </c>
      <c r="K9" s="249">
        <f t="shared" si="2"/>
        <v>0.753716632339636</v>
      </c>
      <c r="L9" s="250">
        <f t="shared" si="3"/>
        <v>1.17226264813792</v>
      </c>
      <c r="M9" s="251">
        <f t="shared" si="4"/>
        <v>1.46679089672926</v>
      </c>
      <c r="N9" s="251">
        <f t="shared" si="5"/>
        <v>1.51551198587742</v>
      </c>
      <c r="O9" s="251">
        <f t="shared" si="6"/>
        <v>1.24366727459318</v>
      </c>
      <c r="P9" s="251">
        <f t="shared" si="7"/>
        <v>1.11155543976157</v>
      </c>
      <c r="Q9" s="250">
        <f t="shared" si="8"/>
        <v>0.60912714041761</v>
      </c>
      <c r="S9" s="166" t="s">
        <v>55</v>
      </c>
      <c r="T9" s="249">
        <f t="shared" si="9"/>
        <v>0.147030166644408</v>
      </c>
      <c r="U9" s="250">
        <f t="shared" si="10"/>
        <v>-0.928138279178639</v>
      </c>
      <c r="V9" s="251">
        <f t="shared" si="11"/>
        <v>-1.58372737938239</v>
      </c>
      <c r="W9" s="251">
        <f t="shared" si="12"/>
        <v>-1.52463088200028</v>
      </c>
      <c r="X9" s="251">
        <f t="shared" si="13"/>
        <v>-1.27225327118747</v>
      </c>
      <c r="Y9" s="251">
        <f t="shared" si="14"/>
        <v>-1.02321099304128</v>
      </c>
      <c r="Z9" s="250">
        <f t="shared" si="15"/>
        <v>0.425886387097208</v>
      </c>
      <c r="AB9" s="166" t="s">
        <v>56</v>
      </c>
      <c r="AC9" s="147">
        <v>0.0240501525669288</v>
      </c>
      <c r="AD9" s="147">
        <v>0.0301970723508332</v>
      </c>
      <c r="AE9" s="147">
        <v>0.0195303911851914</v>
      </c>
      <c r="AF9" s="147">
        <v>0.0251063009428931</v>
      </c>
      <c r="AG9" s="147">
        <v>0.0259972266381104</v>
      </c>
      <c r="AH9" s="147">
        <v>0.0293076699862922</v>
      </c>
      <c r="AI9" s="220">
        <v>0.0255143778183073</v>
      </c>
      <c r="AJ9" t="s">
        <v>56</v>
      </c>
    </row>
    <row r="10" customFormat="1" spans="1:36">
      <c r="A10" s="166" t="s">
        <v>57</v>
      </c>
      <c r="B10" s="166">
        <v>0.0050681</v>
      </c>
      <c r="C10" s="147">
        <v>0.0120172</v>
      </c>
      <c r="D10" s="147">
        <v>0.0294931</v>
      </c>
      <c r="E10" s="147">
        <v>0.0237853</v>
      </c>
      <c r="F10" s="147">
        <v>0.0140136</v>
      </c>
      <c r="G10" s="147">
        <v>0.013014</v>
      </c>
      <c r="H10" s="220">
        <v>0.0050898</v>
      </c>
      <c r="J10" s="166" t="s">
        <v>57</v>
      </c>
      <c r="K10" s="249">
        <f t="shared" si="2"/>
        <v>0.407966492584787</v>
      </c>
      <c r="L10" s="250">
        <f t="shared" si="3"/>
        <v>0.44341527028405</v>
      </c>
      <c r="M10" s="251">
        <f t="shared" si="4"/>
        <v>0.866993364349247</v>
      </c>
      <c r="N10" s="251">
        <f t="shared" si="5"/>
        <v>0.882313110035616</v>
      </c>
      <c r="O10" s="251">
        <f t="shared" si="6"/>
        <v>0.633214310469791</v>
      </c>
      <c r="P10" s="251">
        <f t="shared" si="7"/>
        <v>0.730345526140182</v>
      </c>
      <c r="Q10" s="250">
        <f t="shared" si="8"/>
        <v>0.509186478321654</v>
      </c>
      <c r="S10" s="166" t="s">
        <v>57</v>
      </c>
      <c r="T10" s="249">
        <f t="shared" si="9"/>
        <v>1.36479128773429</v>
      </c>
      <c r="U10" s="250">
        <f t="shared" si="10"/>
        <v>-0.178462664549688</v>
      </c>
      <c r="V10" s="251">
        <f t="shared" si="11"/>
        <v>-0.945664986497076</v>
      </c>
      <c r="W10" s="251">
        <f t="shared" si="12"/>
        <v>-0.912269925996448</v>
      </c>
      <c r="X10" s="251">
        <f t="shared" si="13"/>
        <v>-0.682003797060488</v>
      </c>
      <c r="Y10" s="251">
        <f t="shared" si="14"/>
        <v>-0.591709284250162</v>
      </c>
      <c r="Z10" s="250">
        <f t="shared" si="15"/>
        <v>2.17387994511889</v>
      </c>
      <c r="AB10" s="166" t="s">
        <v>58</v>
      </c>
      <c r="AC10" s="147">
        <v>0.0124228339633719</v>
      </c>
      <c r="AD10" s="147">
        <v>0.027101457268943</v>
      </c>
      <c r="AE10" s="147">
        <v>0.0340176767352044</v>
      </c>
      <c r="AF10" s="147">
        <v>0.0269578902653275</v>
      </c>
      <c r="AG10" s="147">
        <v>0.0221308959199029</v>
      </c>
      <c r="AH10" s="147">
        <v>0.0178189631266422</v>
      </c>
      <c r="AI10" s="220">
        <v>0.00999594493706246</v>
      </c>
      <c r="AJ10" t="s">
        <v>58</v>
      </c>
    </row>
    <row r="11" customFormat="1" spans="1:36">
      <c r="A11" s="166" t="s">
        <v>59</v>
      </c>
      <c r="B11" s="166">
        <v>0.0007615</v>
      </c>
      <c r="C11" s="147">
        <v>0.000136</v>
      </c>
      <c r="D11" s="147">
        <v>0.0002725</v>
      </c>
      <c r="E11" s="147">
        <v>0.000163</v>
      </c>
      <c r="F11" s="147">
        <v>0.0003405</v>
      </c>
      <c r="G11" s="147">
        <v>0.0002334</v>
      </c>
      <c r="H11" s="220">
        <v>0.0007457</v>
      </c>
      <c r="J11" s="166" t="s">
        <v>59</v>
      </c>
      <c r="K11" s="249">
        <f t="shared" si="2"/>
        <v>1.64929169024241</v>
      </c>
      <c r="L11" s="250">
        <f t="shared" si="3"/>
        <v>0.947572167009837</v>
      </c>
      <c r="M11" s="251">
        <f t="shared" si="4"/>
        <v>3.04352435288066</v>
      </c>
      <c r="N11" s="251">
        <f t="shared" si="5"/>
        <v>0.989478222546567</v>
      </c>
      <c r="O11" s="251">
        <f t="shared" si="6"/>
        <v>1.53809989112083</v>
      </c>
      <c r="P11" s="251">
        <f t="shared" si="7"/>
        <v>0.865303945698052</v>
      </c>
      <c r="Q11" s="250">
        <f t="shared" si="8"/>
        <v>1.38477321082137</v>
      </c>
      <c r="S11" s="166" t="s">
        <v>59</v>
      </c>
      <c r="T11" s="249">
        <f t="shared" si="9"/>
        <v>46.3364453146378</v>
      </c>
      <c r="U11" s="250">
        <f t="shared" si="10"/>
        <v>50.9632664238994</v>
      </c>
      <c r="V11" s="251">
        <f t="shared" si="11"/>
        <v>-32.2981071442223</v>
      </c>
      <c r="W11" s="251">
        <f t="shared" si="12"/>
        <v>-5.54082366322279</v>
      </c>
      <c r="X11" s="251">
        <f t="shared" si="13"/>
        <v>-5.96203742958424</v>
      </c>
      <c r="Y11" s="251">
        <f t="shared" si="14"/>
        <v>8.64659391431765</v>
      </c>
      <c r="Z11" s="250">
        <f t="shared" si="15"/>
        <v>48.6841647566437</v>
      </c>
      <c r="AB11" s="166" t="s">
        <v>60</v>
      </c>
      <c r="AC11" s="147">
        <v>0.000461713355196785</v>
      </c>
      <c r="AD11" s="147">
        <v>0.000143524688393035</v>
      </c>
      <c r="AE11" s="147">
        <v>8.95343583310191e-5</v>
      </c>
      <c r="AF11" s="147">
        <v>0.000164733286984827</v>
      </c>
      <c r="AG11" s="147">
        <v>0.000221377039271406</v>
      </c>
      <c r="AH11" s="147">
        <v>0.000269731810608714</v>
      </c>
      <c r="AI11" s="220">
        <v>0.000538499729899956</v>
      </c>
      <c r="AJ11" t="s">
        <v>60</v>
      </c>
    </row>
    <row r="12" customFormat="1" spans="1:36">
      <c r="A12" s="166" t="s">
        <v>61</v>
      </c>
      <c r="B12" s="166">
        <v>0.0033931</v>
      </c>
      <c r="C12" s="147">
        <v>0.0111897</v>
      </c>
      <c r="D12" s="147">
        <v>0.022242</v>
      </c>
      <c r="E12" s="147">
        <v>0.0193331</v>
      </c>
      <c r="F12" s="147">
        <v>0.0128523</v>
      </c>
      <c r="G12" s="147">
        <v>0.0119997</v>
      </c>
      <c r="H12" s="220">
        <v>0.0025898</v>
      </c>
      <c r="J12" s="166" t="s">
        <v>61</v>
      </c>
      <c r="K12" s="249">
        <f t="shared" si="2"/>
        <v>0.288286873130077</v>
      </c>
      <c r="L12" s="250">
        <f t="shared" si="3"/>
        <v>0.496424231733317</v>
      </c>
      <c r="M12" s="251">
        <f t="shared" si="4"/>
        <v>0.855942964375955</v>
      </c>
      <c r="N12" s="251">
        <f t="shared" si="5"/>
        <v>0.863005632014871</v>
      </c>
      <c r="O12" s="251">
        <f t="shared" si="6"/>
        <v>0.675963222869577</v>
      </c>
      <c r="P12" s="251">
        <f t="shared" si="7"/>
        <v>0.706189061591338</v>
      </c>
      <c r="Q12" s="250">
        <f t="shared" si="8"/>
        <v>0.26856503024201</v>
      </c>
      <c r="S12" s="166" t="s">
        <v>61</v>
      </c>
      <c r="T12" s="249">
        <f t="shared" si="9"/>
        <v>1.58673043048178</v>
      </c>
      <c r="U12" s="250">
        <f t="shared" si="10"/>
        <v>-0.175179821148319</v>
      </c>
      <c r="V12" s="251">
        <f t="shared" si="11"/>
        <v>-0.95772975479527</v>
      </c>
      <c r="W12" s="251">
        <f t="shared" si="12"/>
        <v>-0.898484346845511</v>
      </c>
      <c r="X12" s="251">
        <f t="shared" si="13"/>
        <v>-0.730992706731268</v>
      </c>
      <c r="Y12" s="251">
        <f t="shared" si="14"/>
        <v>-0.560500344249462</v>
      </c>
      <c r="Z12" s="250">
        <f t="shared" si="15"/>
        <v>2.52036501357428</v>
      </c>
      <c r="AB12" s="166" t="s">
        <v>62</v>
      </c>
      <c r="AC12" s="147">
        <v>0.0117698734013082</v>
      </c>
      <c r="AD12" s="147">
        <v>0.0225405999238393</v>
      </c>
      <c r="AE12" s="147">
        <v>0.0259853762758784</v>
      </c>
      <c r="AF12" s="147">
        <v>0.0224020554244388</v>
      </c>
      <c r="AG12" s="147">
        <v>0.0190133125075057</v>
      </c>
      <c r="AH12" s="147">
        <v>0.0169921918260241</v>
      </c>
      <c r="AI12" s="220">
        <v>0.00964310207351371</v>
      </c>
      <c r="AJ12" t="s">
        <v>62</v>
      </c>
    </row>
    <row r="13" customFormat="1" spans="1:36">
      <c r="A13" s="166" t="s">
        <v>63</v>
      </c>
      <c r="B13" s="166">
        <v>0.0028999</v>
      </c>
      <c r="C13" s="147">
        <v>0.0081623</v>
      </c>
      <c r="D13" s="147">
        <v>0.0158173</v>
      </c>
      <c r="E13" s="147">
        <v>0.0166396</v>
      </c>
      <c r="F13" s="147">
        <v>0.0108618</v>
      </c>
      <c r="G13" s="147">
        <v>0.0077995</v>
      </c>
      <c r="H13" s="220">
        <v>0.0024197</v>
      </c>
      <c r="J13" s="166" t="s">
        <v>63</v>
      </c>
      <c r="K13" s="249">
        <f t="shared" si="2"/>
        <v>0.354871663015045</v>
      </c>
      <c r="L13" s="250">
        <f t="shared" si="3"/>
        <v>0.533394678524283</v>
      </c>
      <c r="M13" s="251">
        <f t="shared" si="4"/>
        <v>0.894059741935329</v>
      </c>
      <c r="N13" s="251">
        <f t="shared" si="5"/>
        <v>1.11957828454185</v>
      </c>
      <c r="O13" s="251">
        <f t="shared" si="6"/>
        <v>0.829394937860886</v>
      </c>
      <c r="P13" s="251">
        <f t="shared" si="7"/>
        <v>0.667859416896669</v>
      </c>
      <c r="Q13" s="250">
        <f t="shared" si="8"/>
        <v>0.357607013679641</v>
      </c>
      <c r="S13" s="166" t="s">
        <v>63</v>
      </c>
      <c r="T13" s="249">
        <f t="shared" si="9"/>
        <v>2.34870778173623</v>
      </c>
      <c r="U13" s="250">
        <f t="shared" si="10"/>
        <v>-0.0542376987973611</v>
      </c>
      <c r="V13" s="251">
        <f t="shared" si="11"/>
        <v>-1.04148448264087</v>
      </c>
      <c r="W13" s="251">
        <f t="shared" si="12"/>
        <v>-1.16720709086342</v>
      </c>
      <c r="X13" s="251">
        <f t="shared" si="13"/>
        <v>-0.905244810004468</v>
      </c>
      <c r="Y13" s="251">
        <f t="shared" si="14"/>
        <v>-0.452416021959189</v>
      </c>
      <c r="Z13" s="250">
        <f t="shared" si="15"/>
        <v>3.61886273888684</v>
      </c>
      <c r="AB13" s="166" t="s">
        <v>64</v>
      </c>
      <c r="AC13" s="147">
        <v>0.00817168656229691</v>
      </c>
      <c r="AD13" s="147">
        <v>0.0153025523662558</v>
      </c>
      <c r="AE13" s="147">
        <v>0.01769154706123</v>
      </c>
      <c r="AF13" s="147">
        <v>0.0148623818715895</v>
      </c>
      <c r="AG13" s="147">
        <v>0.013096052922645</v>
      </c>
      <c r="AH13" s="147">
        <v>0.0116783559573687</v>
      </c>
      <c r="AI13" s="220">
        <v>0.00676636617135162</v>
      </c>
      <c r="AJ13" t="s">
        <v>64</v>
      </c>
    </row>
    <row r="14" customFormat="1" spans="1:36">
      <c r="A14" s="166" t="s">
        <v>65</v>
      </c>
      <c r="B14" s="166">
        <v>0.0053783</v>
      </c>
      <c r="C14" s="147">
        <v>0.003473</v>
      </c>
      <c r="D14" s="147">
        <v>0.0022277</v>
      </c>
      <c r="E14" s="147">
        <v>0.0024743</v>
      </c>
      <c r="F14" s="147">
        <v>0.0015162</v>
      </c>
      <c r="G14" s="147">
        <v>0.0033135</v>
      </c>
      <c r="H14" s="220">
        <v>0.005356</v>
      </c>
      <c r="J14" s="166" t="s">
        <v>65</v>
      </c>
      <c r="K14" s="249">
        <f t="shared" si="2"/>
        <v>1.46903889954245</v>
      </c>
      <c r="L14" s="250">
        <f t="shared" si="3"/>
        <v>1.83855203898502</v>
      </c>
      <c r="M14" s="251">
        <f t="shared" si="4"/>
        <v>2.28757894083617</v>
      </c>
      <c r="N14" s="251">
        <f t="shared" si="5"/>
        <v>1.54250679235557</v>
      </c>
      <c r="O14" s="251">
        <f t="shared" si="6"/>
        <v>0.786206268556942</v>
      </c>
      <c r="P14" s="251">
        <f t="shared" si="7"/>
        <v>1.21476969427574</v>
      </c>
      <c r="Q14" s="250">
        <f t="shared" si="8"/>
        <v>1.23515890287068</v>
      </c>
      <c r="S14" s="166" t="s">
        <v>65</v>
      </c>
      <c r="T14" s="249">
        <f t="shared" si="9"/>
        <v>4.55710606350369</v>
      </c>
      <c r="U14" s="250">
        <f t="shared" si="10"/>
        <v>2.09534300958444</v>
      </c>
      <c r="V14" s="251">
        <f t="shared" si="11"/>
        <v>-4.96920068684402</v>
      </c>
      <c r="W14" s="251">
        <f t="shared" si="12"/>
        <v>-2.00750300320306</v>
      </c>
      <c r="X14" s="251">
        <f t="shared" si="13"/>
        <v>-1.29378053820698</v>
      </c>
      <c r="Y14" s="251">
        <f t="shared" si="14"/>
        <v>-0.276335817490566</v>
      </c>
      <c r="Z14" s="250">
        <f t="shared" si="15"/>
        <v>4.95517607001921</v>
      </c>
      <c r="AB14" s="166" t="s">
        <v>66</v>
      </c>
      <c r="AC14" s="147">
        <v>0.00366110114693023</v>
      </c>
      <c r="AD14" s="147">
        <v>0.00188898651023078</v>
      </c>
      <c r="AE14" s="147">
        <v>0.000973824317155899</v>
      </c>
      <c r="AF14" s="147">
        <v>0.00160407721525912</v>
      </c>
      <c r="AG14" s="147">
        <v>0.0019285015404201</v>
      </c>
      <c r="AH14" s="147">
        <v>0.00272767753065782</v>
      </c>
      <c r="AI14" s="220">
        <v>0.00433628417165751</v>
      </c>
      <c r="AJ14" t="s">
        <v>66</v>
      </c>
    </row>
    <row r="15" customFormat="1" spans="1:36">
      <c r="A15" s="166" t="s">
        <v>67</v>
      </c>
      <c r="B15" s="166">
        <v>0.0001814</v>
      </c>
      <c r="C15" s="147">
        <v>0</v>
      </c>
      <c r="D15" s="147">
        <v>0</v>
      </c>
      <c r="E15" s="147">
        <v>0</v>
      </c>
      <c r="F15" s="147">
        <v>0</v>
      </c>
      <c r="G15" s="147">
        <v>3.33e-6</v>
      </c>
      <c r="H15" s="220">
        <v>0.0001776</v>
      </c>
      <c r="J15" s="166" t="s">
        <v>67</v>
      </c>
      <c r="K15" s="249">
        <f t="shared" si="2"/>
        <v>2.28799917267607</v>
      </c>
      <c r="L15" s="250">
        <f t="shared" si="3"/>
        <v>0</v>
      </c>
      <c r="M15" s="251">
        <f t="shared" si="4"/>
        <v>0</v>
      </c>
      <c r="N15" s="251">
        <f t="shared" si="5"/>
        <v>0</v>
      </c>
      <c r="O15" s="251">
        <f t="shared" si="6"/>
        <v>0</v>
      </c>
      <c r="P15" s="251">
        <f t="shared" si="7"/>
        <v>0.921804511818182</v>
      </c>
      <c r="Q15" s="250">
        <f t="shared" si="8"/>
        <v>1.53123833270004</v>
      </c>
      <c r="S15" s="166" t="s">
        <v>67</v>
      </c>
      <c r="T15" s="249">
        <f t="shared" si="9"/>
        <v>277.321601996339</v>
      </c>
      <c r="U15" s="250">
        <f t="shared" si="10"/>
        <v>0</v>
      </c>
      <c r="V15" s="251">
        <f t="shared" si="11"/>
        <v>0</v>
      </c>
      <c r="W15" s="251">
        <f t="shared" si="12"/>
        <v>0</v>
      </c>
      <c r="X15" s="251">
        <f t="shared" si="13"/>
        <v>0</v>
      </c>
      <c r="Y15" s="251">
        <f t="shared" si="14"/>
        <v>709.465346167676</v>
      </c>
      <c r="Z15" s="250">
        <f t="shared" si="15"/>
        <v>231.062986330505</v>
      </c>
      <c r="AB15" s="166" t="s">
        <v>68</v>
      </c>
      <c r="AC15" s="147">
        <v>7.92832454514538e-5</v>
      </c>
      <c r="AD15" s="147">
        <v>0</v>
      </c>
      <c r="AE15" s="147">
        <v>0</v>
      </c>
      <c r="AF15" s="147">
        <v>0</v>
      </c>
      <c r="AG15" s="147">
        <v>0</v>
      </c>
      <c r="AH15" s="147">
        <v>3.61247960636671e-6</v>
      </c>
      <c r="AI15" s="220">
        <v>0.000115984557209221</v>
      </c>
      <c r="AJ15" t="s">
        <v>68</v>
      </c>
    </row>
    <row r="16" customFormat="1" spans="1:36">
      <c r="A16" s="166" t="s">
        <v>69</v>
      </c>
      <c r="B16" s="166">
        <v>0.0227918</v>
      </c>
      <c r="C16" s="147">
        <v>0.0222416</v>
      </c>
      <c r="D16" s="147">
        <v>0.0171219</v>
      </c>
      <c r="E16" s="147">
        <v>0.0239788</v>
      </c>
      <c r="F16" s="147">
        <v>0.0340421</v>
      </c>
      <c r="G16" s="147">
        <v>0.0298339</v>
      </c>
      <c r="H16" s="220">
        <v>0.0216062</v>
      </c>
      <c r="J16" s="166" t="s">
        <v>69</v>
      </c>
      <c r="K16" s="249">
        <f t="shared" si="2"/>
        <v>1.00630710037414</v>
      </c>
      <c r="L16" s="250">
        <f t="shared" si="3"/>
        <v>1.07432661357141</v>
      </c>
      <c r="M16" s="251">
        <f t="shared" si="4"/>
        <v>1.19341813457248</v>
      </c>
      <c r="N16" s="251">
        <f t="shared" si="5"/>
        <v>1.25066388882084</v>
      </c>
      <c r="O16" s="251">
        <f t="shared" si="6"/>
        <v>1.46027692261367</v>
      </c>
      <c r="P16" s="251">
        <f t="shared" si="7"/>
        <v>1.20290427893162</v>
      </c>
      <c r="Q16" s="250">
        <f t="shared" si="8"/>
        <v>0.971378175023511</v>
      </c>
      <c r="S16" s="166" t="s">
        <v>69</v>
      </c>
      <c r="T16" s="249">
        <f t="shared" si="9"/>
        <v>-0.0495199554696739</v>
      </c>
      <c r="U16" s="250">
        <f t="shared" si="10"/>
        <v>-0.720753684646251</v>
      </c>
      <c r="V16" s="251">
        <f t="shared" si="11"/>
        <v>-1.36959825990927</v>
      </c>
      <c r="W16" s="251">
        <f t="shared" si="12"/>
        <v>-1.28282766345194</v>
      </c>
      <c r="X16" s="251">
        <f t="shared" si="13"/>
        <v>-1.48520112668924</v>
      </c>
      <c r="Y16" s="251">
        <f t="shared" si="14"/>
        <v>-1.09646502227592</v>
      </c>
      <c r="Z16" s="250">
        <f t="shared" si="15"/>
        <v>0.214861199416937</v>
      </c>
      <c r="AB16" s="166" t="s">
        <v>70</v>
      </c>
      <c r="AC16" s="147">
        <v>0.0226489507939735</v>
      </c>
      <c r="AD16" s="147">
        <v>0.0207028288409069</v>
      </c>
      <c r="AE16" s="147">
        <v>0.0143469413644646</v>
      </c>
      <c r="AF16" s="147">
        <v>0.0191728570836149</v>
      </c>
      <c r="AG16" s="147">
        <v>0.023312085175646</v>
      </c>
      <c r="AH16" s="147">
        <v>0.0248015577985121</v>
      </c>
      <c r="AI16" s="220">
        <v>0.0222428303986519</v>
      </c>
      <c r="AJ16" t="s">
        <v>70</v>
      </c>
    </row>
    <row r="17" customFormat="1" spans="1:36">
      <c r="A17" s="166" t="s">
        <v>71</v>
      </c>
      <c r="B17" s="166">
        <v>-0.0002644</v>
      </c>
      <c r="C17" s="147">
        <v>0.0007549</v>
      </c>
      <c r="D17" s="147">
        <v>0.0014852</v>
      </c>
      <c r="E17" s="147">
        <v>0.0019812</v>
      </c>
      <c r="F17" s="147">
        <v>0.0014861</v>
      </c>
      <c r="G17" s="147">
        <v>0.0024293</v>
      </c>
      <c r="H17" s="220">
        <v>-3.85e-5</v>
      </c>
      <c r="J17" s="166" t="s">
        <v>71</v>
      </c>
      <c r="K17" s="249">
        <f t="shared" si="2"/>
        <v>-0.147652495781954</v>
      </c>
      <c r="L17" s="250">
        <f t="shared" si="3"/>
        <v>0.768101768124452</v>
      </c>
      <c r="M17" s="251">
        <f t="shared" si="4"/>
        <v>0.533462372107304</v>
      </c>
      <c r="N17" s="251">
        <f t="shared" si="5"/>
        <v>0.59493886891155</v>
      </c>
      <c r="O17" s="251">
        <f t="shared" si="6"/>
        <v>0.593934868117585</v>
      </c>
      <c r="P17" s="251">
        <f t="shared" si="7"/>
        <v>1.36355183999959</v>
      </c>
      <c r="Q17" s="250">
        <f t="shared" si="8"/>
        <v>-0.0701811891360814</v>
      </c>
      <c r="S17" s="166" t="s">
        <v>71</v>
      </c>
      <c r="T17" s="249">
        <f t="shared" si="9"/>
        <v>12.5332578271692</v>
      </c>
      <c r="U17" s="250">
        <f t="shared" si="10"/>
        <v>6.80777541671681</v>
      </c>
      <c r="V17" s="251">
        <f t="shared" si="11"/>
        <v>-1.47384438161449</v>
      </c>
      <c r="W17" s="251">
        <f t="shared" si="12"/>
        <v>-0.820497844949611</v>
      </c>
      <c r="X17" s="251">
        <f t="shared" si="13"/>
        <v>-0.985491258742957</v>
      </c>
      <c r="Y17" s="251">
        <f t="shared" si="14"/>
        <v>0.0742795204900806</v>
      </c>
      <c r="Z17" s="250">
        <f t="shared" si="15"/>
        <v>49.2573939365322</v>
      </c>
      <c r="AB17" s="166" t="s">
        <v>72</v>
      </c>
      <c r="AC17" s="147">
        <v>0.00179069103166704</v>
      </c>
      <c r="AD17" s="147">
        <v>0.000982812475283467</v>
      </c>
      <c r="AE17" s="147">
        <v>0.00278407639911528</v>
      </c>
      <c r="AF17" s="147">
        <v>0.00333009003702286</v>
      </c>
      <c r="AG17" s="147">
        <v>0.00250212620907414</v>
      </c>
      <c r="AH17" s="147">
        <v>0.00178159709718167</v>
      </c>
      <c r="AI17" s="220">
        <v>0.00054858004650432</v>
      </c>
      <c r="AJ17" t="s">
        <v>72</v>
      </c>
    </row>
    <row r="18" customFormat="1" spans="1:36">
      <c r="A18" s="166" t="s">
        <v>73</v>
      </c>
      <c r="B18" s="166">
        <v>9.25e-5</v>
      </c>
      <c r="C18" s="147">
        <v>6.61e-5</v>
      </c>
      <c r="D18" s="147">
        <v>1.08e-5</v>
      </c>
      <c r="E18" s="147">
        <v>0.0001914</v>
      </c>
      <c r="F18" s="147">
        <v>8.97e-6</v>
      </c>
      <c r="G18" s="147">
        <v>7.48e-5</v>
      </c>
      <c r="H18" s="220">
        <v>8.11e-5</v>
      </c>
      <c r="J18" s="166" t="s">
        <v>73</v>
      </c>
      <c r="K18" s="249">
        <f t="shared" si="2"/>
        <v>1.13504469533579</v>
      </c>
      <c r="L18" s="250">
        <f t="shared" si="3"/>
        <v>0.886222786077482</v>
      </c>
      <c r="M18" s="251">
        <f t="shared" si="4"/>
        <v>0.284027640697674</v>
      </c>
      <c r="N18" s="251">
        <f t="shared" si="5"/>
        <v>3.4711591019103</v>
      </c>
      <c r="O18" s="251">
        <f t="shared" si="6"/>
        <v>0.124350450166551</v>
      </c>
      <c r="P18" s="251">
        <f t="shared" si="7"/>
        <v>0.979716707917795</v>
      </c>
      <c r="Q18" s="250">
        <f t="shared" si="8"/>
        <v>0.857339140346064</v>
      </c>
      <c r="S18" s="166" t="s">
        <v>73</v>
      </c>
      <c r="T18" s="249">
        <f t="shared" si="9"/>
        <v>270.911274650691</v>
      </c>
      <c r="U18" s="250">
        <f t="shared" si="10"/>
        <v>99.0113353107931</v>
      </c>
      <c r="V18" s="251">
        <f t="shared" si="11"/>
        <v>-69.1859507651856</v>
      </c>
      <c r="W18" s="251">
        <f t="shared" si="12"/>
        <v>-17.0692711551627</v>
      </c>
      <c r="X18" s="251">
        <f t="shared" si="13"/>
        <v>-13.7056293712053</v>
      </c>
      <c r="Y18" s="251">
        <f t="shared" si="14"/>
        <v>32.6308410354047</v>
      </c>
      <c r="Z18" s="250">
        <f t="shared" si="15"/>
        <v>284.357070996534</v>
      </c>
      <c r="AB18" s="166" t="s">
        <v>74</v>
      </c>
      <c r="AC18" s="147">
        <v>8.14945881691778e-5</v>
      </c>
      <c r="AD18" s="147">
        <v>7.45862113211575e-5</v>
      </c>
      <c r="AE18" s="147">
        <v>3.80244682294699e-5</v>
      </c>
      <c r="AF18" s="147">
        <v>5.51400827160777e-5</v>
      </c>
      <c r="AG18" s="147">
        <v>7.21348413937052e-5</v>
      </c>
      <c r="AH18" s="147">
        <v>7.63486009736156e-5</v>
      </c>
      <c r="AI18" s="220">
        <v>9.4595004687718e-5</v>
      </c>
      <c r="AJ18" t="s">
        <v>74</v>
      </c>
    </row>
    <row r="19" customFormat="1" spans="1:36">
      <c r="A19" s="166" t="s">
        <v>75</v>
      </c>
      <c r="B19" s="166">
        <v>0.0170886</v>
      </c>
      <c r="C19" s="147">
        <v>0.0131113</v>
      </c>
      <c r="D19" s="147">
        <v>0.0119024</v>
      </c>
      <c r="E19" s="147">
        <v>0.0150304</v>
      </c>
      <c r="F19" s="147">
        <v>0.0132689</v>
      </c>
      <c r="G19" s="147">
        <v>0.0149805</v>
      </c>
      <c r="H19" s="220">
        <v>0.016146</v>
      </c>
      <c r="J19" s="166" t="s">
        <v>75</v>
      </c>
      <c r="K19" s="249">
        <f t="shared" si="2"/>
        <v>1.21754842016599</v>
      </c>
      <c r="L19" s="250">
        <f t="shared" si="3"/>
        <v>1.06231998539538</v>
      </c>
      <c r="M19" s="251">
        <f t="shared" si="4"/>
        <v>1.45536678848452</v>
      </c>
      <c r="N19" s="251">
        <f t="shared" si="5"/>
        <v>1.4566490410116</v>
      </c>
      <c r="O19" s="251">
        <f t="shared" si="6"/>
        <v>1.09644622819152</v>
      </c>
      <c r="P19" s="251">
        <f t="shared" si="7"/>
        <v>1.15402511389987</v>
      </c>
      <c r="Q19" s="250">
        <f t="shared" si="8"/>
        <v>1.02726836549101</v>
      </c>
      <c r="S19" s="166" t="s">
        <v>75</v>
      </c>
      <c r="T19" s="249">
        <f t="shared" si="9"/>
        <v>0.338931795605491</v>
      </c>
      <c r="U19" s="250">
        <f t="shared" si="10"/>
        <v>-0.465676421808649</v>
      </c>
      <c r="V19" s="251">
        <f t="shared" si="11"/>
        <v>-1.7664923368685</v>
      </c>
      <c r="W19" s="251">
        <f t="shared" si="12"/>
        <v>-1.52137508696932</v>
      </c>
      <c r="X19" s="251">
        <f t="shared" si="13"/>
        <v>-1.17504337698429</v>
      </c>
      <c r="Y19" s="251">
        <f t="shared" si="14"/>
        <v>-0.956988637485987</v>
      </c>
      <c r="Z19" s="250">
        <f t="shared" si="15"/>
        <v>0.662155710114007</v>
      </c>
      <c r="AB19" s="166" t="s">
        <v>76</v>
      </c>
      <c r="AC19" s="147">
        <v>0.014035252904086</v>
      </c>
      <c r="AD19" s="147">
        <v>0.0123421381318738</v>
      </c>
      <c r="AE19" s="147">
        <v>0.008178281993362</v>
      </c>
      <c r="AF19" s="147">
        <v>0.0103184772562386</v>
      </c>
      <c r="AG19" s="147">
        <v>0.0121017334538017</v>
      </c>
      <c r="AH19" s="147">
        <v>0.0129810866501643</v>
      </c>
      <c r="AI19" s="220">
        <v>0.0157174118685944</v>
      </c>
      <c r="AJ19" t="s">
        <v>76</v>
      </c>
    </row>
    <row r="20" customFormat="1" spans="1:36">
      <c r="A20" s="166" t="s">
        <v>77</v>
      </c>
      <c r="B20" s="166">
        <v>0.0044334</v>
      </c>
      <c r="C20" s="147">
        <v>0.0047139</v>
      </c>
      <c r="D20" s="147">
        <v>0.0079811</v>
      </c>
      <c r="E20" s="147">
        <v>0.0084101</v>
      </c>
      <c r="F20" s="147">
        <v>0.0081937</v>
      </c>
      <c r="G20" s="147">
        <v>0.0055407</v>
      </c>
      <c r="H20" s="220">
        <v>0.0046288</v>
      </c>
      <c r="J20" s="166" t="s">
        <v>77</v>
      </c>
      <c r="K20" s="249">
        <f t="shared" si="2"/>
        <v>0.782803311553515</v>
      </c>
      <c r="L20" s="250">
        <f t="shared" si="3"/>
        <v>0.746650544026967</v>
      </c>
      <c r="M20" s="251">
        <f t="shared" si="4"/>
        <v>1.12104417758278</v>
      </c>
      <c r="N20" s="251">
        <f t="shared" si="5"/>
        <v>1.08371432937773</v>
      </c>
      <c r="O20" s="251">
        <f t="shared" si="6"/>
        <v>1.102428671332</v>
      </c>
      <c r="P20" s="251">
        <f t="shared" si="7"/>
        <v>0.918382284859842</v>
      </c>
      <c r="Q20" s="250">
        <f t="shared" si="8"/>
        <v>0.992033053931839</v>
      </c>
      <c r="S20" s="166" t="s">
        <v>77</v>
      </c>
      <c r="T20" s="249">
        <f t="shared" si="9"/>
        <v>3.11383903483126</v>
      </c>
      <c r="U20" s="250">
        <f t="shared" si="10"/>
        <v>0.426858450804962</v>
      </c>
      <c r="V20" s="251">
        <f t="shared" si="11"/>
        <v>-1.48515875518657</v>
      </c>
      <c r="W20" s="251">
        <f t="shared" si="12"/>
        <v>-1.1788307498103</v>
      </c>
      <c r="X20" s="251">
        <f t="shared" si="13"/>
        <v>-1.23232736101789</v>
      </c>
      <c r="Y20" s="251">
        <f t="shared" si="14"/>
        <v>-0.495825926405645</v>
      </c>
      <c r="Z20" s="250">
        <f t="shared" si="15"/>
        <v>4.76390433413242</v>
      </c>
      <c r="AB20" s="166" t="s">
        <v>78</v>
      </c>
      <c r="AC20" s="147">
        <v>0.00566349162627031</v>
      </c>
      <c r="AD20" s="147">
        <v>0.00631339525258519</v>
      </c>
      <c r="AE20" s="147">
        <v>0.00711934476766921</v>
      </c>
      <c r="AF20" s="147">
        <v>0.00776043997206266</v>
      </c>
      <c r="AG20" s="147">
        <v>0.00743240829368128</v>
      </c>
      <c r="AH20" s="147">
        <v>0.00603310853371435</v>
      </c>
      <c r="AI20" s="220">
        <v>0.00466597355970564</v>
      </c>
      <c r="AJ20" t="s">
        <v>78</v>
      </c>
    </row>
    <row r="21" customFormat="1" spans="1:36">
      <c r="A21" s="166" t="s">
        <v>79</v>
      </c>
      <c r="B21" s="166">
        <v>0.0004096</v>
      </c>
      <c r="C21" s="147">
        <v>0.0006489</v>
      </c>
      <c r="D21" s="147">
        <v>0.000682</v>
      </c>
      <c r="E21" s="147">
        <v>0.0008498</v>
      </c>
      <c r="F21" s="147">
        <v>0.0008308</v>
      </c>
      <c r="G21" s="147">
        <v>0.0006545</v>
      </c>
      <c r="H21" s="220">
        <v>0.0002548</v>
      </c>
      <c r="J21" s="166" t="s">
        <v>79</v>
      </c>
      <c r="K21" s="249">
        <f t="shared" si="2"/>
        <v>0.652103281172081</v>
      </c>
      <c r="L21" s="250">
        <f t="shared" si="3"/>
        <v>0.836648200828729</v>
      </c>
      <c r="M21" s="251">
        <f t="shared" si="4"/>
        <v>1.23299798547828</v>
      </c>
      <c r="N21" s="251">
        <f t="shared" si="5"/>
        <v>1.34436762295961</v>
      </c>
      <c r="O21" s="251">
        <f t="shared" si="6"/>
        <v>1.2471350167773</v>
      </c>
      <c r="P21" s="251">
        <f t="shared" si="7"/>
        <v>1.00963891354886</v>
      </c>
      <c r="Q21" s="250">
        <f t="shared" si="8"/>
        <v>0.357716221197293</v>
      </c>
      <c r="S21" s="166" t="s">
        <v>79</v>
      </c>
      <c r="T21" s="249">
        <f t="shared" si="9"/>
        <v>34.6327901558457</v>
      </c>
      <c r="U21" s="250">
        <f t="shared" si="10"/>
        <v>8.76443173542817</v>
      </c>
      <c r="V21" s="251">
        <f t="shared" si="11"/>
        <v>-5.96635055261977</v>
      </c>
      <c r="W21" s="251">
        <f t="shared" si="12"/>
        <v>-2.52946522169143</v>
      </c>
      <c r="X21" s="251">
        <f t="shared" si="13"/>
        <v>-2.71630833348713</v>
      </c>
      <c r="Y21" s="251">
        <f t="shared" si="14"/>
        <v>2.94645270628957</v>
      </c>
      <c r="Z21" s="250">
        <f t="shared" si="15"/>
        <v>37.5128945483116</v>
      </c>
      <c r="AB21" s="166" t="s">
        <v>80</v>
      </c>
      <c r="AC21" s="147">
        <v>0.000628121360260281</v>
      </c>
      <c r="AD21" s="147">
        <v>0.000775594807180894</v>
      </c>
      <c r="AE21" s="147">
        <v>0.000553123369244963</v>
      </c>
      <c r="AF21" s="147">
        <v>0.000632118763861016</v>
      </c>
      <c r="AG21" s="147">
        <v>0.000666166845468631</v>
      </c>
      <c r="AH21" s="147">
        <v>0.000648251559262357</v>
      </c>
      <c r="AI21" s="220">
        <v>0.000712296465469674</v>
      </c>
      <c r="AJ21" t="s">
        <v>80</v>
      </c>
    </row>
    <row r="22" customFormat="1" spans="1:36">
      <c r="A22" s="166" t="s">
        <v>81</v>
      </c>
      <c r="B22" s="166">
        <v>0.0019265</v>
      </c>
      <c r="C22" s="147">
        <v>0.0033029</v>
      </c>
      <c r="D22" s="147">
        <v>0.0024638</v>
      </c>
      <c r="E22" s="147">
        <v>0.0032307</v>
      </c>
      <c r="F22" s="147">
        <v>0.0035496</v>
      </c>
      <c r="G22" s="147">
        <v>0.0037573</v>
      </c>
      <c r="H22" s="220">
        <v>0.0016382</v>
      </c>
      <c r="J22" s="166" t="s">
        <v>81</v>
      </c>
      <c r="K22" s="249">
        <f t="shared" si="2"/>
        <v>0.712184353351356</v>
      </c>
      <c r="L22" s="250">
        <f t="shared" si="3"/>
        <v>1.03825291992821</v>
      </c>
      <c r="M22" s="251">
        <f t="shared" si="4"/>
        <v>1.05225285346824</v>
      </c>
      <c r="N22" s="251">
        <f t="shared" si="5"/>
        <v>1.14103405104571</v>
      </c>
      <c r="O22" s="251">
        <f t="shared" si="6"/>
        <v>1.17480523478155</v>
      </c>
      <c r="P22" s="251">
        <f t="shared" si="7"/>
        <v>1.15736897246988</v>
      </c>
      <c r="Q22" s="250">
        <f t="shared" si="8"/>
        <v>0.606927841848736</v>
      </c>
      <c r="S22" s="166" t="s">
        <v>81</v>
      </c>
      <c r="T22" s="249">
        <f t="shared" si="9"/>
        <v>7.46807777827435</v>
      </c>
      <c r="U22" s="250">
        <f t="shared" si="10"/>
        <v>1.29646906658528</v>
      </c>
      <c r="V22" s="251">
        <f t="shared" si="11"/>
        <v>-2.16835292460894</v>
      </c>
      <c r="W22" s="251">
        <f t="shared" si="12"/>
        <v>-1.26372720024574</v>
      </c>
      <c r="X22" s="251">
        <f t="shared" si="13"/>
        <v>-1.49728900420705</v>
      </c>
      <c r="Y22" s="251">
        <f t="shared" si="14"/>
        <v>-0.369246719466414</v>
      </c>
      <c r="Z22" s="250">
        <f t="shared" si="15"/>
        <v>9.37249882626441</v>
      </c>
      <c r="AB22" s="166" t="s">
        <v>82</v>
      </c>
      <c r="AC22" s="147">
        <v>0.00270505802456118</v>
      </c>
      <c r="AD22" s="147">
        <v>0.00318120944964775</v>
      </c>
      <c r="AE22" s="147">
        <v>0.00234145242930848</v>
      </c>
      <c r="AF22" s="147">
        <v>0.00283137913109534</v>
      </c>
      <c r="AG22" s="147">
        <v>0.00302143699645672</v>
      </c>
      <c r="AH22" s="147">
        <v>0.00324641500625488</v>
      </c>
      <c r="AI22" s="220">
        <v>0.00269916765559799</v>
      </c>
      <c r="AJ22" t="s">
        <v>82</v>
      </c>
    </row>
    <row r="23" customFormat="1" spans="1:36">
      <c r="A23" s="166" t="s">
        <v>83</v>
      </c>
      <c r="B23" s="166">
        <v>0.0035657</v>
      </c>
      <c r="C23" s="147">
        <v>0.0011517</v>
      </c>
      <c r="D23" s="147">
        <v>0.0009635</v>
      </c>
      <c r="E23" s="147">
        <v>0.0007315</v>
      </c>
      <c r="F23" s="147">
        <v>0.0019471</v>
      </c>
      <c r="G23" s="147">
        <v>0.0008484</v>
      </c>
      <c r="H23" s="220">
        <v>0.0041394</v>
      </c>
      <c r="J23" s="166" t="s">
        <v>83</v>
      </c>
      <c r="K23" s="249">
        <f t="shared" si="2"/>
        <v>3.18584428182805</v>
      </c>
      <c r="L23" s="250">
        <f t="shared" si="3"/>
        <v>1.29547520611548</v>
      </c>
      <c r="M23" s="251">
        <f t="shared" si="4"/>
        <v>1.64371071132692</v>
      </c>
      <c r="N23" s="251">
        <f t="shared" si="5"/>
        <v>0.934639319947921</v>
      </c>
      <c r="O23" s="251">
        <f t="shared" si="6"/>
        <v>2.44287049846337</v>
      </c>
      <c r="P23" s="251">
        <f t="shared" si="7"/>
        <v>1.05493433740377</v>
      </c>
      <c r="Q23" s="250">
        <f t="shared" si="8"/>
        <v>3.03333760511837</v>
      </c>
      <c r="S23" s="166" t="s">
        <v>83</v>
      </c>
      <c r="T23" s="249">
        <f t="shared" si="9"/>
        <v>16.5616323853206</v>
      </c>
      <c r="U23" s="250">
        <f t="shared" si="10"/>
        <v>7.07687289334518</v>
      </c>
      <c r="V23" s="251">
        <f t="shared" si="11"/>
        <v>-6.10841732041112</v>
      </c>
      <c r="W23" s="251">
        <f t="shared" si="12"/>
        <v>-1.89216375330369</v>
      </c>
      <c r="X23" s="251">
        <f t="shared" si="13"/>
        <v>-3.66681042831949</v>
      </c>
      <c r="Y23" s="251">
        <f t="shared" si="14"/>
        <v>2.1333577290719</v>
      </c>
      <c r="Z23" s="250">
        <f t="shared" si="15"/>
        <v>16.6656277858984</v>
      </c>
      <c r="AB23" s="166" t="s">
        <v>84</v>
      </c>
      <c r="AC23" s="147">
        <v>0.0011192323555607</v>
      </c>
      <c r="AD23" s="147">
        <v>0.00088901740038191</v>
      </c>
      <c r="AE23" s="147">
        <v>0.000586173706456043</v>
      </c>
      <c r="AF23" s="147">
        <v>0.00078265485346878</v>
      </c>
      <c r="AG23" s="147">
        <v>0.000797054121872107</v>
      </c>
      <c r="AH23" s="147">
        <v>0.000804220670348015</v>
      </c>
      <c r="AI23" s="220">
        <v>0.0013646354408475</v>
      </c>
      <c r="AJ23" t="s">
        <v>84</v>
      </c>
    </row>
    <row r="24" customFormat="1" spans="1:36">
      <c r="A24" s="166" t="s">
        <v>85</v>
      </c>
      <c r="B24" s="166">
        <v>0.0005714</v>
      </c>
      <c r="C24" s="147">
        <v>0.0006256</v>
      </c>
      <c r="D24" s="147">
        <v>0.0013584</v>
      </c>
      <c r="E24" s="147">
        <v>0.0011674</v>
      </c>
      <c r="F24" s="147">
        <v>0.0015989</v>
      </c>
      <c r="G24" s="147">
        <v>0.0011695</v>
      </c>
      <c r="H24" s="220">
        <v>0.000482</v>
      </c>
      <c r="J24" s="166" t="s">
        <v>85</v>
      </c>
      <c r="K24" s="249">
        <f t="shared" si="2"/>
        <v>0.496005918581941</v>
      </c>
      <c r="L24" s="250">
        <f t="shared" si="3"/>
        <v>0.688945905122132</v>
      </c>
      <c r="M24" s="251">
        <f t="shared" si="4"/>
        <v>1.37099941131234</v>
      </c>
      <c r="N24" s="251">
        <f t="shared" si="5"/>
        <v>1.19223235970627</v>
      </c>
      <c r="O24" s="251">
        <f t="shared" si="6"/>
        <v>1.41554640468445</v>
      </c>
      <c r="P24" s="251">
        <f t="shared" si="7"/>
        <v>0.693280930654197</v>
      </c>
      <c r="Q24" s="250">
        <f t="shared" si="8"/>
        <v>0.579378869344302</v>
      </c>
      <c r="S24" s="166" t="s">
        <v>85</v>
      </c>
      <c r="T24" s="249">
        <f t="shared" si="9"/>
        <v>18.739476349319</v>
      </c>
      <c r="U24" s="250">
        <f t="shared" si="10"/>
        <v>7.51170316964546</v>
      </c>
      <c r="V24" s="251">
        <f t="shared" si="11"/>
        <v>-4.01119257176771</v>
      </c>
      <c r="W24" s="251">
        <f t="shared" si="12"/>
        <v>-1.95695137450325</v>
      </c>
      <c r="X24" s="251">
        <f t="shared" si="13"/>
        <v>-2.280800288269</v>
      </c>
      <c r="Y24" s="251">
        <f t="shared" si="14"/>
        <v>0.825843797087698</v>
      </c>
      <c r="Z24" s="250">
        <f t="shared" si="15"/>
        <v>31.8380361582918</v>
      </c>
      <c r="AB24" s="166" t="s">
        <v>86</v>
      </c>
      <c r="AC24" s="147">
        <v>0.00115200238261996</v>
      </c>
      <c r="AD24" s="147">
        <v>0.000908053876725049</v>
      </c>
      <c r="AE24" s="147">
        <v>0.000990810053448327</v>
      </c>
      <c r="AF24" s="147">
        <v>0.000979171543613871</v>
      </c>
      <c r="AG24" s="147">
        <v>0.00112952849493932</v>
      </c>
      <c r="AH24" s="147">
        <v>0.00168690634386327</v>
      </c>
      <c r="AI24" s="220">
        <v>0.000831925404089196</v>
      </c>
      <c r="AJ24" t="s">
        <v>86</v>
      </c>
    </row>
    <row r="25" customFormat="1" spans="1:36">
      <c r="A25" s="166" t="s">
        <v>87</v>
      </c>
      <c r="B25" s="166">
        <v>0.0025721</v>
      </c>
      <c r="C25" s="147">
        <v>0.001739</v>
      </c>
      <c r="D25" s="147">
        <v>0.000367</v>
      </c>
      <c r="E25" s="147">
        <v>0.0004347</v>
      </c>
      <c r="F25" s="147">
        <v>0.0014921</v>
      </c>
      <c r="G25" s="147">
        <v>0.0016699</v>
      </c>
      <c r="H25" s="220">
        <v>0.002403</v>
      </c>
      <c r="J25" s="166" t="s">
        <v>87</v>
      </c>
      <c r="K25" s="249">
        <f t="shared" si="2"/>
        <v>1.30032008997484</v>
      </c>
      <c r="L25" s="250">
        <f t="shared" si="3"/>
        <v>2.44323148175443</v>
      </c>
      <c r="M25" s="251">
        <f t="shared" si="4"/>
        <v>1.00287291310914</v>
      </c>
      <c r="N25" s="251">
        <f t="shared" si="5"/>
        <v>1.01332368462154</v>
      </c>
      <c r="O25" s="251">
        <f t="shared" si="6"/>
        <v>1.7778182829357</v>
      </c>
      <c r="P25" s="251">
        <f t="shared" si="7"/>
        <v>1.19982192412826</v>
      </c>
      <c r="Q25" s="250">
        <f t="shared" si="8"/>
        <v>1.01484153359969</v>
      </c>
      <c r="S25" s="166" t="s">
        <v>87</v>
      </c>
      <c r="T25" s="249">
        <f t="shared" si="9"/>
        <v>9.88078685482103</v>
      </c>
      <c r="U25" s="250">
        <f t="shared" si="10"/>
        <v>8.0101202314679</v>
      </c>
      <c r="V25" s="251">
        <f t="shared" si="11"/>
        <v>-8.15986697804567</v>
      </c>
      <c r="W25" s="251">
        <f t="shared" si="12"/>
        <v>-2.76068855927317</v>
      </c>
      <c r="X25" s="251">
        <f t="shared" si="13"/>
        <v>-2.94221946116822</v>
      </c>
      <c r="Y25" s="251">
        <f t="shared" si="14"/>
        <v>0.641325565237466</v>
      </c>
      <c r="Z25" s="250">
        <f t="shared" si="15"/>
        <v>10.3529485236784</v>
      </c>
      <c r="AB25" s="166" t="s">
        <v>88</v>
      </c>
      <c r="AC25" s="147">
        <v>0.00197805141966988</v>
      </c>
      <c r="AD25" s="147">
        <v>0.000711762275898336</v>
      </c>
      <c r="AE25" s="147">
        <v>0.000365948661293696</v>
      </c>
      <c r="AF25" s="147">
        <v>0.000428984347841778</v>
      </c>
      <c r="AG25" s="147">
        <v>0.000839287127555074</v>
      </c>
      <c r="AH25" s="147">
        <v>0.00139178987016201</v>
      </c>
      <c r="AI25" s="220">
        <v>0.00236785736535283</v>
      </c>
      <c r="AJ25" t="s">
        <v>88</v>
      </c>
    </row>
    <row r="26" customFormat="1" spans="1:36">
      <c r="A26" s="166" t="s">
        <v>89</v>
      </c>
      <c r="B26" s="166">
        <v>0.0056901</v>
      </c>
      <c r="C26" s="147">
        <v>0.0059182</v>
      </c>
      <c r="D26" s="147">
        <v>0.0049315</v>
      </c>
      <c r="E26" s="147">
        <v>0.0071352</v>
      </c>
      <c r="F26" s="147">
        <v>0.0085758</v>
      </c>
      <c r="G26" s="147">
        <v>0.0057642</v>
      </c>
      <c r="H26" s="220">
        <v>0.0052613</v>
      </c>
      <c r="J26" s="166" t="s">
        <v>89</v>
      </c>
      <c r="K26" s="249">
        <f t="shared" si="2"/>
        <v>0.875735849681408</v>
      </c>
      <c r="L26" s="250">
        <f t="shared" si="3"/>
        <v>0.992008051101883</v>
      </c>
      <c r="M26" s="251">
        <f t="shared" si="4"/>
        <v>0.985262441006294</v>
      </c>
      <c r="N26" s="251">
        <f t="shared" si="5"/>
        <v>1.15130076557903</v>
      </c>
      <c r="O26" s="251">
        <f t="shared" si="6"/>
        <v>1.25470950333316</v>
      </c>
      <c r="P26" s="251">
        <f t="shared" si="7"/>
        <v>0.941940963096634</v>
      </c>
      <c r="Q26" s="250">
        <f t="shared" si="8"/>
        <v>0.809940586288838</v>
      </c>
      <c r="S26" s="166" t="s">
        <v>89</v>
      </c>
      <c r="T26" s="249">
        <f t="shared" si="9"/>
        <v>2.51657534989565</v>
      </c>
      <c r="U26" s="250">
        <f t="shared" si="10"/>
        <v>0.249558106710041</v>
      </c>
      <c r="V26" s="251">
        <f t="shared" si="11"/>
        <v>-1.50620856106805</v>
      </c>
      <c r="W26" s="251">
        <f t="shared" si="12"/>
        <v>-1.27036977102704</v>
      </c>
      <c r="X26" s="251">
        <f t="shared" si="13"/>
        <v>-1.39462891605983</v>
      </c>
      <c r="Y26" s="251">
        <f t="shared" si="14"/>
        <v>-0.525329668124831</v>
      </c>
      <c r="Z26" s="250">
        <f t="shared" si="15"/>
        <v>3.32091325989384</v>
      </c>
      <c r="AB26" s="166" t="s">
        <v>90</v>
      </c>
      <c r="AC26" s="147">
        <v>0.00649750721301412</v>
      </c>
      <c r="AD26" s="147">
        <v>0.00596587900010116</v>
      </c>
      <c r="AE26" s="147">
        <v>0.00500526539402358</v>
      </c>
      <c r="AF26" s="147">
        <v>0.00619751173049158</v>
      </c>
      <c r="AG26" s="147">
        <v>0.00683488885452625</v>
      </c>
      <c r="AH26" s="147">
        <v>0.00611949180026121</v>
      </c>
      <c r="AI26" s="220">
        <v>0.00649590857535288</v>
      </c>
      <c r="AJ26" t="s">
        <v>90</v>
      </c>
    </row>
    <row r="27" customFormat="1" spans="1:36">
      <c r="A27" s="166" t="s">
        <v>91</v>
      </c>
      <c r="B27" s="166">
        <v>0.097072</v>
      </c>
      <c r="C27" s="147">
        <v>0.0312778</v>
      </c>
      <c r="D27" s="147">
        <v>0.0449434</v>
      </c>
      <c r="E27" s="147">
        <v>0.0396701</v>
      </c>
      <c r="F27" s="147">
        <v>0.0556249</v>
      </c>
      <c r="G27" s="147">
        <v>0.0364893</v>
      </c>
      <c r="H27" s="220">
        <v>0.0953385</v>
      </c>
      <c r="J27" s="166" t="s">
        <v>91</v>
      </c>
      <c r="K27" s="249">
        <f t="shared" si="2"/>
        <v>0.803089159667684</v>
      </c>
      <c r="L27" s="250">
        <f t="shared" si="3"/>
        <v>0.542563063977885</v>
      </c>
      <c r="M27" s="251">
        <f t="shared" si="4"/>
        <v>0.468101887586643</v>
      </c>
      <c r="N27" s="251">
        <f t="shared" si="5"/>
        <v>0.412630484921674</v>
      </c>
      <c r="O27" s="251">
        <f t="shared" si="6"/>
        <v>0.542865742291034</v>
      </c>
      <c r="P27" s="251">
        <f t="shared" si="7"/>
        <v>0.372739304320828</v>
      </c>
      <c r="Q27" s="250">
        <f t="shared" si="8"/>
        <v>0.906073310195004</v>
      </c>
      <c r="S27" s="166" t="s">
        <v>91</v>
      </c>
      <c r="T27" s="249">
        <f t="shared" si="9"/>
        <v>-0.656575211414858</v>
      </c>
      <c r="U27" s="250">
        <f t="shared" si="10"/>
        <v>-0.43165580615043</v>
      </c>
      <c r="V27" s="251">
        <f t="shared" si="11"/>
        <v>-0.518068957848183</v>
      </c>
      <c r="W27" s="251">
        <f t="shared" si="12"/>
        <v>-0.443422094228371</v>
      </c>
      <c r="X27" s="251">
        <f t="shared" si="13"/>
        <v>-0.577323338750297</v>
      </c>
      <c r="Y27" s="251">
        <f t="shared" si="14"/>
        <v>-0.370369156881782</v>
      </c>
      <c r="Z27" s="250">
        <f t="shared" si="15"/>
        <v>-0.683045131349182</v>
      </c>
      <c r="AB27" s="166" t="s">
        <v>92</v>
      </c>
      <c r="AC27" s="147">
        <v>0.120873254023461</v>
      </c>
      <c r="AD27" s="147">
        <v>0.0576482294439322</v>
      </c>
      <c r="AE27" s="147">
        <v>0.0960120033519011</v>
      </c>
      <c r="AF27" s="147">
        <v>0.0961395278575461</v>
      </c>
      <c r="AG27" s="147">
        <v>0.102465297893451</v>
      </c>
      <c r="AH27" s="147">
        <v>0.0978949619130923</v>
      </c>
      <c r="AI27" s="220">
        <v>0.105221618303139</v>
      </c>
      <c r="AJ27" t="s">
        <v>92</v>
      </c>
    </row>
    <row r="28" customFormat="1" spans="1:36">
      <c r="A28" s="166" t="s">
        <v>93</v>
      </c>
      <c r="B28" s="166">
        <v>0.0313006</v>
      </c>
      <c r="C28" s="147">
        <v>0.054291</v>
      </c>
      <c r="D28" s="147">
        <v>0.0323527</v>
      </c>
      <c r="E28" s="147">
        <v>0.0258586</v>
      </c>
      <c r="F28" s="147">
        <v>0.0253099</v>
      </c>
      <c r="G28" s="147">
        <v>0.0422471</v>
      </c>
      <c r="H28" s="220">
        <v>0.031682</v>
      </c>
      <c r="J28" s="166" t="s">
        <v>93</v>
      </c>
      <c r="K28" s="249">
        <f t="shared" si="2"/>
        <v>1.31125577622658</v>
      </c>
      <c r="L28" s="250">
        <f t="shared" si="3"/>
        <v>1.47656617705745</v>
      </c>
      <c r="M28" s="251">
        <f t="shared" si="4"/>
        <v>1.76886395027669</v>
      </c>
      <c r="N28" s="251">
        <f t="shared" si="5"/>
        <v>1.15240407548047</v>
      </c>
      <c r="O28" s="251">
        <f t="shared" si="6"/>
        <v>1.09076729100704</v>
      </c>
      <c r="P28" s="251">
        <f t="shared" si="7"/>
        <v>1.41022177208189</v>
      </c>
      <c r="Q28" s="250">
        <f t="shared" si="8"/>
        <v>1.02571554932905</v>
      </c>
      <c r="S28" s="166" t="s">
        <v>93</v>
      </c>
      <c r="T28" s="249">
        <f t="shared" si="9"/>
        <v>-0.401735086735295</v>
      </c>
      <c r="U28" s="250">
        <f t="shared" si="10"/>
        <v>-1.25903699433998</v>
      </c>
      <c r="V28" s="251">
        <f t="shared" si="11"/>
        <v>-1.882604735692</v>
      </c>
      <c r="W28" s="251">
        <f t="shared" si="12"/>
        <v>-1.18101845788351</v>
      </c>
      <c r="X28" s="251">
        <f t="shared" si="13"/>
        <v>-1.12962371764067</v>
      </c>
      <c r="Y28" s="251">
        <f t="shared" si="14"/>
        <v>-1.31084693728703</v>
      </c>
      <c r="Z28" s="250">
        <f t="shared" si="15"/>
        <v>-0.179022517938364</v>
      </c>
      <c r="AB28" s="166" t="s">
        <v>94</v>
      </c>
      <c r="AC28" s="147">
        <v>0.0238707051419627</v>
      </c>
      <c r="AD28" s="147">
        <v>0.0367684163727717</v>
      </c>
      <c r="AE28" s="147">
        <v>0.0182901008271096</v>
      </c>
      <c r="AF28" s="147">
        <v>0.0224388307453865</v>
      </c>
      <c r="AG28" s="147">
        <v>0.0232037577663636</v>
      </c>
      <c r="AH28" s="147">
        <v>0.0299577703566662</v>
      </c>
      <c r="AI28" s="220">
        <v>0.0308877056809015</v>
      </c>
      <c r="AJ28" t="s">
        <v>94</v>
      </c>
    </row>
    <row r="29" customFormat="1" spans="1:36">
      <c r="A29" s="166" t="s">
        <v>95</v>
      </c>
      <c r="B29" s="166">
        <v>0.0266177</v>
      </c>
      <c r="C29" s="147">
        <v>0.045569</v>
      </c>
      <c r="D29" s="147">
        <v>0.0970173</v>
      </c>
      <c r="E29" s="147">
        <v>0.0731737</v>
      </c>
      <c r="F29" s="147">
        <v>0.0601762</v>
      </c>
      <c r="G29" s="147">
        <v>0.0453839</v>
      </c>
      <c r="H29" s="220">
        <v>0.0247682</v>
      </c>
      <c r="J29" s="166" t="s">
        <v>95</v>
      </c>
      <c r="K29" s="249">
        <f t="shared" si="2"/>
        <v>0.385720582529724</v>
      </c>
      <c r="L29" s="250">
        <f t="shared" si="3"/>
        <v>0.510672830670677</v>
      </c>
      <c r="M29" s="251">
        <f t="shared" si="4"/>
        <v>0.775502092355131</v>
      </c>
      <c r="N29" s="251">
        <f t="shared" si="5"/>
        <v>0.7291026327363</v>
      </c>
      <c r="O29" s="251">
        <f t="shared" si="6"/>
        <v>0.64033767319912</v>
      </c>
      <c r="P29" s="251">
        <f t="shared" si="7"/>
        <v>0.574200448981786</v>
      </c>
      <c r="Q29" s="250">
        <f t="shared" si="8"/>
        <v>0.454903973133502</v>
      </c>
      <c r="S29" s="166" t="s">
        <v>95</v>
      </c>
      <c r="T29" s="249">
        <f t="shared" si="9"/>
        <v>-0.089320920551644</v>
      </c>
      <c r="U29" s="250">
        <f t="shared" si="10"/>
        <v>-0.453271027321115</v>
      </c>
      <c r="V29" s="251">
        <f t="shared" si="11"/>
        <v>-0.816193585766095</v>
      </c>
      <c r="W29" s="251">
        <f t="shared" si="12"/>
        <v>-0.755850417584487</v>
      </c>
      <c r="X29" s="251">
        <f t="shared" si="13"/>
        <v>-0.671778347183937</v>
      </c>
      <c r="Y29" s="251">
        <f t="shared" si="14"/>
        <v>-0.562530358814414</v>
      </c>
      <c r="Z29" s="250">
        <f t="shared" si="15"/>
        <v>0.0148860267311102</v>
      </c>
      <c r="AB29" s="166" t="s">
        <v>96</v>
      </c>
      <c r="AC29" s="147">
        <v>0.0690077252954186</v>
      </c>
      <c r="AD29" s="147">
        <v>0.0892332571132741</v>
      </c>
      <c r="AE29" s="147">
        <v>0.125102563818193</v>
      </c>
      <c r="AF29" s="147">
        <v>0.100361316383376</v>
      </c>
      <c r="AG29" s="147">
        <v>0.0939757295543153</v>
      </c>
      <c r="AH29" s="147">
        <v>0.079038426529408</v>
      </c>
      <c r="AI29" s="220">
        <v>0.0544470953493546</v>
      </c>
      <c r="AJ29" t="s">
        <v>96</v>
      </c>
    </row>
    <row r="30" customFormat="1" spans="1:36">
      <c r="A30" s="166" t="s">
        <v>97</v>
      </c>
      <c r="B30" s="166">
        <v>0</v>
      </c>
      <c r="C30" s="147">
        <v>3.1e-7</v>
      </c>
      <c r="D30" s="147">
        <v>0</v>
      </c>
      <c r="E30" s="147">
        <v>0</v>
      </c>
      <c r="F30" s="147">
        <v>1.85e-6</v>
      </c>
      <c r="G30" s="147">
        <v>0</v>
      </c>
      <c r="H30" s="220">
        <v>0</v>
      </c>
      <c r="J30" s="166" t="s">
        <v>97</v>
      </c>
      <c r="K30" s="249">
        <f t="shared" si="2"/>
        <v>0</v>
      </c>
      <c r="L30" s="250">
        <f t="shared" si="3"/>
        <v>1.04899490361111</v>
      </c>
      <c r="M30" s="251">
        <f t="shared" si="4"/>
        <v>0</v>
      </c>
      <c r="N30" s="251">
        <f t="shared" si="5"/>
        <v>0</v>
      </c>
      <c r="O30" s="251">
        <f t="shared" si="6"/>
        <v>3.07970687083333</v>
      </c>
      <c r="P30" s="251">
        <f t="shared" si="7"/>
        <v>0</v>
      </c>
      <c r="Q30" s="250">
        <f t="shared" si="8"/>
        <v>0</v>
      </c>
      <c r="S30" s="166" t="s">
        <v>97</v>
      </c>
      <c r="T30" s="249">
        <f t="shared" si="9"/>
        <v>0</v>
      </c>
      <c r="U30" s="250">
        <f t="shared" si="10"/>
        <v>25213.5752111197</v>
      </c>
      <c r="V30" s="251">
        <f t="shared" si="11"/>
        <v>0</v>
      </c>
      <c r="W30" s="251">
        <f t="shared" si="12"/>
        <v>0</v>
      </c>
      <c r="X30" s="251">
        <f t="shared" si="13"/>
        <v>-1633.96381084661</v>
      </c>
      <c r="Y30" s="251">
        <f t="shared" si="14"/>
        <v>0</v>
      </c>
      <c r="Z30" s="250">
        <f t="shared" si="15"/>
        <v>0</v>
      </c>
      <c r="AB30" s="166" t="s">
        <v>98</v>
      </c>
      <c r="AC30" s="147">
        <v>0</v>
      </c>
      <c r="AD30" s="147">
        <v>2.9552097815999e-7</v>
      </c>
      <c r="AE30" s="147">
        <v>0</v>
      </c>
      <c r="AF30" s="147">
        <v>0</v>
      </c>
      <c r="AG30" s="147">
        <v>6.00706520974644e-7</v>
      </c>
      <c r="AH30" s="147">
        <v>0</v>
      </c>
      <c r="AI30" s="220">
        <v>0</v>
      </c>
      <c r="AJ30" t="s">
        <v>98</v>
      </c>
    </row>
    <row r="31" customFormat="1" spans="1:36">
      <c r="A31" s="166" t="s">
        <v>99</v>
      </c>
      <c r="B31" s="166">
        <v>0.0173298</v>
      </c>
      <c r="C31" s="147">
        <v>0.0170707</v>
      </c>
      <c r="D31" s="147">
        <v>0.0050567</v>
      </c>
      <c r="E31" s="147">
        <v>0.0104217</v>
      </c>
      <c r="F31" s="147">
        <v>0.0121714</v>
      </c>
      <c r="G31" s="147">
        <v>0.0183303</v>
      </c>
      <c r="H31" s="220">
        <v>0.0166478</v>
      </c>
      <c r="J31" s="166" t="s">
        <v>99</v>
      </c>
      <c r="K31" s="249">
        <f t="shared" si="2"/>
        <v>1.41505483140843</v>
      </c>
      <c r="L31" s="250">
        <f t="shared" si="3"/>
        <v>1.79151968664095</v>
      </c>
      <c r="M31" s="251">
        <f t="shared" si="4"/>
        <v>1.17787219572677</v>
      </c>
      <c r="N31" s="251">
        <f t="shared" si="5"/>
        <v>1.58918455874289</v>
      </c>
      <c r="O31" s="251">
        <f t="shared" si="6"/>
        <v>1.68602128944389</v>
      </c>
      <c r="P31" s="251">
        <f t="shared" si="7"/>
        <v>1.73878669996008</v>
      </c>
      <c r="Q31" s="250">
        <f t="shared" si="8"/>
        <v>1.08875545642961</v>
      </c>
      <c r="S31" s="166" t="s">
        <v>99</v>
      </c>
      <c r="T31" s="249">
        <f t="shared" si="9"/>
        <v>0.371229595600275</v>
      </c>
      <c r="U31" s="250">
        <f t="shared" si="10"/>
        <v>-1.00934693417862</v>
      </c>
      <c r="V31" s="251">
        <f t="shared" si="11"/>
        <v>-1.78417436569866</v>
      </c>
      <c r="W31" s="251">
        <f t="shared" si="12"/>
        <v>-1.69620715514487</v>
      </c>
      <c r="X31" s="251">
        <f t="shared" si="13"/>
        <v>-1.81172712214325</v>
      </c>
      <c r="Y31" s="251">
        <f t="shared" si="14"/>
        <v>-1.48627803659686</v>
      </c>
      <c r="Z31" s="250">
        <f t="shared" si="15"/>
        <v>0.647956913413162</v>
      </c>
      <c r="AB31" s="166" t="s">
        <v>100</v>
      </c>
      <c r="AC31" s="147">
        <v>0.0122467339182548</v>
      </c>
      <c r="AD31" s="147">
        <v>0.00952861424146952</v>
      </c>
      <c r="AE31" s="147">
        <v>0.00429308036843499</v>
      </c>
      <c r="AF31" s="147">
        <v>0.00655789155681452</v>
      </c>
      <c r="AG31" s="147">
        <v>0.00721900730210504</v>
      </c>
      <c r="AH31" s="147">
        <v>0.0105420061013929</v>
      </c>
      <c r="AI31" s="220">
        <v>0.015290669637233</v>
      </c>
      <c r="AJ31" t="s">
        <v>100</v>
      </c>
    </row>
    <row r="32" customFormat="1" spans="1:36">
      <c r="A32" s="166" t="s">
        <v>101</v>
      </c>
      <c r="B32" s="166">
        <v>0.0026817</v>
      </c>
      <c r="C32" s="147">
        <v>0.0046839</v>
      </c>
      <c r="D32" s="147">
        <v>0.0053944</v>
      </c>
      <c r="E32" s="147">
        <v>0.0040255</v>
      </c>
      <c r="F32" s="147">
        <v>0.0051899</v>
      </c>
      <c r="G32" s="147">
        <v>0.0043187</v>
      </c>
      <c r="H32" s="220">
        <v>0.0022584</v>
      </c>
      <c r="J32" s="166" t="s">
        <v>101</v>
      </c>
      <c r="K32" s="249">
        <f t="shared" si="2"/>
        <v>0.774560114995558</v>
      </c>
      <c r="L32" s="250">
        <f t="shared" si="3"/>
        <v>0.882662999414793</v>
      </c>
      <c r="M32" s="251">
        <f t="shared" si="4"/>
        <v>1.28871957690263</v>
      </c>
      <c r="N32" s="251">
        <f t="shared" si="5"/>
        <v>1.04822646546676</v>
      </c>
      <c r="O32" s="251">
        <f t="shared" si="6"/>
        <v>1.17198693952899</v>
      </c>
      <c r="P32" s="251">
        <f t="shared" si="7"/>
        <v>0.984158933479407</v>
      </c>
      <c r="Q32" s="250">
        <f t="shared" si="8"/>
        <v>0.602095479333266</v>
      </c>
      <c r="S32" s="166" t="s">
        <v>101</v>
      </c>
      <c r="T32" s="249">
        <f t="shared" si="9"/>
        <v>5.61172947378522</v>
      </c>
      <c r="U32" s="250">
        <f t="shared" si="10"/>
        <v>0.514414686760543</v>
      </c>
      <c r="V32" s="251">
        <f t="shared" si="11"/>
        <v>-1.9097146090339</v>
      </c>
      <c r="W32" s="251">
        <f t="shared" si="12"/>
        <v>-1.24253095498533</v>
      </c>
      <c r="X32" s="251">
        <f t="shared" si="13"/>
        <v>-1.39119099512731</v>
      </c>
      <c r="Y32" s="251">
        <f t="shared" si="14"/>
        <v>-0.401953498881131</v>
      </c>
      <c r="Z32" s="250">
        <f t="shared" si="15"/>
        <v>6.57425593774178</v>
      </c>
      <c r="AB32" s="166" t="s">
        <v>102</v>
      </c>
      <c r="AC32" s="147">
        <v>0.00346222320008742</v>
      </c>
      <c r="AD32" s="147">
        <v>0.0053065552799941</v>
      </c>
      <c r="AE32" s="147">
        <v>0.00418586021092747</v>
      </c>
      <c r="AF32" s="147">
        <v>0.0038402960930847</v>
      </c>
      <c r="AG32" s="147">
        <v>0.00442829166857933</v>
      </c>
      <c r="AH32" s="147">
        <v>0.00438821398971772</v>
      </c>
      <c r="AI32" s="220">
        <v>0.00375090011056195</v>
      </c>
      <c r="AJ32" t="s">
        <v>102</v>
      </c>
    </row>
    <row r="33" customFormat="1" spans="1:36">
      <c r="A33" s="166" t="s">
        <v>103</v>
      </c>
      <c r="B33" s="166">
        <v>0.0069426</v>
      </c>
      <c r="C33" s="147">
        <v>0.0075534</v>
      </c>
      <c r="D33" s="147">
        <v>0.0048751</v>
      </c>
      <c r="E33" s="147">
        <v>0.0048695</v>
      </c>
      <c r="F33" s="147">
        <v>0.007838</v>
      </c>
      <c r="G33" s="147">
        <v>0.0046875</v>
      </c>
      <c r="H33" s="220">
        <v>0.00654</v>
      </c>
      <c r="J33" s="166" t="s">
        <v>103</v>
      </c>
      <c r="K33" s="249">
        <f t="shared" si="2"/>
        <v>0.884074657087084</v>
      </c>
      <c r="L33" s="250">
        <f t="shared" si="3"/>
        <v>1.33946942773572</v>
      </c>
      <c r="M33" s="251">
        <f t="shared" si="4"/>
        <v>1.10917399481008</v>
      </c>
      <c r="N33" s="251">
        <f t="shared" si="5"/>
        <v>1.00375696397823</v>
      </c>
      <c r="O33" s="251">
        <f t="shared" si="6"/>
        <v>1.06187043113948</v>
      </c>
      <c r="P33" s="251">
        <f t="shared" si="7"/>
        <v>0.66267530287281</v>
      </c>
      <c r="Q33" s="250">
        <f t="shared" si="8"/>
        <v>0.806910537693861</v>
      </c>
      <c r="S33" s="166" t="s">
        <v>103</v>
      </c>
      <c r="T33" s="249">
        <f t="shared" si="9"/>
        <v>1.91896009979599</v>
      </c>
      <c r="U33" s="250">
        <f t="shared" si="10"/>
        <v>-0.0254905972789736</v>
      </c>
      <c r="V33" s="251">
        <f t="shared" si="11"/>
        <v>-1.70184347590353</v>
      </c>
      <c r="W33" s="251">
        <f t="shared" si="12"/>
        <v>-1.15756041980144</v>
      </c>
      <c r="X33" s="251">
        <f t="shared" si="13"/>
        <v>-1.19307038557797</v>
      </c>
      <c r="Y33" s="251">
        <f t="shared" si="14"/>
        <v>-0.303161360678018</v>
      </c>
      <c r="Z33" s="250">
        <f t="shared" si="15"/>
        <v>2.49912668499071</v>
      </c>
      <c r="AB33" s="166" t="s">
        <v>104</v>
      </c>
      <c r="AC33" s="147">
        <v>0.00785295669810851</v>
      </c>
      <c r="AD33" s="147">
        <v>0.00563909846958469</v>
      </c>
      <c r="AE33" s="147">
        <v>0.00439525270409421</v>
      </c>
      <c r="AF33" s="147">
        <v>0.00485127393856429</v>
      </c>
      <c r="AG33" s="147">
        <v>0.00738131486681394</v>
      </c>
      <c r="AH33" s="147">
        <v>0.00707359996619595</v>
      </c>
      <c r="AI33" s="220">
        <v>0.00810498772105669</v>
      </c>
      <c r="AJ33" t="s">
        <v>104</v>
      </c>
    </row>
    <row r="34" customFormat="1" spans="1:36">
      <c r="A34" s="166" t="s">
        <v>105</v>
      </c>
      <c r="B34" s="166">
        <v>0.0005405</v>
      </c>
      <c r="C34" s="147">
        <v>0.0007275</v>
      </c>
      <c r="D34" s="147">
        <v>0.0004592</v>
      </c>
      <c r="E34" s="147">
        <v>0.0008434</v>
      </c>
      <c r="F34" s="147">
        <v>0.0004321</v>
      </c>
      <c r="G34" s="147">
        <v>0.0005473</v>
      </c>
      <c r="H34" s="220">
        <v>0.0004798</v>
      </c>
      <c r="J34" s="166" t="s">
        <v>105</v>
      </c>
      <c r="K34" s="249">
        <f t="shared" si="2"/>
        <v>1.02719082729544</v>
      </c>
      <c r="L34" s="250">
        <f t="shared" si="3"/>
        <v>1.11950216745828</v>
      </c>
      <c r="M34" s="251">
        <f t="shared" si="4"/>
        <v>0.891160558083661</v>
      </c>
      <c r="N34" s="251">
        <f t="shared" si="5"/>
        <v>1.73710212938735</v>
      </c>
      <c r="O34" s="251">
        <f t="shared" si="6"/>
        <v>0.968563253108169</v>
      </c>
      <c r="P34" s="251">
        <f t="shared" si="7"/>
        <v>1.0566720958622</v>
      </c>
      <c r="Q34" s="250">
        <f t="shared" si="8"/>
        <v>0.742762855392462</v>
      </c>
      <c r="S34" s="166" t="s">
        <v>105</v>
      </c>
      <c r="T34" s="249">
        <f t="shared" si="9"/>
        <v>41.0873440092562</v>
      </c>
      <c r="U34" s="250">
        <f t="shared" si="10"/>
        <v>10.3387581531269</v>
      </c>
      <c r="V34" s="251">
        <f t="shared" si="11"/>
        <v>-5.9735428350211</v>
      </c>
      <c r="W34" s="251">
        <f t="shared" si="12"/>
        <v>-3.27972168644075</v>
      </c>
      <c r="X34" s="251">
        <f t="shared" si="13"/>
        <v>-3.16372990000991</v>
      </c>
      <c r="Y34" s="251">
        <f t="shared" si="14"/>
        <v>3.89540566675314</v>
      </c>
      <c r="Z34" s="250">
        <f t="shared" si="15"/>
        <v>41.0071037153155</v>
      </c>
      <c r="AB34" s="166" t="s">
        <v>106</v>
      </c>
      <c r="AC34" s="147">
        <v>0.000526192393504057</v>
      </c>
      <c r="AD34" s="147">
        <v>0.000649842422057758</v>
      </c>
      <c r="AE34" s="147">
        <v>0.000515283128090248</v>
      </c>
      <c r="AF34" s="147">
        <v>0.000485521251590115</v>
      </c>
      <c r="AG34" s="147">
        <v>0.000446124709577169</v>
      </c>
      <c r="AH34" s="147">
        <v>0.0005179468655822</v>
      </c>
      <c r="AI34" s="220">
        <v>0.0006459666049758</v>
      </c>
      <c r="AJ34" t="s">
        <v>106</v>
      </c>
    </row>
    <row r="35" customFormat="1" spans="1:36">
      <c r="A35" s="166" t="s">
        <v>107</v>
      </c>
      <c r="B35" s="166">
        <v>5.43e-5</v>
      </c>
      <c r="C35" s="147">
        <v>7.85e-5</v>
      </c>
      <c r="D35" s="147">
        <v>3.42e-5</v>
      </c>
      <c r="E35" s="147">
        <v>0.0001245</v>
      </c>
      <c r="F35" s="147">
        <v>3.44e-5</v>
      </c>
      <c r="G35" s="147">
        <v>4.13e-5</v>
      </c>
      <c r="H35" s="220">
        <v>5.13e-5</v>
      </c>
      <c r="J35" s="166" t="s">
        <v>107</v>
      </c>
      <c r="K35" s="249">
        <f t="shared" si="2"/>
        <v>1.60554338654273</v>
      </c>
      <c r="L35" s="250">
        <f t="shared" si="3"/>
        <v>1.2716453318484</v>
      </c>
      <c r="M35" s="251">
        <f t="shared" si="4"/>
        <v>1.51667047352941</v>
      </c>
      <c r="N35" s="251">
        <f t="shared" si="5"/>
        <v>2.67436723044761</v>
      </c>
      <c r="O35" s="251">
        <f t="shared" si="6"/>
        <v>1.22348511952522</v>
      </c>
      <c r="P35" s="251">
        <f t="shared" si="7"/>
        <v>1.29007575079787</v>
      </c>
      <c r="Q35" s="250">
        <f t="shared" si="8"/>
        <v>0.966045539042394</v>
      </c>
      <c r="S35" s="166" t="s">
        <v>107</v>
      </c>
      <c r="T35" s="249">
        <f t="shared" si="9"/>
        <v>653.952018521172</v>
      </c>
      <c r="U35" s="250">
        <f t="shared" si="10"/>
        <v>119.426529699657</v>
      </c>
      <c r="V35" s="251">
        <f t="shared" si="11"/>
        <v>-117.701222352301</v>
      </c>
      <c r="W35" s="251">
        <f t="shared" si="12"/>
        <v>-18.7803454565572</v>
      </c>
      <c r="X35" s="251">
        <f t="shared" si="13"/>
        <v>-36.0651629504705</v>
      </c>
      <c r="Y35" s="251">
        <f t="shared" si="14"/>
        <v>78.8694149611305</v>
      </c>
      <c r="Z35" s="250">
        <f t="shared" si="15"/>
        <v>507.116074721612</v>
      </c>
      <c r="AB35" s="166" t="s">
        <v>108</v>
      </c>
      <c r="AC35" s="147">
        <v>3.3820325539085e-5</v>
      </c>
      <c r="AD35" s="147">
        <v>6.17310487711979e-5</v>
      </c>
      <c r="AE35" s="147">
        <v>2.25493939500344e-5</v>
      </c>
      <c r="AF35" s="147">
        <v>4.65530681734992e-5</v>
      </c>
      <c r="AG35" s="147">
        <v>2.81164024400632e-5</v>
      </c>
      <c r="AH35" s="147">
        <v>3.20136239863878e-5</v>
      </c>
      <c r="AI35" s="220">
        <v>5.31030866835241e-5</v>
      </c>
      <c r="AJ35" t="s">
        <v>108</v>
      </c>
    </row>
    <row r="36" customFormat="1" spans="1:36">
      <c r="A36" s="166" t="s">
        <v>109</v>
      </c>
      <c r="B36" s="166">
        <v>0.0065662</v>
      </c>
      <c r="C36" s="147">
        <v>0.0113403</v>
      </c>
      <c r="D36" s="147">
        <v>0.0162108</v>
      </c>
      <c r="E36" s="147">
        <v>0.01322</v>
      </c>
      <c r="F36" s="147">
        <v>0.013193</v>
      </c>
      <c r="G36" s="147">
        <v>0.013728</v>
      </c>
      <c r="H36" s="220">
        <v>0.0060247</v>
      </c>
      <c r="J36" s="166" t="s">
        <v>109</v>
      </c>
      <c r="K36" s="249">
        <f t="shared" si="2"/>
        <v>0.588596212943962</v>
      </c>
      <c r="L36" s="250">
        <f t="shared" si="3"/>
        <v>0.782719803988158</v>
      </c>
      <c r="M36" s="251">
        <f t="shared" si="4"/>
        <v>1.02830596279879</v>
      </c>
      <c r="N36" s="251">
        <f t="shared" si="5"/>
        <v>0.887690066270173</v>
      </c>
      <c r="O36" s="251">
        <f t="shared" si="6"/>
        <v>0.917395416536229</v>
      </c>
      <c r="P36" s="251">
        <f t="shared" si="7"/>
        <v>1.03856638485888</v>
      </c>
      <c r="Q36" s="250">
        <f t="shared" si="8"/>
        <v>0.61120585789817</v>
      </c>
      <c r="S36" s="166" t="s">
        <v>109</v>
      </c>
      <c r="T36" s="249">
        <f t="shared" si="9"/>
        <v>1.38319217028286</v>
      </c>
      <c r="U36" s="250">
        <f t="shared" si="10"/>
        <v>-0.276709477076978</v>
      </c>
      <c r="V36" s="251">
        <f t="shared" si="11"/>
        <v>-1.19134830157578</v>
      </c>
      <c r="W36" s="251">
        <f t="shared" si="12"/>
        <v>-0.938862699672325</v>
      </c>
      <c r="X36" s="251">
        <f t="shared" si="13"/>
        <v>-0.985708736819868</v>
      </c>
      <c r="Y36" s="251">
        <f t="shared" si="14"/>
        <v>-0.846557737974256</v>
      </c>
      <c r="Z36" s="250">
        <f t="shared" si="15"/>
        <v>2.10729103446082</v>
      </c>
      <c r="AB36" s="166" t="s">
        <v>110</v>
      </c>
      <c r="AC36" s="147">
        <v>0.0111556952892341</v>
      </c>
      <c r="AD36" s="147">
        <v>0.0144883264000965</v>
      </c>
      <c r="AE36" s="147">
        <v>0.0157645687047057</v>
      </c>
      <c r="AF36" s="147">
        <v>0.0148925852640739</v>
      </c>
      <c r="AG36" s="147">
        <v>0.0143809307984252</v>
      </c>
      <c r="AH36" s="147">
        <v>0.0132182210016988</v>
      </c>
      <c r="AI36" s="220">
        <v>0.00985707175765279</v>
      </c>
      <c r="AJ36" t="s">
        <v>110</v>
      </c>
    </row>
    <row r="37" customFormat="1" spans="1:36">
      <c r="A37" s="166" t="s">
        <v>111</v>
      </c>
      <c r="B37" s="166">
        <v>5.27e-5</v>
      </c>
      <c r="C37" s="147">
        <v>6.1e-7</v>
      </c>
      <c r="D37" s="147">
        <v>8.93e-5</v>
      </c>
      <c r="E37" s="147">
        <v>0</v>
      </c>
      <c r="F37" s="147">
        <v>0</v>
      </c>
      <c r="G37" s="147">
        <v>0</v>
      </c>
      <c r="H37" s="220">
        <v>4.36e-5</v>
      </c>
      <c r="J37" s="166" t="s">
        <v>111</v>
      </c>
      <c r="K37" s="249">
        <f t="shared" si="2"/>
        <v>1.60870300497274</v>
      </c>
      <c r="L37" s="250">
        <f t="shared" si="3"/>
        <v>0.165132100955556</v>
      </c>
      <c r="M37" s="251">
        <f t="shared" si="4"/>
        <v>5.38586537044444</v>
      </c>
      <c r="N37" s="251">
        <f t="shared" si="5"/>
        <v>0</v>
      </c>
      <c r="O37" s="251">
        <f t="shared" si="6"/>
        <v>0</v>
      </c>
      <c r="P37" s="251">
        <f t="shared" si="7"/>
        <v>0</v>
      </c>
      <c r="Q37" s="250">
        <f t="shared" si="8"/>
        <v>0.897597778713195</v>
      </c>
      <c r="S37" s="166" t="s">
        <v>111</v>
      </c>
      <c r="T37" s="249">
        <f t="shared" si="9"/>
        <v>675.182594712189</v>
      </c>
      <c r="U37" s="250">
        <f t="shared" si="10"/>
        <v>2017.00421371324</v>
      </c>
      <c r="V37" s="251">
        <f t="shared" si="11"/>
        <v>-163.391253378442</v>
      </c>
      <c r="W37" s="251">
        <f t="shared" si="12"/>
        <v>0</v>
      </c>
      <c r="X37" s="251">
        <f t="shared" si="13"/>
        <v>0</v>
      </c>
      <c r="Y37" s="251">
        <f t="shared" si="14"/>
        <v>0</v>
      </c>
      <c r="Z37" s="250">
        <f t="shared" si="15"/>
        <v>554.56072985776</v>
      </c>
      <c r="AB37" s="166" t="s">
        <v>112</v>
      </c>
      <c r="AC37" s="147">
        <v>3.27593097278345e-5</v>
      </c>
      <c r="AD37" s="147">
        <v>3.69401222699988e-6</v>
      </c>
      <c r="AE37" s="147">
        <v>1.65804367279665e-5</v>
      </c>
      <c r="AF37" s="147">
        <v>0</v>
      </c>
      <c r="AG37" s="147">
        <v>0</v>
      </c>
      <c r="AH37" s="147">
        <v>0</v>
      </c>
      <c r="AI37" s="220">
        <v>4.85740952506649e-5</v>
      </c>
      <c r="AJ37" t="s">
        <v>112</v>
      </c>
    </row>
    <row r="38" customFormat="1" spans="1:36">
      <c r="A38" s="166" t="s">
        <v>113</v>
      </c>
      <c r="B38" s="166">
        <v>0.0164991</v>
      </c>
      <c r="C38" s="147">
        <v>0.0119669</v>
      </c>
      <c r="D38" s="147">
        <v>0.0261026</v>
      </c>
      <c r="E38" s="147">
        <v>0.0271308</v>
      </c>
      <c r="F38" s="147">
        <v>0.0240438</v>
      </c>
      <c r="G38" s="147">
        <v>0.022643</v>
      </c>
      <c r="H38" s="220">
        <v>0.0154339</v>
      </c>
      <c r="J38" s="166" t="s">
        <v>113</v>
      </c>
      <c r="K38" s="249">
        <f t="shared" si="2"/>
        <v>0.611229945806402</v>
      </c>
      <c r="L38" s="250">
        <f t="shared" si="3"/>
        <v>0.822840600219738</v>
      </c>
      <c r="M38" s="251">
        <f t="shared" si="4"/>
        <v>1.22158373910976</v>
      </c>
      <c r="N38" s="251">
        <f t="shared" si="5"/>
        <v>1.05699936508101</v>
      </c>
      <c r="O38" s="251">
        <f t="shared" si="6"/>
        <v>0.896394191559931</v>
      </c>
      <c r="P38" s="251">
        <f t="shared" si="7"/>
        <v>0.911004156724427</v>
      </c>
      <c r="Q38" s="250">
        <f t="shared" si="8"/>
        <v>0.732843214741301</v>
      </c>
      <c r="S38" s="166" t="s">
        <v>113</v>
      </c>
      <c r="T38" s="249">
        <f t="shared" si="9"/>
        <v>0.190206693946595</v>
      </c>
      <c r="U38" s="250">
        <f t="shared" si="10"/>
        <v>-0.318728959582802</v>
      </c>
      <c r="V38" s="251">
        <f t="shared" si="11"/>
        <v>-1.33521180194855</v>
      </c>
      <c r="W38" s="251">
        <f t="shared" si="12"/>
        <v>-1.08387649965448</v>
      </c>
      <c r="X38" s="251">
        <f t="shared" si="13"/>
        <v>-0.934532655234472</v>
      </c>
      <c r="Y38" s="251">
        <f t="shared" si="14"/>
        <v>-0.812108520308666</v>
      </c>
      <c r="Z38" s="250">
        <f t="shared" si="15"/>
        <v>0.524440911565881</v>
      </c>
      <c r="AB38" s="166" t="s">
        <v>114</v>
      </c>
      <c r="AC38" s="147">
        <v>0.0269932782469167</v>
      </c>
      <c r="AD38" s="147">
        <v>0.014543400017943</v>
      </c>
      <c r="AE38" s="147">
        <v>0.0213678351833846</v>
      </c>
      <c r="AF38" s="147">
        <v>0.0256677543017451</v>
      </c>
      <c r="AG38" s="147">
        <v>0.0268227976334366</v>
      </c>
      <c r="AH38" s="147">
        <v>0.0248549908722857</v>
      </c>
      <c r="AI38" s="220">
        <v>0.0210603027899334</v>
      </c>
      <c r="AJ38" t="s">
        <v>114</v>
      </c>
    </row>
    <row r="39" customFormat="1" spans="1:36">
      <c r="A39" s="166" t="s">
        <v>115</v>
      </c>
      <c r="B39" s="166">
        <v>0.0445764</v>
      </c>
      <c r="C39" s="147">
        <v>0.0478157</v>
      </c>
      <c r="D39" s="147">
        <v>0.0449406</v>
      </c>
      <c r="E39" s="147">
        <v>0.0494972</v>
      </c>
      <c r="F39" s="147">
        <v>0.0569312</v>
      </c>
      <c r="G39" s="147">
        <v>0.0601785</v>
      </c>
      <c r="H39" s="220">
        <v>0.0393557</v>
      </c>
      <c r="J39" s="166" t="s">
        <v>115</v>
      </c>
      <c r="K39" s="249">
        <f t="shared" si="2"/>
        <v>0.944666874864849</v>
      </c>
      <c r="L39" s="250">
        <f t="shared" si="3"/>
        <v>1.19123226827512</v>
      </c>
      <c r="M39" s="251">
        <f t="shared" si="4"/>
        <v>1.55868281881629</v>
      </c>
      <c r="N39" s="251">
        <f t="shared" si="5"/>
        <v>1.33546273917066</v>
      </c>
      <c r="O39" s="251">
        <f t="shared" si="6"/>
        <v>1.3439513786123</v>
      </c>
      <c r="P39" s="251">
        <f t="shared" si="7"/>
        <v>1.32216236387132</v>
      </c>
      <c r="Q39" s="250">
        <f t="shared" si="8"/>
        <v>0.788996357091712</v>
      </c>
      <c r="S39" s="166" t="s">
        <v>115</v>
      </c>
      <c r="T39" s="249">
        <f t="shared" si="9"/>
        <v>-0.498201095342531</v>
      </c>
      <c r="U39" s="250">
        <f t="shared" si="10"/>
        <v>-1.00532589441529</v>
      </c>
      <c r="V39" s="251">
        <f t="shared" si="11"/>
        <v>-1.62036149903744</v>
      </c>
      <c r="W39" s="251">
        <f t="shared" si="12"/>
        <v>-1.33808954192932</v>
      </c>
      <c r="X39" s="251">
        <f t="shared" si="13"/>
        <v>-1.34617981835977</v>
      </c>
      <c r="Y39" s="251">
        <f t="shared" si="14"/>
        <v>-1.2497854742522</v>
      </c>
      <c r="Z39" s="250">
        <f t="shared" si="15"/>
        <v>-0.277656458919964</v>
      </c>
      <c r="AB39" s="166" t="s">
        <v>116</v>
      </c>
      <c r="AC39" s="147">
        <v>0.0471874278500317</v>
      </c>
      <c r="AD39" s="147">
        <v>0.0401396950648727</v>
      </c>
      <c r="AE39" s="147">
        <v>0.028832421489145</v>
      </c>
      <c r="AF39" s="147">
        <v>0.037063707244081</v>
      </c>
      <c r="AG39" s="147">
        <v>0.0423610562896884</v>
      </c>
      <c r="AH39" s="147">
        <v>0.0455152117806439</v>
      </c>
      <c r="AI39" s="220">
        <v>0.0498807119275778</v>
      </c>
      <c r="AJ39" t="s">
        <v>116</v>
      </c>
    </row>
    <row r="40" customFormat="1" spans="1:36">
      <c r="A40" s="166" t="s">
        <v>117</v>
      </c>
      <c r="B40" s="166">
        <v>0.0022913</v>
      </c>
      <c r="C40" s="147">
        <v>0.0087438</v>
      </c>
      <c r="D40" s="147">
        <v>0.0102217</v>
      </c>
      <c r="E40" s="147">
        <v>0.0076251</v>
      </c>
      <c r="F40" s="147">
        <v>0.0077494</v>
      </c>
      <c r="G40" s="147">
        <v>0.0070222</v>
      </c>
      <c r="H40" s="220">
        <v>0.0018132</v>
      </c>
      <c r="J40" s="166" t="s">
        <v>117</v>
      </c>
      <c r="K40" s="249">
        <f t="shared" si="2"/>
        <v>0.909590937124397</v>
      </c>
      <c r="L40" s="250">
        <f t="shared" si="3"/>
        <v>1.22294581484194</v>
      </c>
      <c r="M40" s="251">
        <f t="shared" si="4"/>
        <v>2.34304505745089</v>
      </c>
      <c r="N40" s="251">
        <f t="shared" si="5"/>
        <v>2.10059501418785</v>
      </c>
      <c r="O40" s="251">
        <f t="shared" si="6"/>
        <v>1.97876077473637</v>
      </c>
      <c r="P40" s="251">
        <f t="shared" si="7"/>
        <v>1.52278024612572</v>
      </c>
      <c r="Q40" s="250">
        <f t="shared" si="8"/>
        <v>0.499453131500609</v>
      </c>
      <c r="S40" s="166" t="s">
        <v>117</v>
      </c>
      <c r="T40" s="249">
        <f t="shared" si="9"/>
        <v>7.87191170058059</v>
      </c>
      <c r="U40" s="250">
        <f t="shared" si="10"/>
        <v>-0.187913815646376</v>
      </c>
      <c r="V40" s="251">
        <f t="shared" si="11"/>
        <v>-1.57352738273285</v>
      </c>
      <c r="W40" s="251">
        <f t="shared" si="12"/>
        <v>-1.20221476308155</v>
      </c>
      <c r="X40" s="251">
        <f t="shared" si="13"/>
        <v>-2.21938490813847</v>
      </c>
      <c r="Y40" s="251">
        <f t="shared" si="14"/>
        <v>-0.966522404366464</v>
      </c>
      <c r="Z40" s="250">
        <f t="shared" si="15"/>
        <v>6.91849349785302</v>
      </c>
      <c r="AB40" s="166" t="s">
        <v>118</v>
      </c>
      <c r="AC40" s="147">
        <v>0.00251904444787431</v>
      </c>
      <c r="AD40" s="147">
        <v>0.00714978529210644</v>
      </c>
      <c r="AE40" s="147">
        <v>0.00436257082103265</v>
      </c>
      <c r="AF40" s="147">
        <v>0.00362997148355515</v>
      </c>
      <c r="AG40" s="147">
        <v>0.00391628947720194</v>
      </c>
      <c r="AH40" s="147">
        <v>0.00461143360499058</v>
      </c>
      <c r="AI40" s="220">
        <v>0.00363037067072186</v>
      </c>
      <c r="AJ40" t="s">
        <v>118</v>
      </c>
    </row>
    <row r="41" customFormat="1" spans="1:36">
      <c r="A41" s="166" t="s">
        <v>119</v>
      </c>
      <c r="B41" s="166">
        <v>0.2603115</v>
      </c>
      <c r="C41" s="147">
        <v>0.1667531</v>
      </c>
      <c r="D41" s="147">
        <v>0.0214959</v>
      </c>
      <c r="E41" s="147">
        <v>0.0383017</v>
      </c>
      <c r="F41" s="147">
        <v>0.0416142</v>
      </c>
      <c r="G41" s="147">
        <v>0.1153247</v>
      </c>
      <c r="H41" s="220">
        <v>0.3004252</v>
      </c>
      <c r="J41" s="166" t="s">
        <v>119</v>
      </c>
      <c r="K41" s="249">
        <f t="shared" si="2"/>
        <v>3.36769109066068</v>
      </c>
      <c r="L41" s="250">
        <f t="shared" si="3"/>
        <v>3.40494551281222</v>
      </c>
      <c r="M41" s="251">
        <f t="shared" si="4"/>
        <v>2.02562985970112</v>
      </c>
      <c r="N41" s="251">
        <f t="shared" si="5"/>
        <v>2.41162585956752</v>
      </c>
      <c r="O41" s="251">
        <f t="shared" si="6"/>
        <v>2.03110888751901</v>
      </c>
      <c r="P41" s="251">
        <f t="shared" si="7"/>
        <v>3.08319706467855</v>
      </c>
      <c r="Q41" s="250">
        <f t="shared" si="8"/>
        <v>2.54121551434826</v>
      </c>
      <c r="S41" s="166" t="s">
        <v>119</v>
      </c>
      <c r="T41" s="249">
        <f t="shared" si="9"/>
        <v>-2.53917667934029</v>
      </c>
      <c r="U41" s="250">
        <f t="shared" si="10"/>
        <v>-2.87713420512511</v>
      </c>
      <c r="V41" s="251">
        <f t="shared" si="11"/>
        <v>-2.24516872342743</v>
      </c>
      <c r="W41" s="251">
        <f t="shared" si="12"/>
        <v>-2.40296715844086</v>
      </c>
      <c r="X41" s="251">
        <f t="shared" si="13"/>
        <v>-2.03402585888819</v>
      </c>
      <c r="Y41" s="251">
        <f t="shared" si="14"/>
        <v>-2.78225556747672</v>
      </c>
      <c r="Z41" s="250">
        <f t="shared" si="15"/>
        <v>-1.91852858081711</v>
      </c>
      <c r="AB41" s="166" t="s">
        <v>120</v>
      </c>
      <c r="AC41" s="147">
        <v>0.0772967273399568</v>
      </c>
      <c r="AD41" s="147">
        <v>0.048973793963086</v>
      </c>
      <c r="AE41" s="147">
        <v>0.0106119584962929</v>
      </c>
      <c r="AF41" s="147">
        <v>0.0158821070225498</v>
      </c>
      <c r="AG41" s="147">
        <v>0.0204884141149279</v>
      </c>
      <c r="AH41" s="147">
        <v>0.0374042584955638</v>
      </c>
      <c r="AI41" s="220">
        <v>0.118221063228889</v>
      </c>
      <c r="AJ41" t="s">
        <v>120</v>
      </c>
    </row>
    <row r="42" customFormat="1" spans="1:36">
      <c r="A42" s="166" t="s">
        <v>121</v>
      </c>
      <c r="B42" s="166">
        <v>0.0072159</v>
      </c>
      <c r="C42" s="147">
        <v>0.0158812</v>
      </c>
      <c r="D42" s="147">
        <v>0.0295452</v>
      </c>
      <c r="E42" s="147">
        <v>0.0240477</v>
      </c>
      <c r="F42" s="147">
        <v>0.0250956</v>
      </c>
      <c r="G42" s="147">
        <v>0.0156374</v>
      </c>
      <c r="H42" s="220">
        <v>0.0044115</v>
      </c>
      <c r="J42" s="166" t="s">
        <v>121</v>
      </c>
      <c r="K42" s="249">
        <f t="shared" si="2"/>
        <v>0.422119526906042</v>
      </c>
      <c r="L42" s="250">
        <f t="shared" si="3"/>
        <v>0.746627427663792</v>
      </c>
      <c r="M42" s="251">
        <f t="shared" si="4"/>
        <v>1.52190825198488</v>
      </c>
      <c r="N42" s="251">
        <f t="shared" si="5"/>
        <v>1.23054430230038</v>
      </c>
      <c r="O42" s="251">
        <f t="shared" si="6"/>
        <v>1.20702000265133</v>
      </c>
      <c r="P42" s="251">
        <f t="shared" si="7"/>
        <v>0.720763935525028</v>
      </c>
      <c r="Q42" s="250">
        <f t="shared" si="8"/>
        <v>0.280768523902692</v>
      </c>
      <c r="S42" s="166" t="s">
        <v>121</v>
      </c>
      <c r="T42" s="249">
        <f t="shared" si="9"/>
        <v>0.861399830465777</v>
      </c>
      <c r="U42" s="250">
        <f t="shared" si="10"/>
        <v>-0.405895840610454</v>
      </c>
      <c r="V42" s="251">
        <f t="shared" si="11"/>
        <v>-1.63746231681666</v>
      </c>
      <c r="W42" s="251">
        <f t="shared" si="12"/>
        <v>-1.26245269551851</v>
      </c>
      <c r="X42" s="251">
        <f t="shared" si="13"/>
        <v>-1.2477605089968</v>
      </c>
      <c r="Y42" s="251">
        <f t="shared" si="14"/>
        <v>-0.608695530775451</v>
      </c>
      <c r="Z42" s="250">
        <f t="shared" si="15"/>
        <v>1.425751418481</v>
      </c>
      <c r="AB42" s="166" t="s">
        <v>122</v>
      </c>
      <c r="AC42" s="147">
        <v>0.0170944472834258</v>
      </c>
      <c r="AD42" s="147">
        <v>0.0212705821023646</v>
      </c>
      <c r="AE42" s="147">
        <v>0.019413259611062</v>
      </c>
      <c r="AF42" s="147">
        <v>0.0195423276960003</v>
      </c>
      <c r="AG42" s="147">
        <v>0.0207913704370062</v>
      </c>
      <c r="AH42" s="147">
        <v>0.0216955916205896</v>
      </c>
      <c r="AI42" s="220">
        <v>0.0157122313380432</v>
      </c>
      <c r="AJ42" t="s">
        <v>122</v>
      </c>
    </row>
    <row r="43" customFormat="1" spans="1:36">
      <c r="A43" s="166" t="s">
        <v>123</v>
      </c>
      <c r="B43" s="166">
        <v>0.0389871</v>
      </c>
      <c r="C43" s="147">
        <v>0.0322731</v>
      </c>
      <c r="D43" s="147">
        <v>0.0168803</v>
      </c>
      <c r="E43" s="147">
        <v>0.0230239</v>
      </c>
      <c r="F43" s="147">
        <v>0.0309134</v>
      </c>
      <c r="G43" s="147">
        <v>0.0323858</v>
      </c>
      <c r="H43" s="220">
        <v>0.0379811</v>
      </c>
      <c r="J43" s="166" t="s">
        <v>123</v>
      </c>
      <c r="K43" s="249">
        <f t="shared" si="2"/>
        <v>1.21639258351864</v>
      </c>
      <c r="L43" s="250">
        <f t="shared" si="3"/>
        <v>1.69837985004344</v>
      </c>
      <c r="M43" s="251">
        <f t="shared" si="4"/>
        <v>1.17827590291085</v>
      </c>
      <c r="N43" s="251">
        <f t="shared" si="5"/>
        <v>1.25721602952509</v>
      </c>
      <c r="O43" s="251">
        <f t="shared" si="6"/>
        <v>1.44487566879119</v>
      </c>
      <c r="P43" s="251">
        <f t="shared" si="7"/>
        <v>1.26641327439443</v>
      </c>
      <c r="Q43" s="250">
        <f t="shared" si="8"/>
        <v>1.06804073881008</v>
      </c>
      <c r="S43" s="166" t="s">
        <v>123</v>
      </c>
      <c r="T43" s="249">
        <f t="shared" si="9"/>
        <v>-0.543152622547972</v>
      </c>
      <c r="U43" s="250">
        <f t="shared" si="10"/>
        <v>-1.29636226975986</v>
      </c>
      <c r="V43" s="251">
        <f t="shared" si="11"/>
        <v>-1.35506415309592</v>
      </c>
      <c r="W43" s="251">
        <f t="shared" si="12"/>
        <v>-1.29130231661501</v>
      </c>
      <c r="X43" s="251">
        <f t="shared" si="13"/>
        <v>-1.47549825632089</v>
      </c>
      <c r="Y43" s="251">
        <f t="shared" si="14"/>
        <v>-1.16068409297186</v>
      </c>
      <c r="Z43" s="250">
        <f t="shared" si="15"/>
        <v>-0.335528052838408</v>
      </c>
      <c r="AB43" s="166" t="s">
        <v>124</v>
      </c>
      <c r="AC43" s="147">
        <v>0.0320514121248771</v>
      </c>
      <c r="AD43" s="147">
        <v>0.0190022862077495</v>
      </c>
      <c r="AE43" s="147">
        <v>0.014326271086677</v>
      </c>
      <c r="AF43" s="147">
        <v>0.0183133999720773</v>
      </c>
      <c r="AG43" s="147">
        <v>0.0213951972946314</v>
      </c>
      <c r="AH43" s="147">
        <v>0.0255728526025489</v>
      </c>
      <c r="AI43" s="220">
        <v>0.035561471224698</v>
      </c>
      <c r="AJ43" t="s">
        <v>124</v>
      </c>
    </row>
    <row r="44" customFormat="1" spans="1:36">
      <c r="A44" s="166" t="s">
        <v>125</v>
      </c>
      <c r="B44" s="166">
        <v>0.0080878</v>
      </c>
      <c r="C44" s="147">
        <v>0.0055928</v>
      </c>
      <c r="D44" s="147">
        <v>0.0048508</v>
      </c>
      <c r="E44" s="147">
        <v>0.0026499</v>
      </c>
      <c r="F44" s="147">
        <v>0.0037124</v>
      </c>
      <c r="G44" s="147">
        <v>0.0049615</v>
      </c>
      <c r="H44" s="220">
        <v>0.0085174</v>
      </c>
      <c r="J44" s="166" t="s">
        <v>125</v>
      </c>
      <c r="K44" s="249">
        <f t="shared" si="2"/>
        <v>1.33833949173589</v>
      </c>
      <c r="L44" s="250">
        <f t="shared" si="3"/>
        <v>0.886657961616866</v>
      </c>
      <c r="M44" s="251">
        <f t="shared" si="4"/>
        <v>0.868599413370808</v>
      </c>
      <c r="N44" s="251">
        <f t="shared" si="5"/>
        <v>0.432420703885044</v>
      </c>
      <c r="O44" s="251">
        <f t="shared" si="6"/>
        <v>0.662940055376804</v>
      </c>
      <c r="P44" s="251">
        <f t="shared" si="7"/>
        <v>0.845592735446056</v>
      </c>
      <c r="Q44" s="250">
        <f t="shared" si="8"/>
        <v>1.31494427886427</v>
      </c>
      <c r="S44" s="166" t="s">
        <v>125</v>
      </c>
      <c r="T44" s="249">
        <f t="shared" si="9"/>
        <v>2.30372051554795</v>
      </c>
      <c r="U44" s="250">
        <f t="shared" si="10"/>
        <v>0.287417718302782</v>
      </c>
      <c r="V44" s="251">
        <f t="shared" si="11"/>
        <v>-1.33610118253212</v>
      </c>
      <c r="W44" s="251">
        <f t="shared" si="12"/>
        <v>-0.555973272635674</v>
      </c>
      <c r="X44" s="251">
        <f t="shared" si="13"/>
        <v>-0.838489079942553</v>
      </c>
      <c r="Y44" s="251">
        <f t="shared" si="14"/>
        <v>-0.411157690422554</v>
      </c>
      <c r="Z44" s="250">
        <f t="shared" si="15"/>
        <v>2.8178473254755</v>
      </c>
      <c r="AB44" s="166" t="s">
        <v>126</v>
      </c>
      <c r="AC44" s="147">
        <v>0.00604316023695134</v>
      </c>
      <c r="AD44" s="147">
        <v>0.00630773110050379</v>
      </c>
      <c r="AE44" s="147">
        <v>0.00558462269871368</v>
      </c>
      <c r="AF44" s="147">
        <v>0.0061280599568712</v>
      </c>
      <c r="AG44" s="147">
        <v>0.00559990299257138</v>
      </c>
      <c r="AH44" s="147">
        <v>0.00586748181721639</v>
      </c>
      <c r="AI44" s="220">
        <v>0.00647738473553919</v>
      </c>
      <c r="AJ44" t="s">
        <v>126</v>
      </c>
    </row>
    <row r="45" customFormat="1" spans="1:36">
      <c r="A45" s="166" t="s">
        <v>127</v>
      </c>
      <c r="B45" s="166">
        <v>0.0024509</v>
      </c>
      <c r="C45" s="147">
        <v>0.0013301</v>
      </c>
      <c r="D45" s="147">
        <v>0.0043304</v>
      </c>
      <c r="E45" s="147">
        <v>0.0013609</v>
      </c>
      <c r="F45" s="147">
        <v>0.0026049</v>
      </c>
      <c r="G45" s="147">
        <v>0.0009472</v>
      </c>
      <c r="H45" s="220">
        <v>0.0025873</v>
      </c>
      <c r="J45" s="166" t="s">
        <v>127</v>
      </c>
      <c r="K45" s="249">
        <f t="shared" si="2"/>
        <v>1.92620111403006</v>
      </c>
      <c r="L45" s="250">
        <f t="shared" si="3"/>
        <v>0.864382734158962</v>
      </c>
      <c r="M45" s="251">
        <f t="shared" si="4"/>
        <v>2.03066624803635</v>
      </c>
      <c r="N45" s="251">
        <f t="shared" si="5"/>
        <v>1.42343617771364</v>
      </c>
      <c r="O45" s="251">
        <f t="shared" si="6"/>
        <v>2.20426103205077</v>
      </c>
      <c r="P45" s="251">
        <f t="shared" si="7"/>
        <v>1.01455300700132</v>
      </c>
      <c r="Q45" s="250">
        <f t="shared" si="8"/>
        <v>1.64781996969428</v>
      </c>
      <c r="S45" s="166" t="s">
        <v>127</v>
      </c>
      <c r="T45" s="249">
        <f t="shared" si="9"/>
        <v>15.4589549068886</v>
      </c>
      <c r="U45" s="250">
        <f t="shared" si="10"/>
        <v>3.97139745578587</v>
      </c>
      <c r="V45" s="251">
        <f t="shared" si="11"/>
        <v>-3.24950124773965</v>
      </c>
      <c r="W45" s="251">
        <f t="shared" si="12"/>
        <v>-1.77663639172322</v>
      </c>
      <c r="X45" s="251">
        <f t="shared" si="13"/>
        <v>-3.027964528794</v>
      </c>
      <c r="Y45" s="251">
        <f t="shared" si="14"/>
        <v>1.731636978986</v>
      </c>
      <c r="Z45" s="250">
        <f t="shared" si="15"/>
        <v>15.4939381736798</v>
      </c>
      <c r="AB45" s="166" t="s">
        <v>128</v>
      </c>
      <c r="AC45" s="147">
        <v>0.00127240088386833</v>
      </c>
      <c r="AD45" s="147">
        <v>0.00153878594219513</v>
      </c>
      <c r="AE45" s="147">
        <v>0.00213250208112115</v>
      </c>
      <c r="AF45" s="147">
        <v>0.000956066749817972</v>
      </c>
      <c r="AG45" s="147">
        <v>0.00118175658967962</v>
      </c>
      <c r="AH45" s="147">
        <v>0.000933613121703331</v>
      </c>
      <c r="AI45" s="220">
        <v>0.00157013511644723</v>
      </c>
      <c r="AJ45" t="s">
        <v>128</v>
      </c>
    </row>
    <row r="46" customFormat="1" spans="1:36">
      <c r="A46" s="166" t="s">
        <v>129</v>
      </c>
      <c r="B46" s="166">
        <v>0.0099784</v>
      </c>
      <c r="C46" s="147">
        <v>0.0024041</v>
      </c>
      <c r="D46" s="147">
        <v>0.0008739</v>
      </c>
      <c r="E46" s="147">
        <v>0.0008874</v>
      </c>
      <c r="F46" s="147">
        <v>0.0037172</v>
      </c>
      <c r="G46" s="147">
        <v>0.0027745</v>
      </c>
      <c r="H46" s="220">
        <v>0.0102123</v>
      </c>
      <c r="J46" s="166" t="s">
        <v>129</v>
      </c>
      <c r="K46" s="249">
        <f t="shared" si="2"/>
        <v>1.99922841073925</v>
      </c>
      <c r="L46" s="250">
        <f t="shared" si="3"/>
        <v>2.36914710173683</v>
      </c>
      <c r="M46" s="251">
        <f t="shared" si="4"/>
        <v>1.65941455006647</v>
      </c>
      <c r="N46" s="251">
        <f t="shared" si="5"/>
        <v>0.989816164012056</v>
      </c>
      <c r="O46" s="251">
        <f t="shared" si="6"/>
        <v>2.0476095492734</v>
      </c>
      <c r="P46" s="251">
        <f t="shared" si="7"/>
        <v>1.28887732611877</v>
      </c>
      <c r="Q46" s="250">
        <f t="shared" si="8"/>
        <v>1.63173379305019</v>
      </c>
      <c r="S46" s="166" t="s">
        <v>129</v>
      </c>
      <c r="T46" s="249">
        <f t="shared" si="9"/>
        <v>2.40876879629265</v>
      </c>
      <c r="U46" s="250">
        <f t="shared" si="10"/>
        <v>6.33747876200505</v>
      </c>
      <c r="V46" s="251">
        <f t="shared" si="11"/>
        <v>-6.62953941778774</v>
      </c>
      <c r="W46" s="251">
        <f t="shared" si="12"/>
        <v>-1.82552946049349</v>
      </c>
      <c r="X46" s="251">
        <f t="shared" si="13"/>
        <v>-2.58137196585593</v>
      </c>
      <c r="Y46" s="251">
        <f t="shared" si="14"/>
        <v>-0.0992431555550428</v>
      </c>
      <c r="Z46" s="250">
        <f t="shared" si="15"/>
        <v>2.64191619821766</v>
      </c>
      <c r="AB46" s="166" t="s">
        <v>130</v>
      </c>
      <c r="AC46" s="147">
        <v>0.0049911255494365</v>
      </c>
      <c r="AD46" s="147">
        <v>0.00101475336767293</v>
      </c>
      <c r="AE46" s="147">
        <v>0.000526631515895167</v>
      </c>
      <c r="AF46" s="147">
        <v>0.000896530115656094</v>
      </c>
      <c r="AG46" s="147">
        <v>0.00181538516526212</v>
      </c>
      <c r="AH46" s="147">
        <v>0.00215264862200263</v>
      </c>
      <c r="AI46" s="220">
        <v>0.00625855764187504</v>
      </c>
      <c r="AJ46" t="s">
        <v>130</v>
      </c>
    </row>
    <row r="47" customFormat="1" spans="1:36">
      <c r="A47" s="166" t="s">
        <v>131</v>
      </c>
      <c r="B47" s="166">
        <v>0.0125877</v>
      </c>
      <c r="C47" s="147">
        <v>0.0035263</v>
      </c>
      <c r="D47" s="147">
        <v>0.0022472</v>
      </c>
      <c r="E47" s="147">
        <v>0.0046023</v>
      </c>
      <c r="F47" s="147">
        <v>0.0071281</v>
      </c>
      <c r="G47" s="147">
        <v>0.0046187</v>
      </c>
      <c r="H47" s="220">
        <v>0.0128469</v>
      </c>
      <c r="J47" s="166" t="s">
        <v>131</v>
      </c>
      <c r="K47" s="249">
        <f t="shared" si="2"/>
        <v>2.13375075410475</v>
      </c>
      <c r="L47" s="250">
        <f t="shared" si="3"/>
        <v>1.15171644735376</v>
      </c>
      <c r="M47" s="251">
        <f t="shared" si="4"/>
        <v>1.86410995711229</v>
      </c>
      <c r="N47" s="251">
        <f t="shared" si="5"/>
        <v>1.75629526254009</v>
      </c>
      <c r="O47" s="251">
        <f t="shared" si="6"/>
        <v>2.39366470050598</v>
      </c>
      <c r="P47" s="251">
        <f t="shared" si="7"/>
        <v>1.412388904922</v>
      </c>
      <c r="Q47" s="250">
        <f t="shared" si="8"/>
        <v>1.69617974197029</v>
      </c>
      <c r="S47" s="166" t="s">
        <v>131</v>
      </c>
      <c r="T47" s="249">
        <f t="shared" si="9"/>
        <v>1.59165331618697</v>
      </c>
      <c r="U47" s="250">
        <f t="shared" si="10"/>
        <v>1.27393695707437</v>
      </c>
      <c r="V47" s="251">
        <f t="shared" si="11"/>
        <v>-4.03062177056337</v>
      </c>
      <c r="W47" s="251">
        <f t="shared" si="12"/>
        <v>-2.03769216553124</v>
      </c>
      <c r="X47" s="251">
        <f t="shared" si="13"/>
        <v>-2.71038251046317</v>
      </c>
      <c r="Y47" s="251">
        <f t="shared" si="14"/>
        <v>-0.629363131674396</v>
      </c>
      <c r="Z47" s="250">
        <f t="shared" si="15"/>
        <v>1.82945099692439</v>
      </c>
      <c r="AB47" s="166" t="s">
        <v>132</v>
      </c>
      <c r="AC47" s="147">
        <v>0.00589933007676024</v>
      </c>
      <c r="AD47" s="147">
        <v>0.00306177792989082</v>
      </c>
      <c r="AE47" s="147">
        <v>0.00120550828636802</v>
      </c>
      <c r="AF47" s="147">
        <v>0.00262045915522416</v>
      </c>
      <c r="AG47" s="147">
        <v>0.0029779024599783</v>
      </c>
      <c r="AH47" s="147">
        <v>0.00327013330670072</v>
      </c>
      <c r="AI47" s="220">
        <v>0.00757402041901349</v>
      </c>
      <c r="AJ47" t="s">
        <v>132</v>
      </c>
    </row>
    <row r="48" customFormat="1" spans="1:36">
      <c r="A48" s="166" t="s">
        <v>133</v>
      </c>
      <c r="B48" s="166">
        <v>0.0002153</v>
      </c>
      <c r="C48" s="147">
        <v>0.0002175</v>
      </c>
      <c r="D48" s="147">
        <v>0.0002148</v>
      </c>
      <c r="E48" s="147">
        <v>-6.05e-6</v>
      </c>
      <c r="F48" s="147">
        <v>0.0005901</v>
      </c>
      <c r="G48" s="147">
        <v>0.0001083</v>
      </c>
      <c r="H48" s="220">
        <v>0.0002213</v>
      </c>
      <c r="J48" s="166" t="s">
        <v>133</v>
      </c>
      <c r="K48" s="249">
        <f t="shared" si="2"/>
        <v>0.839172732756868</v>
      </c>
      <c r="L48" s="250">
        <f t="shared" si="3"/>
        <v>0.740224086508912</v>
      </c>
      <c r="M48" s="251">
        <f t="shared" si="4"/>
        <v>0.550496883966006</v>
      </c>
      <c r="N48" s="251">
        <f t="shared" si="5"/>
        <v>-0.0169049251743554</v>
      </c>
      <c r="O48" s="251">
        <f t="shared" si="6"/>
        <v>1.5942817254125</v>
      </c>
      <c r="P48" s="251">
        <f t="shared" si="7"/>
        <v>0.735250551205615</v>
      </c>
      <c r="Q48" s="250">
        <f t="shared" si="8"/>
        <v>0.887003068766454</v>
      </c>
      <c r="S48" s="166" t="s">
        <v>133</v>
      </c>
      <c r="T48" s="249">
        <f t="shared" si="9"/>
        <v>85.5632273159134</v>
      </c>
      <c r="U48" s="250">
        <f t="shared" si="10"/>
        <v>24.6137877532201</v>
      </c>
      <c r="V48" s="251">
        <f t="shared" si="11"/>
        <v>-7.26384317373491</v>
      </c>
      <c r="W48" s="251">
        <f t="shared" si="12"/>
        <v>-2.07854029338785</v>
      </c>
      <c r="X48" s="251">
        <f t="shared" si="13"/>
        <v>-4.23910212851518</v>
      </c>
      <c r="Y48" s="251">
        <f t="shared" si="14"/>
        <v>16.685547805214</v>
      </c>
      <c r="Z48" s="250">
        <f t="shared" si="15"/>
        <v>107.237126599578</v>
      </c>
      <c r="AB48" s="166" t="s">
        <v>134</v>
      </c>
      <c r="AC48" s="147">
        <v>0.000256562197025506</v>
      </c>
      <c r="AD48" s="147">
        <v>0.00029382994145163</v>
      </c>
      <c r="AE48" s="147">
        <v>0.000390192944331478</v>
      </c>
      <c r="AF48" s="147">
        <v>0.000357883867429227</v>
      </c>
      <c r="AG48" s="147">
        <v>0.000370135334673877</v>
      </c>
      <c r="AH48" s="147">
        <v>0.000147296727384178</v>
      </c>
      <c r="AI48" s="220">
        <v>0.000249491808757505</v>
      </c>
      <c r="AJ48" t="s">
        <v>134</v>
      </c>
    </row>
    <row r="49" customFormat="1" ht="15.15" spans="1:36">
      <c r="A49" s="166" t="s">
        <v>135</v>
      </c>
      <c r="B49" s="218">
        <v>0.0499702</v>
      </c>
      <c r="C49" s="252">
        <v>0.0113828</v>
      </c>
      <c r="D49" s="252">
        <v>0.020195</v>
      </c>
      <c r="E49" s="252">
        <v>0.0213084</v>
      </c>
      <c r="F49" s="252">
        <v>0.0256024</v>
      </c>
      <c r="G49" s="252">
        <v>0.0264869</v>
      </c>
      <c r="H49" s="224">
        <v>0.0520874</v>
      </c>
      <c r="J49" s="218" t="s">
        <v>135</v>
      </c>
      <c r="K49" s="253">
        <f t="shared" si="2"/>
        <v>1.52901130029993</v>
      </c>
      <c r="L49" s="254">
        <f t="shared" si="3"/>
        <v>0.928706461299885</v>
      </c>
      <c r="M49" s="255">
        <f t="shared" si="4"/>
        <v>0.928897749709773</v>
      </c>
      <c r="N49" s="255">
        <f t="shared" si="5"/>
        <v>1.0638850006224</v>
      </c>
      <c r="O49" s="255">
        <f t="shared" si="6"/>
        <v>1.17427784335056</v>
      </c>
      <c r="P49" s="255">
        <f t="shared" si="7"/>
        <v>1.31846585924667</v>
      </c>
      <c r="Q49" s="254">
        <f t="shared" si="8"/>
        <v>1.58134362898298</v>
      </c>
      <c r="S49" s="218" t="s">
        <v>135</v>
      </c>
      <c r="T49" s="253">
        <f t="shared" si="9"/>
        <v>-0.858038314417434</v>
      </c>
      <c r="U49" s="254">
        <f t="shared" si="10"/>
        <v>-0.328483009469354</v>
      </c>
      <c r="V49" s="255">
        <f t="shared" si="11"/>
        <v>-1.04841274566421</v>
      </c>
      <c r="W49" s="255">
        <f t="shared" si="12"/>
        <v>-1.09916973997012</v>
      </c>
      <c r="X49" s="255">
        <f t="shared" si="13"/>
        <v>-1.21360014513817</v>
      </c>
      <c r="Y49" s="255">
        <f t="shared" si="14"/>
        <v>-1.1856692024513</v>
      </c>
      <c r="Z49" s="254">
        <f t="shared" si="15"/>
        <v>-0.774568837318534</v>
      </c>
      <c r="AB49" s="166" t="s">
        <v>136</v>
      </c>
      <c r="AC49" s="252">
        <v>0.0326813804385866</v>
      </c>
      <c r="AD49" s="252">
        <v>0.0122566176443607</v>
      </c>
      <c r="AE49" s="252">
        <v>0.0217408213189339</v>
      </c>
      <c r="AF49" s="252">
        <v>0.02002885649063</v>
      </c>
      <c r="AG49" s="252">
        <v>0.0218026765513592</v>
      </c>
      <c r="AH49" s="252">
        <v>0.0200891815394702</v>
      </c>
      <c r="AI49" s="224">
        <v>0.0329386978550003</v>
      </c>
      <c r="AJ49" t="s">
        <v>136</v>
      </c>
    </row>
    <row r="50" customFormat="1" ht="15.15" spans="1:36">
      <c r="A50" s="147"/>
      <c r="B50" s="147"/>
      <c r="C50" s="147"/>
      <c r="D50" s="147"/>
      <c r="E50" s="147"/>
      <c r="F50" s="147"/>
      <c r="G50" s="147"/>
      <c r="H50" s="147"/>
      <c r="J50" s="147"/>
      <c r="K50" s="260"/>
      <c r="L50" s="260"/>
      <c r="M50" s="260"/>
      <c r="N50" s="260"/>
      <c r="O50" s="260"/>
      <c r="P50" s="260"/>
      <c r="Q50" s="260"/>
      <c r="S50" s="147"/>
      <c r="T50" s="147"/>
      <c r="U50" s="147"/>
      <c r="V50" s="147"/>
      <c r="W50" s="147"/>
      <c r="X50" s="147"/>
      <c r="Y50" s="147"/>
      <c r="Z50" s="147"/>
      <c r="AB50" t="s">
        <v>137</v>
      </c>
      <c r="AC50">
        <v>0.00143366814229078</v>
      </c>
      <c r="AD50">
        <v>0.001096579842959</v>
      </c>
      <c r="AE50">
        <v>0.000154161216155137</v>
      </c>
      <c r="AF50">
        <v>0.000340572446111389</v>
      </c>
      <c r="AG50">
        <v>0.000257703097498122</v>
      </c>
      <c r="AH50">
        <v>0.000750459189337439</v>
      </c>
      <c r="AI50">
        <v>0.00232380696446902</v>
      </c>
      <c r="AJ50" t="s">
        <v>137</v>
      </c>
    </row>
    <row r="51" customFormat="1" ht="15.15" spans="1:36">
      <c r="A51" t="s">
        <v>32</v>
      </c>
      <c r="B51" s="241" t="s">
        <v>1</v>
      </c>
      <c r="C51" s="211" t="s">
        <v>2</v>
      </c>
      <c r="D51" s="211" t="s">
        <v>3</v>
      </c>
      <c r="E51" s="211" t="s">
        <v>4</v>
      </c>
      <c r="F51" s="211" t="s">
        <v>5</v>
      </c>
      <c r="G51" s="211" t="s">
        <v>6</v>
      </c>
      <c r="H51" s="242" t="s">
        <v>7</v>
      </c>
      <c r="J51" s="256" t="s">
        <v>33</v>
      </c>
      <c r="K51" s="159" t="s">
        <v>1</v>
      </c>
      <c r="L51" s="98" t="s">
        <v>2</v>
      </c>
      <c r="M51" s="98" t="s">
        <v>3</v>
      </c>
      <c r="N51" s="98" t="s">
        <v>4</v>
      </c>
      <c r="O51" s="98" t="s">
        <v>5</v>
      </c>
      <c r="P51" s="98" t="s">
        <v>6</v>
      </c>
      <c r="Q51" s="160" t="s">
        <v>7</v>
      </c>
      <c r="S51" s="256" t="s">
        <v>34</v>
      </c>
      <c r="T51" s="159" t="s">
        <v>1</v>
      </c>
      <c r="U51" s="98" t="s">
        <v>2</v>
      </c>
      <c r="V51" s="98" t="s">
        <v>3</v>
      </c>
      <c r="W51" s="98" t="s">
        <v>4</v>
      </c>
      <c r="X51" s="98" t="s">
        <v>5</v>
      </c>
      <c r="Y51" s="98" t="s">
        <v>6</v>
      </c>
      <c r="Z51" s="160" t="s">
        <v>7</v>
      </c>
      <c r="AB51" t="s">
        <v>138</v>
      </c>
      <c r="AC51" s="211">
        <v>9.97069067070732e-5</v>
      </c>
      <c r="AD51" s="211">
        <v>3.69401222699988e-5</v>
      </c>
      <c r="AE51" s="211">
        <v>6.5290075293237e-5</v>
      </c>
      <c r="AF51" s="211">
        <v>2.07462271348698e-5</v>
      </c>
      <c r="AG51" s="211">
        <v>4.55202052560786e-5</v>
      </c>
      <c r="AH51" s="211">
        <v>2.629690541739e-5</v>
      </c>
      <c r="AI51" s="242">
        <v>0.000131589713655073</v>
      </c>
      <c r="AJ51" t="s">
        <v>138</v>
      </c>
    </row>
    <row r="52" customFormat="1" spans="1:36">
      <c r="A52" s="163" t="s">
        <v>41</v>
      </c>
      <c r="B52" s="261">
        <v>2885.613</v>
      </c>
      <c r="C52" s="214">
        <v>2338.163</v>
      </c>
      <c r="D52" s="214">
        <v>587.9116</v>
      </c>
      <c r="E52" s="214">
        <v>725.1099</v>
      </c>
      <c r="F52" s="214">
        <v>936.6098</v>
      </c>
      <c r="G52" s="214">
        <v>1528.812</v>
      </c>
      <c r="H52" s="213">
        <v>3314.734</v>
      </c>
      <c r="J52" s="257" t="s">
        <v>42</v>
      </c>
      <c r="K52" s="261">
        <v>4340.48698204807</v>
      </c>
      <c r="L52" s="214">
        <v>2662.81491341769</v>
      </c>
      <c r="M52" s="214">
        <v>524.308601801778</v>
      </c>
      <c r="N52" s="214">
        <v>698.762574622596</v>
      </c>
      <c r="O52" s="214">
        <v>893.785442845901</v>
      </c>
      <c r="P52" s="214">
        <v>1669.75076741301</v>
      </c>
      <c r="Q52" s="213">
        <v>6093.66534364638</v>
      </c>
      <c r="S52" s="257" t="s">
        <v>42</v>
      </c>
      <c r="T52" s="261">
        <f>Cmoyen!J3</f>
        <v>4115.9292076887</v>
      </c>
      <c r="U52" s="214">
        <f>Cmoyen!K3</f>
        <v>4299.27575107296</v>
      </c>
      <c r="V52" s="214">
        <f>Cmoyen!Q26</f>
        <v>2991.07066189624</v>
      </c>
      <c r="W52" s="214">
        <f>Cmoyen!R26</f>
        <v>3831.83266291231</v>
      </c>
      <c r="X52" s="214">
        <f>Cmoyen!S26</f>
        <v>4148.5280816922</v>
      </c>
      <c r="Y52" s="214">
        <f>Cmoyen!T26</f>
        <v>4529.4128256513</v>
      </c>
      <c r="Z52" s="213">
        <f>Cmoyen!U26</f>
        <v>4912.26459356247</v>
      </c>
      <c r="AA52" s="147"/>
      <c r="AB52" t="s">
        <v>139</v>
      </c>
      <c r="AC52" s="244">
        <v>0.000340343149232395</v>
      </c>
      <c r="AD52" s="244">
        <v>0.000174431257358934</v>
      </c>
      <c r="AE52" s="244">
        <v>1.31538131375201e-5</v>
      </c>
      <c r="AF52" s="244">
        <v>0.000163015884076311</v>
      </c>
      <c r="AG52" s="244">
        <v>8.70023277878276e-5</v>
      </c>
      <c r="AH52" s="244">
        <v>0.000178215660580758</v>
      </c>
      <c r="AI52" s="245">
        <v>0.000472371157914209</v>
      </c>
      <c r="AJ52" t="s">
        <v>139</v>
      </c>
    </row>
    <row r="53" customFormat="1" spans="1:36">
      <c r="A53" s="166" t="s">
        <v>43</v>
      </c>
      <c r="B53" s="262">
        <v>918.869</v>
      </c>
      <c r="C53" s="215">
        <v>229.6517</v>
      </c>
      <c r="D53" s="215">
        <v>-16.33402</v>
      </c>
      <c r="E53" s="215">
        <v>-127.6788</v>
      </c>
      <c r="F53" s="215">
        <v>227.6906</v>
      </c>
      <c r="G53" s="215">
        <v>383.9966</v>
      </c>
      <c r="H53" s="216">
        <v>1473.327</v>
      </c>
      <c r="J53" s="258" t="s">
        <v>44</v>
      </c>
      <c r="K53" s="262">
        <v>2373.74298204807</v>
      </c>
      <c r="L53" s="215">
        <v>554.303613417684</v>
      </c>
      <c r="M53" s="215">
        <v>-79.937018198222</v>
      </c>
      <c r="N53" s="215">
        <v>-154.026125377405</v>
      </c>
      <c r="O53" s="215">
        <v>184.866242845903</v>
      </c>
      <c r="P53" s="215">
        <v>524.935367413008</v>
      </c>
      <c r="Q53" s="216">
        <v>4252.25834364638</v>
      </c>
      <c r="S53" s="258" t="s">
        <v>44</v>
      </c>
      <c r="T53" s="262">
        <f>Cmoyen!J4</f>
        <v>2271.41772151899</v>
      </c>
      <c r="U53" s="215">
        <f>Cmoyen!K4</f>
        <v>1181.84120171674</v>
      </c>
      <c r="V53" s="215">
        <f>Cmoyen!Q27</f>
        <v>694.078711985689</v>
      </c>
      <c r="W53" s="215">
        <f>Cmoyen!R27</f>
        <v>1122.41110217216</v>
      </c>
      <c r="X53" s="215">
        <f>Cmoyen!S27</f>
        <v>1492.38730853392</v>
      </c>
      <c r="Y53" s="215">
        <f>Cmoyen!T27</f>
        <v>1936.36406145625</v>
      </c>
      <c r="Z53" s="216">
        <f>Cmoyen!U27</f>
        <v>3206.96072013093</v>
      </c>
      <c r="AA53" s="147"/>
      <c r="AB53" t="s">
        <v>140</v>
      </c>
      <c r="AC53" s="147">
        <v>0.000106633875252577</v>
      </c>
      <c r="AD53" s="147">
        <v>0.000181228239856614</v>
      </c>
      <c r="AE53" s="147">
        <v>0.000140675794283058</v>
      </c>
      <c r="AF53" s="147">
        <v>0.000126126069601394</v>
      </c>
      <c r="AG53" s="147">
        <v>0.000150827395641384</v>
      </c>
      <c r="AH53" s="147">
        <v>0.000103691544256822</v>
      </c>
      <c r="AI53" s="220">
        <v>0.000132617344459722</v>
      </c>
      <c r="AJ53" t="s">
        <v>140</v>
      </c>
    </row>
    <row r="54" customFormat="1" spans="1:36">
      <c r="A54" s="166" t="s">
        <v>45</v>
      </c>
      <c r="B54" s="262">
        <v>1342.32</v>
      </c>
      <c r="C54" s="215">
        <v>903.2166</v>
      </c>
      <c r="D54" s="215">
        <v>53.47076</v>
      </c>
      <c r="E54" s="215">
        <v>5.885601</v>
      </c>
      <c r="F54" s="215">
        <v>250.3053</v>
      </c>
      <c r="G54" s="215">
        <v>446.2077</v>
      </c>
      <c r="H54" s="216">
        <v>1927.888</v>
      </c>
      <c r="J54" s="258" t="s">
        <v>46</v>
      </c>
      <c r="K54" s="262">
        <v>2797.19398204807</v>
      </c>
      <c r="L54" s="215">
        <v>1227.86851341767</v>
      </c>
      <c r="M54" s="215">
        <v>-10.1322381982228</v>
      </c>
      <c r="N54" s="215">
        <v>-20.4617243774039</v>
      </c>
      <c r="O54" s="215">
        <v>207.480942845901</v>
      </c>
      <c r="P54" s="215">
        <v>587.146467413005</v>
      </c>
      <c r="Q54" s="216">
        <v>4706.81934364638</v>
      </c>
      <c r="S54" s="258" t="s">
        <v>46</v>
      </c>
      <c r="T54" s="262">
        <f>Cmoyen!J5</f>
        <v>1953.00867323019</v>
      </c>
      <c r="U54" s="215">
        <f>Cmoyen!K5</f>
        <v>2315.7743204578</v>
      </c>
      <c r="V54" s="215">
        <f>Cmoyen!Q28</f>
        <v>1327.54561717352</v>
      </c>
      <c r="W54" s="215">
        <f>Cmoyen!R28</f>
        <v>1830.09814963797</v>
      </c>
      <c r="X54" s="215">
        <f>Cmoyen!S28</f>
        <v>2062.47702407002</v>
      </c>
      <c r="Y54" s="215">
        <f>Cmoyen!T28</f>
        <v>2307.31863727455</v>
      </c>
      <c r="Z54" s="216">
        <f>Cmoyen!U28</f>
        <v>2599.95635570104</v>
      </c>
      <c r="AA54" s="147"/>
      <c r="AB54" t="s">
        <v>141</v>
      </c>
      <c r="AC54" s="147">
        <v>0.0175855046920691</v>
      </c>
      <c r="AD54" s="147">
        <v>0.0197116678979904</v>
      </c>
      <c r="AE54" s="147">
        <v>0.00937258927358491</v>
      </c>
      <c r="AF54" s="147">
        <v>0.00922707915722963</v>
      </c>
      <c r="AG54" s="147">
        <v>0.0111749434096913</v>
      </c>
      <c r="AH54" s="147">
        <v>0.0166658280118894</v>
      </c>
      <c r="AI54" s="220">
        <v>0.0245072784414875</v>
      </c>
      <c r="AJ54" t="s">
        <v>141</v>
      </c>
    </row>
    <row r="55" customFormat="1" spans="1:36">
      <c r="A55" s="166" t="s">
        <v>47</v>
      </c>
      <c r="B55" s="262">
        <v>2582.113</v>
      </c>
      <c r="C55" s="215">
        <v>236.4291</v>
      </c>
      <c r="D55" s="215">
        <v>-85.29351</v>
      </c>
      <c r="E55" s="215">
        <v>-591.6195</v>
      </c>
      <c r="F55" s="215">
        <v>-745.6029</v>
      </c>
      <c r="G55" s="215">
        <v>9.455423</v>
      </c>
      <c r="H55" s="216">
        <v>4323.861</v>
      </c>
      <c r="J55" s="258" t="s">
        <v>48</v>
      </c>
      <c r="K55" s="262">
        <v>4036.98698204807</v>
      </c>
      <c r="L55" s="215">
        <v>561.081013417687</v>
      </c>
      <c r="M55" s="215">
        <v>-148.896508198222</v>
      </c>
      <c r="N55" s="215">
        <v>-617.966825377403</v>
      </c>
      <c r="O55" s="215">
        <v>-788.427257154099</v>
      </c>
      <c r="P55" s="215">
        <v>150.394190413007</v>
      </c>
      <c r="Q55" s="216">
        <v>7102.79234364637</v>
      </c>
      <c r="S55" s="258" t="s">
        <v>48</v>
      </c>
      <c r="T55" s="262">
        <f>Cmoyen!J6</f>
        <v>6288.06282231599</v>
      </c>
      <c r="U55" s="215">
        <f>Cmoyen!K6</f>
        <v>5095.0243204578</v>
      </c>
      <c r="V55" s="215">
        <f>Cmoyen!Q29</f>
        <v>2669.5572450805</v>
      </c>
      <c r="W55" s="215">
        <f>Cmoyen!R29</f>
        <v>4007.04102976669</v>
      </c>
      <c r="X55" s="215">
        <f>Cmoyen!S29</f>
        <v>4880.82056892779</v>
      </c>
      <c r="Y55" s="215">
        <f>Cmoyen!T29</f>
        <v>6263.38677354709</v>
      </c>
      <c r="Z55" s="216">
        <f>Cmoyen!U29</f>
        <v>9294.79105291871</v>
      </c>
      <c r="AA55" s="147"/>
      <c r="AB55" t="s">
        <v>142</v>
      </c>
      <c r="AC55" s="147">
        <v>2.7507817328716e-5</v>
      </c>
      <c r="AD55" s="147">
        <v>5.04848337689983e-5</v>
      </c>
      <c r="AE55" s="147">
        <v>0</v>
      </c>
      <c r="AF55" s="147">
        <v>4.46524756214085e-5</v>
      </c>
      <c r="AG55" s="147">
        <v>4.2550045235704e-5</v>
      </c>
      <c r="AH55" s="147">
        <v>4.19631469426436e-5</v>
      </c>
      <c r="AI55" s="220">
        <v>3.12526894197299e-5</v>
      </c>
      <c r="AJ55" t="s">
        <v>142</v>
      </c>
    </row>
    <row r="56" customFormat="1" spans="1:36">
      <c r="A56" s="166" t="s">
        <v>49</v>
      </c>
      <c r="B56" s="262">
        <v>218.7485</v>
      </c>
      <c r="C56" s="215">
        <v>49.68516</v>
      </c>
      <c r="D56" s="215">
        <v>32.56812</v>
      </c>
      <c r="E56" s="215">
        <v>155.673</v>
      </c>
      <c r="F56" s="215">
        <v>123.2319</v>
      </c>
      <c r="G56" s="215">
        <v>164.2631</v>
      </c>
      <c r="H56" s="216">
        <v>304.7313</v>
      </c>
      <c r="J56" s="258" t="s">
        <v>50</v>
      </c>
      <c r="K56" s="262">
        <v>1673.62248204807</v>
      </c>
      <c r="L56" s="215">
        <v>374.337073417688</v>
      </c>
      <c r="M56" s="215">
        <v>-31.0348781982221</v>
      </c>
      <c r="N56" s="215">
        <v>129.325674622596</v>
      </c>
      <c r="O56" s="215">
        <v>80.4075428459015</v>
      </c>
      <c r="P56" s="215">
        <v>305.201867413007</v>
      </c>
      <c r="Q56" s="216">
        <v>3083.66264364638</v>
      </c>
      <c r="S56" s="258" t="s">
        <v>50</v>
      </c>
      <c r="T56" s="262">
        <f>Cmoyen!J7</f>
        <v>1076.10853258322</v>
      </c>
      <c r="U56" s="215">
        <f>Cmoyen!K7</f>
        <v>527.909871244635</v>
      </c>
      <c r="V56" s="215">
        <f>Cmoyen!Q30</f>
        <v>358.88282647585</v>
      </c>
      <c r="W56" s="215">
        <f>Cmoyen!R30</f>
        <v>492.580048270314</v>
      </c>
      <c r="X56" s="215">
        <f>Cmoyen!S30</f>
        <v>679.328227571116</v>
      </c>
      <c r="Y56" s="215">
        <f>Cmoyen!T30</f>
        <v>817.731462925852</v>
      </c>
      <c r="Z56" s="216">
        <f>Cmoyen!U30</f>
        <v>1580.85324604474</v>
      </c>
      <c r="AA56" s="147"/>
      <c r="AB56" t="s">
        <v>143</v>
      </c>
      <c r="AC56" s="147">
        <v>0.0216166681482782</v>
      </c>
      <c r="AD56" s="147">
        <v>0.00933045100778112</v>
      </c>
      <c r="AE56" s="147">
        <v>0.00253909123510584</v>
      </c>
      <c r="AF56" s="147">
        <v>0.00476206058214325</v>
      </c>
      <c r="AG56" s="147">
        <v>0.00828739722224294</v>
      </c>
      <c r="AH56" s="147">
        <v>0.0134801926709308</v>
      </c>
      <c r="AI56" s="220">
        <v>0.0281049821061667</v>
      </c>
      <c r="AJ56" t="s">
        <v>143</v>
      </c>
    </row>
    <row r="57" customFormat="1" spans="1:36">
      <c r="A57" s="166" t="s">
        <v>51</v>
      </c>
      <c r="B57" s="262">
        <v>1581.728</v>
      </c>
      <c r="C57" s="215">
        <v>738.3527</v>
      </c>
      <c r="D57" s="215">
        <v>-62.04559</v>
      </c>
      <c r="E57" s="215">
        <v>56.44243</v>
      </c>
      <c r="F57" s="215">
        <v>93.29043</v>
      </c>
      <c r="G57" s="215">
        <v>295.51</v>
      </c>
      <c r="H57" s="216">
        <v>1924.643</v>
      </c>
      <c r="J57" s="258" t="s">
        <v>52</v>
      </c>
      <c r="K57" s="262">
        <v>3036.60198204807</v>
      </c>
      <c r="L57" s="215">
        <v>1063.00461341769</v>
      </c>
      <c r="M57" s="215">
        <v>-125.648588198222</v>
      </c>
      <c r="N57" s="215">
        <v>30.0951046225962</v>
      </c>
      <c r="O57" s="215">
        <v>50.4660728459015</v>
      </c>
      <c r="P57" s="215">
        <v>436.448767413009</v>
      </c>
      <c r="Q57" s="216">
        <v>4703.57434364638</v>
      </c>
      <c r="S57" s="258" t="s">
        <v>52</v>
      </c>
      <c r="T57" s="262">
        <f>Cmoyen!J8</f>
        <v>2232.04078762307</v>
      </c>
      <c r="U57" s="215">
        <f>Cmoyen!K8</f>
        <v>2221.53540772532</v>
      </c>
      <c r="V57" s="215">
        <f>Cmoyen!Q31</f>
        <v>1426.94633273703</v>
      </c>
      <c r="W57" s="215">
        <f>Cmoyen!R31</f>
        <v>1996.3049074819</v>
      </c>
      <c r="X57" s="215">
        <f>Cmoyen!S31</f>
        <v>2191.96207148067</v>
      </c>
      <c r="Y57" s="215">
        <f>Cmoyen!T31</f>
        <v>2426.78022712091</v>
      </c>
      <c r="Z57" s="216">
        <f>Cmoyen!U31</f>
        <v>2737.85924713584</v>
      </c>
      <c r="AA57" s="147"/>
      <c r="AB57" t="s">
        <v>144</v>
      </c>
      <c r="AC57" s="147">
        <v>0.000155433457682481</v>
      </c>
      <c r="AD57" s="147">
        <v>4.56087376293585e-5</v>
      </c>
      <c r="AE57" s="147">
        <v>0</v>
      </c>
      <c r="AF57" s="147">
        <v>0</v>
      </c>
      <c r="AG57" s="147">
        <v>6.30741847023377e-5</v>
      </c>
      <c r="AH57" s="147">
        <v>4.76555390496456e-5</v>
      </c>
      <c r="AI57" s="220">
        <v>0.000219123729360333</v>
      </c>
      <c r="AJ57" t="s">
        <v>144</v>
      </c>
    </row>
    <row r="58" customFormat="1" spans="1:36">
      <c r="A58" s="166" t="s">
        <v>53</v>
      </c>
      <c r="B58" s="262">
        <v>599.2247</v>
      </c>
      <c r="C58" s="215">
        <v>272.5366</v>
      </c>
      <c r="D58" s="215">
        <v>72.93259</v>
      </c>
      <c r="E58" s="215">
        <v>62.88562</v>
      </c>
      <c r="F58" s="215">
        <v>68.70151</v>
      </c>
      <c r="G58" s="215">
        <v>248.3568</v>
      </c>
      <c r="H58" s="216">
        <v>649.6641</v>
      </c>
      <c r="J58" s="258" t="s">
        <v>54</v>
      </c>
      <c r="K58" s="262">
        <v>2054.09868204807</v>
      </c>
      <c r="L58" s="215">
        <v>597.188513417688</v>
      </c>
      <c r="M58" s="215">
        <v>9.32959180177795</v>
      </c>
      <c r="N58" s="215">
        <v>36.5382946225962</v>
      </c>
      <c r="O58" s="215">
        <v>25.8771528459015</v>
      </c>
      <c r="P58" s="215">
        <v>389.295567413007</v>
      </c>
      <c r="Q58" s="216">
        <v>3428.59544364638</v>
      </c>
      <c r="S58" s="258" t="s">
        <v>54</v>
      </c>
      <c r="T58" s="262">
        <f>Cmoyen!J9</f>
        <v>856.573839662447</v>
      </c>
      <c r="U58" s="215">
        <f>Cmoyen!K9</f>
        <v>778.109442060086</v>
      </c>
      <c r="V58" s="215">
        <f>Cmoyen!Q32</f>
        <v>491.742397137746</v>
      </c>
      <c r="W58" s="215">
        <f>Cmoyen!R32</f>
        <v>753.643604183427</v>
      </c>
      <c r="X58" s="215">
        <f>Cmoyen!S32</f>
        <v>818.397520058352</v>
      </c>
      <c r="Y58" s="215">
        <f>Cmoyen!T32</f>
        <v>916.412157648631</v>
      </c>
      <c r="Z58" s="216">
        <f>Cmoyen!U32</f>
        <v>1008.89198036007</v>
      </c>
      <c r="AA58" s="147"/>
      <c r="AB58" t="s">
        <v>145</v>
      </c>
      <c r="AC58" s="147">
        <v>0.0189314979184013</v>
      </c>
      <c r="AD58" s="147">
        <v>0.0238360489672679</v>
      </c>
      <c r="AE58" s="147">
        <v>0.0263369552253412</v>
      </c>
      <c r="AF58" s="147">
        <v>0.0281240068402097</v>
      </c>
      <c r="AG58" s="147">
        <v>0.026759706762442</v>
      </c>
      <c r="AH58" s="147">
        <v>0.0241321057276205</v>
      </c>
      <c r="AI58" s="220">
        <v>0.0141552859159443</v>
      </c>
      <c r="AJ58" t="s">
        <v>145</v>
      </c>
    </row>
    <row r="59" customFormat="1" spans="1:36">
      <c r="A59" s="166" t="s">
        <v>55</v>
      </c>
      <c r="B59" s="262">
        <v>388.6598</v>
      </c>
      <c r="C59" s="215">
        <v>-226.6371</v>
      </c>
      <c r="D59" s="215">
        <v>-221.3142</v>
      </c>
      <c r="E59" s="215">
        <v>-454.7152</v>
      </c>
      <c r="F59" s="215">
        <v>-276.9005</v>
      </c>
      <c r="G59" s="215">
        <v>-179.5566</v>
      </c>
      <c r="H59" s="216">
        <v>1027.12</v>
      </c>
      <c r="J59" s="258" t="s">
        <v>56</v>
      </c>
      <c r="K59" s="262">
        <v>1843.53378204807</v>
      </c>
      <c r="L59" s="215">
        <v>98.0148134176876</v>
      </c>
      <c r="M59" s="215">
        <v>-284.917198198222</v>
      </c>
      <c r="N59" s="215">
        <v>-481.062525377404</v>
      </c>
      <c r="O59" s="215">
        <v>-319.724857154099</v>
      </c>
      <c r="P59" s="215">
        <v>-38.6178325869935</v>
      </c>
      <c r="Q59" s="216">
        <v>3806.05134364638</v>
      </c>
      <c r="S59" s="258" t="s">
        <v>56</v>
      </c>
      <c r="T59" s="262">
        <f>Cmoyen!J10</f>
        <v>1578.08931082982</v>
      </c>
      <c r="U59" s="215">
        <f>Cmoyen!K10</f>
        <v>1315.65450643777</v>
      </c>
      <c r="V59" s="215">
        <f>Cmoyen!Q33</f>
        <v>474.11717352415</v>
      </c>
      <c r="W59" s="215">
        <f>Cmoyen!R33</f>
        <v>882.065164923572</v>
      </c>
      <c r="X59" s="215">
        <f>Cmoyen!S33</f>
        <v>1136.39606126915</v>
      </c>
      <c r="Y59" s="215">
        <f>Cmoyen!T33</f>
        <v>1609.57247828991</v>
      </c>
      <c r="Z59" s="216">
        <f>Cmoyen!U33</f>
        <v>2627.76868521549</v>
      </c>
      <c r="AA59" s="147"/>
      <c r="AB59" t="s">
        <v>146</v>
      </c>
      <c r="AC59" s="147">
        <v>0.00853923387113426</v>
      </c>
      <c r="AD59" s="147">
        <v>0.00245401441155662</v>
      </c>
      <c r="AE59" s="147">
        <v>0.00151254112915501</v>
      </c>
      <c r="AF59" s="147">
        <v>0.00226014802501757</v>
      </c>
      <c r="AG59" s="147">
        <v>0.00294866807595754</v>
      </c>
      <c r="AH59" s="147">
        <v>0.00419025740522742</v>
      </c>
      <c r="AI59" s="220">
        <v>0.0107439542215267</v>
      </c>
      <c r="AJ59" t="s">
        <v>146</v>
      </c>
    </row>
    <row r="60" customFormat="1" spans="1:36">
      <c r="A60" s="166" t="s">
        <v>57</v>
      </c>
      <c r="B60" s="262">
        <v>482.5911</v>
      </c>
      <c r="C60" s="215">
        <v>657.2036</v>
      </c>
      <c r="D60" s="215">
        <v>109.8369</v>
      </c>
      <c r="E60" s="215">
        <v>111.4625</v>
      </c>
      <c r="F60" s="215">
        <v>354.823</v>
      </c>
      <c r="G60" s="215">
        <v>263.8889</v>
      </c>
      <c r="H60" s="216">
        <v>505.2915</v>
      </c>
      <c r="J60" s="258" t="s">
        <v>58</v>
      </c>
      <c r="K60" s="262">
        <v>1937.46508204807</v>
      </c>
      <c r="L60" s="215">
        <v>981.855513417688</v>
      </c>
      <c r="M60" s="215">
        <v>46.233901801778</v>
      </c>
      <c r="N60" s="215">
        <v>85.1151746225962</v>
      </c>
      <c r="O60" s="215">
        <v>311.998642845901</v>
      </c>
      <c r="P60" s="215">
        <v>404.827667413006</v>
      </c>
      <c r="Q60" s="216">
        <v>3284.22284364639</v>
      </c>
      <c r="S60" s="258" t="s">
        <v>58</v>
      </c>
      <c r="T60" s="262">
        <f>Cmoyen!J11</f>
        <v>815.144163150492</v>
      </c>
      <c r="U60" s="215">
        <f>Cmoyen!K11</f>
        <v>1180.78183118741</v>
      </c>
      <c r="V60" s="215">
        <f>Cmoyen!Q34</f>
        <v>825.808586762075</v>
      </c>
      <c r="W60" s="215">
        <f>Cmoyen!R34</f>
        <v>947.117457763476</v>
      </c>
      <c r="X60" s="215">
        <f>Cmoyen!S34</f>
        <v>967.390226112327</v>
      </c>
      <c r="Y60" s="215">
        <f>Cmoyen!T34</f>
        <v>978.61456245825</v>
      </c>
      <c r="Z60" s="216">
        <f>Cmoyen!U34</f>
        <v>1029.49918166939</v>
      </c>
      <c r="AA60" s="147"/>
      <c r="AB60" t="s">
        <v>147</v>
      </c>
      <c r="AC60" s="147">
        <v>0.0163489532818234</v>
      </c>
      <c r="AD60" s="147">
        <v>0.0134373881304311</v>
      </c>
      <c r="AE60" s="147">
        <v>0.00516893272723608</v>
      </c>
      <c r="AF60" s="147">
        <v>0.00610575661776595</v>
      </c>
      <c r="AG60" s="147">
        <v>0.00833441919380146</v>
      </c>
      <c r="AH60" s="147">
        <v>0.0103906225283935</v>
      </c>
      <c r="AI60" s="220">
        <v>0.0235860392075159</v>
      </c>
      <c r="AJ60" t="s">
        <v>147</v>
      </c>
    </row>
    <row r="61" customFormat="1" spans="1:36">
      <c r="A61" s="166" t="s">
        <v>59</v>
      </c>
      <c r="B61" s="262">
        <v>-19.6732</v>
      </c>
      <c r="C61" s="215">
        <v>0.329963</v>
      </c>
      <c r="D61" s="215">
        <v>-4.442736</v>
      </c>
      <c r="E61" s="215">
        <v>0.0625217</v>
      </c>
      <c r="F61" s="215">
        <v>-5.20903</v>
      </c>
      <c r="G61" s="215">
        <v>1.99564</v>
      </c>
      <c r="H61" s="216">
        <v>-21.3419</v>
      </c>
      <c r="J61" s="258" t="s">
        <v>60</v>
      </c>
      <c r="K61" s="262">
        <v>1435.20078204807</v>
      </c>
      <c r="L61" s="215">
        <v>324.981876417688</v>
      </c>
      <c r="M61" s="215">
        <v>-68.0457341982221</v>
      </c>
      <c r="N61" s="215">
        <v>-26.2848036774039</v>
      </c>
      <c r="O61" s="215">
        <v>-48.0333871540985</v>
      </c>
      <c r="P61" s="215">
        <v>142.934407413007</v>
      </c>
      <c r="Q61" s="216">
        <v>2757.58944364638</v>
      </c>
      <c r="S61" s="258" t="s">
        <v>60</v>
      </c>
      <c r="T61" s="262">
        <f>Cmoyen!J12</f>
        <v>30.2960618846695</v>
      </c>
      <c r="U61" s="215">
        <f>Cmoyen!K12</f>
        <v>6.25321888412017</v>
      </c>
      <c r="V61" s="215">
        <f>Cmoyen!Q35</f>
        <v>2.17352415026834</v>
      </c>
      <c r="W61" s="215">
        <f>Cmoyen!R35</f>
        <v>5.78761061946903</v>
      </c>
      <c r="X61" s="215">
        <f>Cmoyen!S35</f>
        <v>9.67687819110139</v>
      </c>
      <c r="Y61" s="215">
        <f>Cmoyen!T35</f>
        <v>14.813627254509</v>
      </c>
      <c r="Z61" s="216">
        <f>Cmoyen!U35</f>
        <v>55.4609929078014</v>
      </c>
      <c r="AA61" s="147"/>
      <c r="AB61" t="s">
        <v>148</v>
      </c>
      <c r="AC61" s="147">
        <v>0.00244289066319947</v>
      </c>
      <c r="AD61" s="147">
        <v>0.00732266506433003</v>
      </c>
      <c r="AE61" s="147">
        <v>0.0039060561297893</v>
      </c>
      <c r="AF61" s="147">
        <v>0.0037211999260555</v>
      </c>
      <c r="AG61" s="147">
        <v>0.0035822132200788</v>
      </c>
      <c r="AH61" s="147">
        <v>0.00433959755541924</v>
      </c>
      <c r="AI61" s="220">
        <v>0.0038979731481448</v>
      </c>
      <c r="AJ61" t="s">
        <v>148</v>
      </c>
    </row>
    <row r="62" customFormat="1" spans="1:36">
      <c r="A62" s="166" t="s">
        <v>61</v>
      </c>
      <c r="B62" s="262">
        <v>549.6572</v>
      </c>
      <c r="C62" s="215">
        <v>494.5459</v>
      </c>
      <c r="D62" s="215">
        <v>90.87438</v>
      </c>
      <c r="E62" s="215">
        <v>107.821</v>
      </c>
      <c r="F62" s="215">
        <v>269.3109</v>
      </c>
      <c r="G62" s="215">
        <v>274.1874</v>
      </c>
      <c r="H62" s="216">
        <v>726.4301</v>
      </c>
      <c r="J62" s="258" t="s">
        <v>62</v>
      </c>
      <c r="K62" s="262">
        <v>2004.53118204807</v>
      </c>
      <c r="L62" s="215">
        <v>819.197813417688</v>
      </c>
      <c r="M62" s="215">
        <v>27.271381801778</v>
      </c>
      <c r="N62" s="215">
        <v>81.4736746225961</v>
      </c>
      <c r="O62" s="215">
        <v>226.486542845902</v>
      </c>
      <c r="P62" s="215">
        <v>415.126167413007</v>
      </c>
      <c r="Q62" s="216">
        <v>3505.36144364638</v>
      </c>
      <c r="S62" s="258" t="s">
        <v>62</v>
      </c>
      <c r="T62" s="262">
        <f>Cmoyen!J13</f>
        <v>772.299109235818</v>
      </c>
      <c r="U62" s="215">
        <f>Cmoyen!K13</f>
        <v>982.070100143061</v>
      </c>
      <c r="V62" s="215">
        <f>Cmoyen!Q36</f>
        <v>630.817531305903</v>
      </c>
      <c r="W62" s="215">
        <f>Cmoyen!R36</f>
        <v>787.05631536605</v>
      </c>
      <c r="X62" s="215">
        <f>Cmoyen!S36</f>
        <v>831.113785557987</v>
      </c>
      <c r="Y62" s="215">
        <f>Cmoyen!T36</f>
        <v>933.208416833667</v>
      </c>
      <c r="Z62" s="216">
        <f>Cmoyen!U36</f>
        <v>993.159301691217</v>
      </c>
      <c r="AA62" s="147"/>
      <c r="AB62" t="s">
        <v>149</v>
      </c>
      <c r="AC62" s="147">
        <v>0.00369876899445152</v>
      </c>
      <c r="AD62" s="147">
        <v>0.000558115994003321</v>
      </c>
      <c r="AE62" s="147">
        <v>0.000823568714985572</v>
      </c>
      <c r="AF62" s="147">
        <v>0.0013689533077306</v>
      </c>
      <c r="AG62" s="147">
        <v>0.00182119199496488</v>
      </c>
      <c r="AH62" s="147">
        <v>0.00295306220104831</v>
      </c>
      <c r="AI62" s="220">
        <v>0.00354525211711412</v>
      </c>
      <c r="AJ62" t="s">
        <v>149</v>
      </c>
    </row>
    <row r="63" spans="1:36">
      <c r="A63" s="166" t="s">
        <v>63</v>
      </c>
      <c r="B63" s="262">
        <v>345.9196</v>
      </c>
      <c r="C63" s="215">
        <v>311.0921</v>
      </c>
      <c r="D63" s="215">
        <v>45.5</v>
      </c>
      <c r="E63" s="215">
        <v>-62.43946</v>
      </c>
      <c r="F63" s="215">
        <v>97.66331</v>
      </c>
      <c r="G63" s="215">
        <v>213.0278</v>
      </c>
      <c r="H63" s="216">
        <v>447.6665</v>
      </c>
      <c r="J63" s="258" t="s">
        <v>64</v>
      </c>
      <c r="K63" s="262">
        <v>1800.79358204807</v>
      </c>
      <c r="L63" s="215">
        <v>635.744013417688</v>
      </c>
      <c r="M63" s="215">
        <v>-18.102998198222</v>
      </c>
      <c r="N63" s="215">
        <v>-88.7867853774038</v>
      </c>
      <c r="O63" s="215">
        <v>54.8389528459015</v>
      </c>
      <c r="P63" s="215">
        <v>353.966567413007</v>
      </c>
      <c r="Q63" s="216">
        <v>3226.59784364639</v>
      </c>
      <c r="S63" s="258" t="s">
        <v>64</v>
      </c>
      <c r="T63" s="262">
        <f>Cmoyen!J14</f>
        <v>536.198312236287</v>
      </c>
      <c r="U63" s="215">
        <f>Cmoyen!K14</f>
        <v>666.716022889843</v>
      </c>
      <c r="V63" s="215">
        <f>Cmoyen!Q37</f>
        <v>429.477638640429</v>
      </c>
      <c r="W63" s="215">
        <f>Cmoyen!R37</f>
        <v>522.163314561545</v>
      </c>
      <c r="X63" s="215">
        <f>Cmoyen!S37</f>
        <v>572.457330415755</v>
      </c>
      <c r="Y63" s="215">
        <f>Cmoyen!T37</f>
        <v>641.373413493654</v>
      </c>
      <c r="Z63" s="216">
        <f>Cmoyen!U37</f>
        <v>696.879432624114</v>
      </c>
      <c r="AA63" s="147"/>
      <c r="AB63" s="147"/>
      <c r="AC63" s="147"/>
      <c r="AD63" s="147"/>
      <c r="AE63" s="147"/>
      <c r="AF63" s="147"/>
      <c r="AG63" s="147"/>
      <c r="AH63" s="147"/>
    </row>
    <row r="64" spans="1:36">
      <c r="A64" s="166" t="s">
        <v>65</v>
      </c>
      <c r="B64" s="262">
        <v>-112.6771</v>
      </c>
      <c r="C64" s="215">
        <v>-69.01381</v>
      </c>
      <c r="D64" s="215">
        <v>-30.44011</v>
      </c>
      <c r="E64" s="215">
        <v>-30.57275</v>
      </c>
      <c r="F64" s="215">
        <v>18.02133</v>
      </c>
      <c r="G64" s="215">
        <v>-32.17086</v>
      </c>
      <c r="H64" s="216">
        <v>-105.0211</v>
      </c>
      <c r="J64" s="258" t="s">
        <v>66</v>
      </c>
      <c r="K64" s="262">
        <v>1342.19688204807</v>
      </c>
      <c r="L64" s="215">
        <v>255.638103417688</v>
      </c>
      <c r="M64" s="215">
        <v>-94.0431081982221</v>
      </c>
      <c r="N64" s="215">
        <v>-56.9200753774038</v>
      </c>
      <c r="O64" s="215">
        <v>-24.8030271540985</v>
      </c>
      <c r="P64" s="215">
        <v>108.767907413007</v>
      </c>
      <c r="Q64" s="216">
        <v>2673.91024364638</v>
      </c>
      <c r="S64" s="258" t="s">
        <v>66</v>
      </c>
      <c r="T64" s="262">
        <f>Cmoyen!J15</f>
        <v>240.2290201594</v>
      </c>
      <c r="U64" s="215">
        <f>Cmoyen!K15</f>
        <v>82.3011444921316</v>
      </c>
      <c r="V64" s="215">
        <f>Cmoyen!Q38</f>
        <v>23.6404293381038</v>
      </c>
      <c r="W64" s="215">
        <f>Cmoyen!R38</f>
        <v>56.3563958165728</v>
      </c>
      <c r="X64" s="215">
        <f>Cmoyen!S38</f>
        <v>84.2990517870168</v>
      </c>
      <c r="Y64" s="215">
        <f>Cmoyen!T38</f>
        <v>149.803607214429</v>
      </c>
      <c r="Z64" s="216">
        <f>Cmoyen!U38</f>
        <v>446.601200218221</v>
      </c>
      <c r="AA64" s="147"/>
      <c r="AB64" s="147"/>
      <c r="AC64" s="147"/>
      <c r="AD64" s="147"/>
      <c r="AE64" s="147"/>
      <c r="AF64" s="147"/>
      <c r="AG64" s="147"/>
      <c r="AH64" s="147"/>
    </row>
    <row r="65" spans="1:34">
      <c r="A65" s="166" t="s">
        <v>67</v>
      </c>
      <c r="B65" s="262">
        <v>-6.699583</v>
      </c>
      <c r="C65" s="215">
        <v>0</v>
      </c>
      <c r="D65" s="215">
        <v>0</v>
      </c>
      <c r="E65" s="215">
        <v>0</v>
      </c>
      <c r="F65" s="215">
        <v>0</v>
      </c>
      <c r="G65" s="215">
        <v>0.0157486</v>
      </c>
      <c r="H65" s="216">
        <v>-6.343379</v>
      </c>
      <c r="J65" s="258" t="s">
        <v>68</v>
      </c>
      <c r="K65" s="262">
        <v>1448.17439904807</v>
      </c>
      <c r="L65" s="215">
        <v>324.651913417688</v>
      </c>
      <c r="M65" s="215">
        <v>-63.602998198222</v>
      </c>
      <c r="N65" s="215">
        <v>-26.3473253774038</v>
      </c>
      <c r="O65" s="215">
        <v>-42.8243571540985</v>
      </c>
      <c r="P65" s="215">
        <v>140.954516013007</v>
      </c>
      <c r="Q65" s="216">
        <v>2772.58796464638</v>
      </c>
      <c r="S65" s="258" t="s">
        <v>68</v>
      </c>
      <c r="T65" s="262">
        <f>Cmoyen!J16</f>
        <v>5.2022972339428</v>
      </c>
      <c r="U65" s="215">
        <f>Cmoyen!K16</f>
        <v>0</v>
      </c>
      <c r="V65" s="215">
        <f>Cmoyen!Q39</f>
        <v>0</v>
      </c>
      <c r="W65" s="215">
        <f>Cmoyen!R39</f>
        <v>0</v>
      </c>
      <c r="X65" s="215">
        <f>Cmoyen!S39</f>
        <v>0</v>
      </c>
      <c r="Y65" s="215">
        <f>Cmoyen!T39</f>
        <v>0.198396793587174</v>
      </c>
      <c r="Z65" s="216">
        <f>Cmoyen!U39</f>
        <v>11.9454446262957</v>
      </c>
      <c r="AA65" s="147"/>
      <c r="AB65" s="147"/>
      <c r="AC65" s="147"/>
      <c r="AD65" s="147"/>
      <c r="AE65" s="147"/>
      <c r="AF65" s="147"/>
      <c r="AG65" s="147"/>
      <c r="AH65" s="147"/>
    </row>
    <row r="66" spans="1:34">
      <c r="A66" s="166" t="s">
        <v>69</v>
      </c>
      <c r="B66" s="262">
        <v>-9.375196</v>
      </c>
      <c r="C66" s="215">
        <v>-67.04198</v>
      </c>
      <c r="D66" s="215">
        <v>-67.36474</v>
      </c>
      <c r="E66" s="215">
        <v>-168.8471</v>
      </c>
      <c r="F66" s="215">
        <v>-469.0312</v>
      </c>
      <c r="G66" s="215">
        <v>-276.3741</v>
      </c>
      <c r="H66" s="216">
        <v>65.56363</v>
      </c>
      <c r="J66" s="258" t="s">
        <v>70</v>
      </c>
      <c r="K66" s="262">
        <v>1445.49878604807</v>
      </c>
      <c r="L66" s="215">
        <v>257.609933417688</v>
      </c>
      <c r="M66" s="215">
        <v>-130.967738198222</v>
      </c>
      <c r="N66" s="215">
        <v>-195.194425377404</v>
      </c>
      <c r="O66" s="215">
        <v>-511.855557154099</v>
      </c>
      <c r="P66" s="215">
        <v>-135.435332586993</v>
      </c>
      <c r="Q66" s="216">
        <v>2844.49497364639</v>
      </c>
      <c r="S66" s="258" t="s">
        <v>70</v>
      </c>
      <c r="T66" s="262">
        <f>Cmoyen!J17</f>
        <v>1486.14721050164</v>
      </c>
      <c r="U66" s="215">
        <f>Cmoyen!K17</f>
        <v>902.000357653791</v>
      </c>
      <c r="V66" s="215">
        <f>Cmoyen!Q40</f>
        <v>348.284436493739</v>
      </c>
      <c r="W66" s="215">
        <f>Cmoyen!R40</f>
        <v>673.604183427192</v>
      </c>
      <c r="X66" s="215">
        <f>Cmoyen!S40</f>
        <v>1019.02261123268</v>
      </c>
      <c r="Y66" s="215">
        <f>Cmoyen!T40</f>
        <v>1362.09752839011</v>
      </c>
      <c r="Z66" s="216">
        <f>Cmoyen!U40</f>
        <v>2290.82651391162</v>
      </c>
      <c r="AA66" s="147"/>
      <c r="AB66" s="147"/>
      <c r="AC66" s="147"/>
      <c r="AD66" s="147"/>
      <c r="AE66" s="147"/>
      <c r="AF66" s="147"/>
      <c r="AG66" s="147"/>
      <c r="AH66" s="147"/>
    </row>
    <row r="67" spans="1:34">
      <c r="A67" s="166" t="s">
        <v>71</v>
      </c>
      <c r="B67" s="262">
        <v>134.8508</v>
      </c>
      <c r="C67" s="215">
        <v>9.930388</v>
      </c>
      <c r="D67" s="215">
        <v>31.53018</v>
      </c>
      <c r="E67" s="215">
        <v>47.39019</v>
      </c>
      <c r="F67" s="215">
        <v>44.41359</v>
      </c>
      <c r="G67" s="215">
        <v>-35.56989</v>
      </c>
      <c r="H67" s="216">
        <v>60.46097</v>
      </c>
      <c r="J67" s="258" t="s">
        <v>72</v>
      </c>
      <c r="K67" s="262">
        <v>1589.72478204807</v>
      </c>
      <c r="L67" s="215">
        <v>334.582301417688</v>
      </c>
      <c r="M67" s="215">
        <v>-32.072818198222</v>
      </c>
      <c r="N67" s="215">
        <v>21.0428646225962</v>
      </c>
      <c r="O67" s="215">
        <v>1.58923284590151</v>
      </c>
      <c r="P67" s="215">
        <v>105.368877413007</v>
      </c>
      <c r="Q67" s="216">
        <v>2839.39231364638</v>
      </c>
      <c r="S67" s="258" t="s">
        <v>72</v>
      </c>
      <c r="T67" s="262">
        <f>Cmoyen!J18</f>
        <v>117.499062353493</v>
      </c>
      <c r="U67" s="215">
        <f>Cmoyen!K18</f>
        <v>42.8201001430615</v>
      </c>
      <c r="V67" s="215">
        <f>Cmoyen!Q41</f>
        <v>67.5858676207513</v>
      </c>
      <c r="W67" s="215">
        <f>Cmoyen!R41</f>
        <v>116.996781979083</v>
      </c>
      <c r="X67" s="215">
        <f>Cmoyen!S41</f>
        <v>109.37345003647</v>
      </c>
      <c r="Y67" s="215">
        <f>Cmoyen!T41</f>
        <v>97.8450233800935</v>
      </c>
      <c r="Z67" s="216">
        <f>Cmoyen!U41</f>
        <v>56.4991816693944</v>
      </c>
      <c r="AA67" s="147"/>
      <c r="AB67" s="147"/>
      <c r="AC67" s="147"/>
      <c r="AD67" s="147"/>
      <c r="AE67" s="147"/>
      <c r="AF67" s="147"/>
      <c r="AG67" s="147"/>
      <c r="AH67" s="147"/>
    </row>
    <row r="68" spans="1:34">
      <c r="A68" s="166" t="s">
        <v>73</v>
      </c>
      <c r="B68" s="262">
        <v>-0.7216583</v>
      </c>
      <c r="C68" s="215">
        <v>0.3706409</v>
      </c>
      <c r="D68" s="215">
        <v>0.6614408</v>
      </c>
      <c r="E68" s="215">
        <v>-4.788807</v>
      </c>
      <c r="F68" s="215">
        <v>2.760952</v>
      </c>
      <c r="G68" s="215">
        <v>0.0876726</v>
      </c>
      <c r="H68" s="216">
        <v>1.385015</v>
      </c>
      <c r="J68" s="258" t="s">
        <v>74</v>
      </c>
      <c r="K68" s="262">
        <v>1454.15232374807</v>
      </c>
      <c r="L68" s="215">
        <v>325.022554317688</v>
      </c>
      <c r="M68" s="215">
        <v>-62.941557398222</v>
      </c>
      <c r="N68" s="215">
        <v>-31.1361323774038</v>
      </c>
      <c r="O68" s="215">
        <v>-40.0634051540985</v>
      </c>
      <c r="P68" s="215">
        <v>141.026440013007</v>
      </c>
      <c r="Q68" s="216">
        <v>2780.31635864638</v>
      </c>
      <c r="S68" s="258" t="s">
        <v>74</v>
      </c>
      <c r="T68" s="262">
        <f>Cmoyen!J19</f>
        <v>5.34739803094234</v>
      </c>
      <c r="U68" s="215">
        <f>Cmoyen!K19</f>
        <v>3.24964234620887</v>
      </c>
      <c r="V68" s="215">
        <f>Cmoyen!Q42</f>
        <v>0.923076923076923</v>
      </c>
      <c r="W68" s="215">
        <f>Cmoyen!R42</f>
        <v>1.93724859211585</v>
      </c>
      <c r="X68" s="215">
        <f>Cmoyen!S42</f>
        <v>3.15317286652079</v>
      </c>
      <c r="Y68" s="215">
        <f>Cmoyen!T42</f>
        <v>4.19305277221109</v>
      </c>
      <c r="Z68" s="216">
        <f>Cmoyen!U42</f>
        <v>9.74249863611566</v>
      </c>
      <c r="AA68" s="147"/>
      <c r="AB68" s="147"/>
      <c r="AC68" s="147"/>
    </row>
    <row r="69" spans="1:34">
      <c r="A69" s="166" t="s">
        <v>75</v>
      </c>
      <c r="B69" s="262">
        <v>-200.3526</v>
      </c>
      <c r="C69" s="215">
        <v>-33.51077</v>
      </c>
      <c r="D69" s="215">
        <v>-90.40554</v>
      </c>
      <c r="E69" s="215">
        <v>-165.5465</v>
      </c>
      <c r="F69" s="215">
        <v>-51.01762</v>
      </c>
      <c r="G69" s="215">
        <v>-109.8088</v>
      </c>
      <c r="H69" s="216">
        <v>-44.13976</v>
      </c>
      <c r="J69" s="258" t="s">
        <v>76</v>
      </c>
      <c r="K69" s="262">
        <v>1254.52138204807</v>
      </c>
      <c r="L69" s="215">
        <v>291.141143417687</v>
      </c>
      <c r="M69" s="215">
        <v>-154.008538198222</v>
      </c>
      <c r="N69" s="215">
        <v>-191.893825377404</v>
      </c>
      <c r="O69" s="215">
        <v>-93.8419771540985</v>
      </c>
      <c r="P69" s="215">
        <v>31.1299674130065</v>
      </c>
      <c r="Q69" s="216">
        <v>2734.79158364638</v>
      </c>
      <c r="S69" s="258" t="s">
        <v>76</v>
      </c>
      <c r="T69" s="262">
        <f>Cmoyen!J20</f>
        <v>920.945616502579</v>
      </c>
      <c r="U69" s="215">
        <f>Cmoyen!K20</f>
        <v>537.733905579399</v>
      </c>
      <c r="V69" s="215">
        <f>Cmoyen!Q43</f>
        <v>198.53488372093</v>
      </c>
      <c r="W69" s="215">
        <f>Cmoyen!R43</f>
        <v>362.521319388576</v>
      </c>
      <c r="X69" s="215">
        <f>Cmoyen!S43</f>
        <v>528.993435448578</v>
      </c>
      <c r="Y69" s="215">
        <f>Cmoyen!T43</f>
        <v>712.919171676687</v>
      </c>
      <c r="Z69" s="216">
        <f>Cmoyen!U43</f>
        <v>1618.76268412439</v>
      </c>
      <c r="AA69" s="147"/>
      <c r="AB69" s="147"/>
      <c r="AC69" s="147"/>
    </row>
    <row r="70" spans="1:34">
      <c r="A70" s="166" t="s">
        <v>77</v>
      </c>
      <c r="B70" s="262">
        <v>80.71498</v>
      </c>
      <c r="C70" s="215">
        <v>69.69001</v>
      </c>
      <c r="D70" s="215">
        <v>-20.92074</v>
      </c>
      <c r="E70" s="215">
        <v>-22.82428</v>
      </c>
      <c r="F70" s="215">
        <v>-33.27934</v>
      </c>
      <c r="G70" s="215">
        <v>27.04367</v>
      </c>
      <c r="H70" s="216">
        <v>3.830997</v>
      </c>
      <c r="J70" s="258" t="s">
        <v>78</v>
      </c>
      <c r="K70" s="262">
        <v>1535.58896204807</v>
      </c>
      <c r="L70" s="215">
        <v>394.341923417687</v>
      </c>
      <c r="M70" s="215">
        <v>-84.523738198222</v>
      </c>
      <c r="N70" s="215">
        <v>-49.1716053774039</v>
      </c>
      <c r="O70" s="215">
        <v>-76.1036971540985</v>
      </c>
      <c r="P70" s="215">
        <v>167.982437413007</v>
      </c>
      <c r="Q70" s="216">
        <v>2782.76234064638</v>
      </c>
      <c r="S70" s="258" t="s">
        <v>78</v>
      </c>
      <c r="T70" s="262">
        <f>Cmoyen!J21</f>
        <v>371.619081106423</v>
      </c>
      <c r="U70" s="215">
        <f>Cmoyen!K21</f>
        <v>275.067954220315</v>
      </c>
      <c r="V70" s="215">
        <f>Cmoyen!Q44</f>
        <v>172.828264758497</v>
      </c>
      <c r="W70" s="215">
        <f>Cmoyen!R44</f>
        <v>272.649235720032</v>
      </c>
      <c r="X70" s="215">
        <f>Cmoyen!S44</f>
        <v>324.886943836616</v>
      </c>
      <c r="Y70" s="215">
        <f>Cmoyen!T44</f>
        <v>331.337341349365</v>
      </c>
      <c r="Z70" s="216">
        <f>Cmoyen!U44</f>
        <v>480.556464811784</v>
      </c>
      <c r="AA70" s="147"/>
      <c r="AB70" s="147"/>
      <c r="AC70" s="147"/>
    </row>
    <row r="71" spans="1:34">
      <c r="A71" s="166" t="s">
        <v>79</v>
      </c>
      <c r="B71" s="262">
        <v>14.34002</v>
      </c>
      <c r="C71" s="215">
        <v>5.520504</v>
      </c>
      <c r="D71" s="215">
        <v>-3.128429</v>
      </c>
      <c r="E71" s="215">
        <v>-7.648489</v>
      </c>
      <c r="F71" s="215">
        <v>-7.195447</v>
      </c>
      <c r="G71" s="215">
        <v>-0.3456514</v>
      </c>
      <c r="H71" s="216">
        <v>47.11821</v>
      </c>
      <c r="J71" s="258" t="s">
        <v>80</v>
      </c>
      <c r="K71" s="262">
        <v>1469.21400204807</v>
      </c>
      <c r="L71" s="215">
        <v>330.172417417687</v>
      </c>
      <c r="M71" s="215">
        <v>-66.7314271982221</v>
      </c>
      <c r="N71" s="215">
        <v>-33.9958143774039</v>
      </c>
      <c r="O71" s="215">
        <v>-50.0198041540985</v>
      </c>
      <c r="P71" s="215">
        <v>140.593116013007</v>
      </c>
      <c r="Q71" s="216">
        <v>2826.04955364638</v>
      </c>
      <c r="S71" s="258" t="s">
        <v>80</v>
      </c>
      <c r="T71" s="262">
        <f>Cmoyen!J22</f>
        <v>41.2151898734177</v>
      </c>
      <c r="U71" s="215">
        <f>Cmoyen!K22</f>
        <v>33.7918454935622</v>
      </c>
      <c r="V71" s="215">
        <f>Cmoyen!Q45</f>
        <v>13.4275491949911</v>
      </c>
      <c r="W71" s="215">
        <f>Cmoyen!R45</f>
        <v>22.2083668543846</v>
      </c>
      <c r="X71" s="215">
        <f>Cmoyen!S45</f>
        <v>29.1196207148067</v>
      </c>
      <c r="Y71" s="215">
        <f>Cmoyen!T45</f>
        <v>35.6018704074816</v>
      </c>
      <c r="Z71" s="216">
        <f>Cmoyen!U45</f>
        <v>73.3606110201855</v>
      </c>
      <c r="AA71" s="147"/>
      <c r="AB71" s="147"/>
      <c r="AC71" s="147"/>
    </row>
    <row r="72" spans="1:34">
      <c r="A72" s="166" t="s">
        <v>81</v>
      </c>
      <c r="B72" s="262">
        <v>51.08326</v>
      </c>
      <c r="C72" s="215">
        <v>-5.302085</v>
      </c>
      <c r="D72" s="215">
        <v>-2.971127</v>
      </c>
      <c r="E72" s="215">
        <v>0.02791</v>
      </c>
      <c r="F72" s="215">
        <v>-23.08839</v>
      </c>
      <c r="G72" s="215">
        <v>-28.056</v>
      </c>
      <c r="H72" s="216">
        <v>109.2699</v>
      </c>
      <c r="J72" s="258" t="s">
        <v>82</v>
      </c>
      <c r="K72" s="262">
        <v>1505.95724204807</v>
      </c>
      <c r="L72" s="215">
        <v>319.349828417687</v>
      </c>
      <c r="M72" s="215">
        <v>-66.5741251982221</v>
      </c>
      <c r="N72" s="215">
        <v>-26.3194153774038</v>
      </c>
      <c r="O72" s="215">
        <v>-65.9127471540985</v>
      </c>
      <c r="P72" s="215">
        <v>112.882767413007</v>
      </c>
      <c r="Q72" s="216">
        <v>2888.20124364639</v>
      </c>
      <c r="S72" s="258" t="s">
        <v>82</v>
      </c>
      <c r="T72" s="262">
        <f>Cmoyen!J23</f>
        <v>177.496718237225</v>
      </c>
      <c r="U72" s="215">
        <f>Cmoyen!K23</f>
        <v>138.601931330472</v>
      </c>
      <c r="V72" s="215">
        <f>Cmoyen!Q46</f>
        <v>56.8407871198569</v>
      </c>
      <c r="W72" s="215">
        <f>Cmoyen!R46</f>
        <v>99.4754625905068</v>
      </c>
      <c r="X72" s="215">
        <f>Cmoyen!S46</f>
        <v>132.07366885485</v>
      </c>
      <c r="Y72" s="215">
        <f>Cmoyen!T46</f>
        <v>178.292585170341</v>
      </c>
      <c r="Z72" s="216">
        <f>Cmoyen!U46</f>
        <v>277.991816693944</v>
      </c>
      <c r="AA72" s="147"/>
      <c r="AB72" s="147"/>
      <c r="AC72" s="147"/>
    </row>
    <row r="73" spans="1:34">
      <c r="A73" s="166" t="s">
        <v>83</v>
      </c>
      <c r="B73" s="262">
        <v>-160.5285</v>
      </c>
      <c r="C73" s="215">
        <v>-11.44525</v>
      </c>
      <c r="D73" s="215">
        <v>-9.159247</v>
      </c>
      <c r="E73" s="215">
        <v>1.797376</v>
      </c>
      <c r="F73" s="215">
        <v>-50.27123</v>
      </c>
      <c r="G73" s="215">
        <v>-2.428149</v>
      </c>
      <c r="H73" s="216">
        <v>-285.7761</v>
      </c>
      <c r="J73" s="258" t="s">
        <v>84</v>
      </c>
      <c r="K73" s="262">
        <v>1294.34548204807</v>
      </c>
      <c r="L73" s="215">
        <v>313.206663417688</v>
      </c>
      <c r="M73" s="215">
        <v>-72.7622451982221</v>
      </c>
      <c r="N73" s="215">
        <v>-24.5499493774038</v>
      </c>
      <c r="O73" s="215">
        <v>-93.0955871540985</v>
      </c>
      <c r="P73" s="215">
        <v>138.510618413007</v>
      </c>
      <c r="Q73" s="216">
        <v>2493.15524364639</v>
      </c>
      <c r="S73" s="258" t="s">
        <v>84</v>
      </c>
      <c r="T73" s="262">
        <f>Cmoyen!J24</f>
        <v>73.4402250351617</v>
      </c>
      <c r="U73" s="215">
        <f>Cmoyen!K24</f>
        <v>38.733547925608</v>
      </c>
      <c r="V73" s="215">
        <f>Cmoyen!Q47</f>
        <v>14.2298747763864</v>
      </c>
      <c r="W73" s="215">
        <f>Cmoyen!R47</f>
        <v>27.4971842316975</v>
      </c>
      <c r="X73" s="215">
        <f>Cmoyen!S47</f>
        <v>34.8409919766594</v>
      </c>
      <c r="Y73" s="215">
        <f>Cmoyen!T47</f>
        <v>44.1676686706747</v>
      </c>
      <c r="Z73" s="216">
        <f>Cmoyen!U47</f>
        <v>140.54609929078</v>
      </c>
      <c r="AA73" s="147"/>
      <c r="AB73" s="147"/>
      <c r="AC73" s="147"/>
    </row>
    <row r="74" spans="1:34">
      <c r="A74" s="166" t="s">
        <v>85</v>
      </c>
      <c r="B74" s="262">
        <v>38.09565</v>
      </c>
      <c r="C74" s="215">
        <v>12.30695</v>
      </c>
      <c r="D74" s="215">
        <v>-8.923052</v>
      </c>
      <c r="E74" s="215">
        <v>-6.611664</v>
      </c>
      <c r="F74" s="215">
        <v>-20.51538</v>
      </c>
      <c r="G74" s="215">
        <v>28.4139</v>
      </c>
      <c r="H74" s="216">
        <v>36.03427</v>
      </c>
      <c r="J74" s="258" t="s">
        <v>86</v>
      </c>
      <c r="K74" s="262">
        <v>1492.96963204807</v>
      </c>
      <c r="L74" s="215">
        <v>336.958863417687</v>
      </c>
      <c r="M74" s="215">
        <v>-72.5260501982221</v>
      </c>
      <c r="N74" s="215">
        <v>-32.9589893774039</v>
      </c>
      <c r="O74" s="215">
        <v>-63.3397371540985</v>
      </c>
      <c r="P74" s="215">
        <v>169.352667413007</v>
      </c>
      <c r="Q74" s="216">
        <v>2814.96561364638</v>
      </c>
      <c r="S74" s="258" t="s">
        <v>86</v>
      </c>
      <c r="T74" s="262">
        <f>Cmoyen!J25</f>
        <v>75.5904828879512</v>
      </c>
      <c r="U74" s="215">
        <f>Cmoyen!K25</f>
        <v>39.5629470672389</v>
      </c>
      <c r="V74" s="215">
        <f>Cmoyen!Q48</f>
        <v>24.0527728085868</v>
      </c>
      <c r="W74" s="215">
        <f>Cmoyen!R48</f>
        <v>34.4014481094127</v>
      </c>
      <c r="X74" s="215">
        <f>Cmoyen!S48</f>
        <v>49.3741794310722</v>
      </c>
      <c r="Y74" s="215">
        <f>Cmoyen!T48</f>
        <v>92.6446225784903</v>
      </c>
      <c r="Z74" s="216">
        <f>Cmoyen!U48</f>
        <v>85.6813966175668</v>
      </c>
      <c r="AA74" s="147"/>
      <c r="AB74" s="147"/>
      <c r="AC74" s="147"/>
    </row>
    <row r="75" spans="1:34">
      <c r="A75" s="166" t="s">
        <v>87</v>
      </c>
      <c r="B75" s="262">
        <v>-38.98204</v>
      </c>
      <c r="C75" s="215">
        <v>-44.75477</v>
      </c>
      <c r="D75" s="215">
        <v>-0.026614</v>
      </c>
      <c r="E75" s="215">
        <v>-0.2006104</v>
      </c>
      <c r="F75" s="215">
        <v>-28.5365</v>
      </c>
      <c r="G75" s="215">
        <v>-15.27112</v>
      </c>
      <c r="H75" s="216">
        <v>-3.623119</v>
      </c>
      <c r="J75" s="258" t="s">
        <v>88</v>
      </c>
      <c r="K75" s="262">
        <v>1415.89194204807</v>
      </c>
      <c r="L75" s="215">
        <v>279.897143417688</v>
      </c>
      <c r="M75" s="215">
        <v>-63.629612198222</v>
      </c>
      <c r="N75" s="215">
        <v>-26.5479357774038</v>
      </c>
      <c r="O75" s="215">
        <v>-71.3608571540985</v>
      </c>
      <c r="P75" s="215">
        <v>125.667647413007</v>
      </c>
      <c r="Q75" s="216">
        <v>2775.30822464639</v>
      </c>
      <c r="S75" s="258" t="s">
        <v>88</v>
      </c>
      <c r="T75" s="262">
        <f>Cmoyen!J26</f>
        <v>129.793014533521</v>
      </c>
      <c r="U75" s="215">
        <f>Cmoyen!K26</f>
        <v>31.0107296137339</v>
      </c>
      <c r="V75" s="215">
        <f>Cmoyen!Q49</f>
        <v>8.88372093023256</v>
      </c>
      <c r="W75" s="215">
        <f>Cmoyen!R49</f>
        <v>15.0716009654063</v>
      </c>
      <c r="X75" s="215">
        <f>Cmoyen!S49</f>
        <v>36.6870897155361</v>
      </c>
      <c r="Y75" s="215">
        <f>Cmoyen!T49</f>
        <v>76.436873747495</v>
      </c>
      <c r="Z75" s="216">
        <f>Cmoyen!U49</f>
        <v>243.869612656847</v>
      </c>
      <c r="AA75" s="147"/>
      <c r="AB75" s="147"/>
      <c r="AC75" s="147"/>
    </row>
    <row r="76" spans="1:34">
      <c r="A76" s="166" t="s">
        <v>89</v>
      </c>
      <c r="B76" s="262">
        <v>52.97788</v>
      </c>
      <c r="C76" s="215">
        <v>2.075664</v>
      </c>
      <c r="D76" s="215">
        <v>1.790206</v>
      </c>
      <c r="E76" s="215">
        <v>-32.94566</v>
      </c>
      <c r="F76" s="215">
        <v>-76.09801</v>
      </c>
      <c r="G76" s="215">
        <v>19.51403</v>
      </c>
      <c r="H76" s="216">
        <v>127.1555</v>
      </c>
      <c r="J76" s="258" t="s">
        <v>90</v>
      </c>
      <c r="K76" s="262">
        <v>1507.85186204807</v>
      </c>
      <c r="L76" s="215">
        <v>326.727577417687</v>
      </c>
      <c r="M76" s="215">
        <v>-61.812792198222</v>
      </c>
      <c r="N76" s="215">
        <v>-59.2929853774038</v>
      </c>
      <c r="O76" s="215">
        <v>-118.922367154098</v>
      </c>
      <c r="P76" s="215">
        <v>160.452797413007</v>
      </c>
      <c r="Q76" s="216">
        <v>2906.08684364639</v>
      </c>
      <c r="S76" s="258" t="s">
        <v>90</v>
      </c>
      <c r="T76" s="262">
        <f>Cmoyen!J27</f>
        <v>426.344350679794</v>
      </c>
      <c r="U76" s="215">
        <f>Cmoyen!K27</f>
        <v>259.927038626609</v>
      </c>
      <c r="V76" s="215">
        <f>Cmoyen!Q50</f>
        <v>121.507155635063</v>
      </c>
      <c r="W76" s="215">
        <f>Cmoyen!R50</f>
        <v>217.738535800483</v>
      </c>
      <c r="X76" s="215">
        <f>Cmoyen!S50</f>
        <v>298.768052516411</v>
      </c>
      <c r="Y76" s="215">
        <f>Cmoyen!T50</f>
        <v>336.081496325985</v>
      </c>
      <c r="Z76" s="216">
        <f>Cmoyen!U50</f>
        <v>669.024549918167</v>
      </c>
      <c r="AA76" s="147"/>
      <c r="AB76" s="147"/>
      <c r="AC76" s="147"/>
    </row>
    <row r="77" spans="1:34">
      <c r="A77" s="166" t="s">
        <v>91</v>
      </c>
      <c r="B77" s="262">
        <v>1561.759</v>
      </c>
      <c r="C77" s="215">
        <v>1148.933</v>
      </c>
      <c r="D77" s="215">
        <v>1239.735</v>
      </c>
      <c r="E77" s="215">
        <v>1983.954</v>
      </c>
      <c r="F77" s="215">
        <v>2047.496</v>
      </c>
      <c r="G77" s="215">
        <v>3372.392</v>
      </c>
      <c r="H77" s="216">
        <v>1017.875</v>
      </c>
      <c r="J77" s="258" t="s">
        <v>92</v>
      </c>
      <c r="K77" s="262">
        <v>3016.63298204807</v>
      </c>
      <c r="L77" s="215">
        <v>1473.58491341769</v>
      </c>
      <c r="M77" s="215">
        <v>1176.13200180178</v>
      </c>
      <c r="N77" s="215">
        <v>1957.6066746226</v>
      </c>
      <c r="O77" s="215">
        <v>2004.6716428459</v>
      </c>
      <c r="P77" s="215">
        <v>3513.330767413</v>
      </c>
      <c r="Q77" s="216">
        <v>3796.80634364638</v>
      </c>
      <c r="S77" s="258" t="s">
        <v>92</v>
      </c>
      <c r="T77" s="262">
        <f>Cmoyen!J28</f>
        <v>7931.29231129864</v>
      </c>
      <c r="U77" s="215">
        <f>Cmoyen!K28</f>
        <v>2511.67238912732</v>
      </c>
      <c r="V77" s="215">
        <f>Cmoyen!Q51</f>
        <v>2330.77459749553</v>
      </c>
      <c r="W77" s="215">
        <f>Cmoyen!R51</f>
        <v>3377.69106999195</v>
      </c>
      <c r="X77" s="215">
        <f>Cmoyen!S51</f>
        <v>4478.98395331875</v>
      </c>
      <c r="Y77" s="215">
        <f>Cmoyen!T51</f>
        <v>5376.37541750167</v>
      </c>
      <c r="Z77" s="216">
        <f>Cmoyen!U51</f>
        <v>10836.9514457174</v>
      </c>
      <c r="AA77" s="147"/>
      <c r="AB77" s="147"/>
      <c r="AC77" s="147"/>
    </row>
    <row r="78" spans="1:34">
      <c r="A78" s="166" t="s">
        <v>93</v>
      </c>
      <c r="B78" s="262">
        <v>-487.5243</v>
      </c>
      <c r="C78" s="215">
        <v>-763.4414</v>
      </c>
      <c r="D78" s="215">
        <v>-341.383</v>
      </c>
      <c r="E78" s="215">
        <v>-120.1464</v>
      </c>
      <c r="F78" s="215">
        <v>-92.06539</v>
      </c>
      <c r="G78" s="215">
        <v>-674.9272</v>
      </c>
      <c r="H78" s="216">
        <v>-81.80655</v>
      </c>
      <c r="J78" s="258" t="s">
        <v>94</v>
      </c>
      <c r="K78" s="262">
        <v>967.34968204807</v>
      </c>
      <c r="L78" s="215">
        <v>-438.789486582313</v>
      </c>
      <c r="M78" s="215">
        <v>-404.985998198222</v>
      </c>
      <c r="N78" s="215">
        <v>-146.493725377404</v>
      </c>
      <c r="O78" s="215">
        <v>-134.889747154098</v>
      </c>
      <c r="P78" s="215">
        <v>-533.988432586993</v>
      </c>
      <c r="Q78" s="216">
        <v>2697.12479364638</v>
      </c>
      <c r="S78" s="258" t="s">
        <v>94</v>
      </c>
      <c r="T78" s="262">
        <f>Cmoyen!J29</f>
        <v>1566.31458040319</v>
      </c>
      <c r="U78" s="215">
        <f>Cmoyen!K29</f>
        <v>1601.96101573677</v>
      </c>
      <c r="V78" s="215">
        <f>Cmoyen!Q52</f>
        <v>444.008050089445</v>
      </c>
      <c r="W78" s="215">
        <f>Cmoyen!R52</f>
        <v>788.34835076428</v>
      </c>
      <c r="X78" s="215">
        <f>Cmoyen!S52</f>
        <v>1014.28738147338</v>
      </c>
      <c r="Y78" s="215">
        <f>Cmoyen!T52</f>
        <v>1645.27588510354</v>
      </c>
      <c r="Z78" s="216">
        <f>Cmoyen!U52</f>
        <v>3181.1767594108</v>
      </c>
      <c r="AA78" s="147"/>
      <c r="AB78" s="147"/>
      <c r="AC78" s="147"/>
    </row>
    <row r="79" spans="1:34">
      <c r="A79" s="166" t="s">
        <v>95</v>
      </c>
      <c r="B79" s="262">
        <v>2781.491</v>
      </c>
      <c r="C79" s="215">
        <v>1902.405</v>
      </c>
      <c r="D79" s="215">
        <v>681.7933</v>
      </c>
      <c r="E79" s="215">
        <v>955.1895</v>
      </c>
      <c r="F79" s="215">
        <v>1477.452</v>
      </c>
      <c r="G79" s="215">
        <v>1848.299</v>
      </c>
      <c r="H79" s="216">
        <v>3056.679</v>
      </c>
      <c r="J79" s="258" t="s">
        <v>96</v>
      </c>
      <c r="K79" s="262">
        <v>4236.36498204807</v>
      </c>
      <c r="L79" s="215">
        <v>2227.05691341768</v>
      </c>
      <c r="M79" s="215">
        <v>618.190301801778</v>
      </c>
      <c r="N79" s="215">
        <v>928.842174622596</v>
      </c>
      <c r="O79" s="215">
        <v>1434.6276428459</v>
      </c>
      <c r="P79" s="215">
        <v>1989.23776741301</v>
      </c>
      <c r="Q79" s="216">
        <v>5835.61034364639</v>
      </c>
      <c r="S79" s="258" t="s">
        <v>96</v>
      </c>
      <c r="T79" s="262">
        <f>Cmoyen!J30</f>
        <v>4528.05250820441</v>
      </c>
      <c r="U79" s="215">
        <f>Cmoyen!K30</f>
        <v>3887.79864091559</v>
      </c>
      <c r="V79" s="215">
        <f>Cmoyen!Q53</f>
        <v>3036.97316636852</v>
      </c>
      <c r="W79" s="215">
        <f>Cmoyen!R53</f>
        <v>3526.01609010459</v>
      </c>
      <c r="X79" s="215">
        <f>Cmoyen!S53</f>
        <v>4107.88621444201</v>
      </c>
      <c r="Y79" s="215">
        <f>Cmoyen!T53</f>
        <v>4340.77755511022</v>
      </c>
      <c r="Z79" s="216">
        <f>Cmoyen!U53</f>
        <v>5607.5979268958</v>
      </c>
      <c r="AA79" s="147"/>
      <c r="AB79" s="147"/>
      <c r="AC79" s="147"/>
    </row>
    <row r="80" spans="1:34">
      <c r="A80" s="166" t="s">
        <v>97</v>
      </c>
      <c r="B80" s="262">
        <v>0</v>
      </c>
      <c r="C80" s="215">
        <v>-0.0006298</v>
      </c>
      <c r="D80" s="215">
        <v>0</v>
      </c>
      <c r="E80" s="215">
        <v>0</v>
      </c>
      <c r="F80" s="215">
        <v>-0.0544218</v>
      </c>
      <c r="G80" s="215">
        <v>0</v>
      </c>
      <c r="H80" s="216">
        <v>0</v>
      </c>
      <c r="J80" s="258" t="s">
        <v>98</v>
      </c>
      <c r="K80" s="262">
        <v>1454.87398204807</v>
      </c>
      <c r="L80" s="215">
        <v>324.651283617688</v>
      </c>
      <c r="M80" s="215">
        <v>-63.602998198222</v>
      </c>
      <c r="N80" s="215">
        <v>-26.3473253774038</v>
      </c>
      <c r="O80" s="215">
        <v>-42.8787789540985</v>
      </c>
      <c r="P80" s="215">
        <v>140.938767413007</v>
      </c>
      <c r="Q80" s="216">
        <v>2778.93134364638</v>
      </c>
      <c r="S80" s="258" t="s">
        <v>98</v>
      </c>
      <c r="T80" s="262">
        <f>Cmoyen!J31</f>
        <v>0</v>
      </c>
      <c r="U80" s="215">
        <f>Cmoyen!K31</f>
        <v>0.0128755364806867</v>
      </c>
      <c r="V80" s="215">
        <f>Cmoyen!Q54</f>
        <v>0</v>
      </c>
      <c r="W80" s="215">
        <f>Cmoyen!R54</f>
        <v>0</v>
      </c>
      <c r="X80" s="215">
        <f>Cmoyen!S54</f>
        <v>0.0262582056892779</v>
      </c>
      <c r="Y80" s="215">
        <f>Cmoyen!T54</f>
        <v>0</v>
      </c>
      <c r="Z80" s="216">
        <f>Cmoyen!U54</f>
        <v>0</v>
      </c>
      <c r="AA80" s="147"/>
      <c r="AB80" s="147"/>
      <c r="AC80" s="147"/>
    </row>
    <row r="81" spans="1:29">
      <c r="A81" s="166" t="s">
        <v>99</v>
      </c>
      <c r="B81" s="262">
        <v>-333.5363</v>
      </c>
      <c r="C81" s="215">
        <v>-328.5997</v>
      </c>
      <c r="D81" s="215">
        <v>-18.53764</v>
      </c>
      <c r="E81" s="215">
        <v>-135.748</v>
      </c>
      <c r="F81" s="215">
        <v>-216.4793</v>
      </c>
      <c r="G81" s="215">
        <v>-427.7339</v>
      </c>
      <c r="H81" s="216">
        <v>-139.7732</v>
      </c>
      <c r="J81" s="258" t="s">
        <v>100</v>
      </c>
      <c r="K81" s="262">
        <v>1121.33768204807</v>
      </c>
      <c r="L81" s="215">
        <v>-3.9477865823124</v>
      </c>
      <c r="M81" s="215">
        <v>-82.1406381982221</v>
      </c>
      <c r="N81" s="215">
        <v>-162.095325377404</v>
      </c>
      <c r="O81" s="215">
        <v>-259.303657154099</v>
      </c>
      <c r="P81" s="215">
        <v>-286.795132586994</v>
      </c>
      <c r="Q81" s="216">
        <v>2639.15814364638</v>
      </c>
      <c r="S81" s="258" t="s">
        <v>100</v>
      </c>
      <c r="T81" s="262">
        <f>Cmoyen!J32</f>
        <v>803.58907641819</v>
      </c>
      <c r="U81" s="215">
        <f>Cmoyen!K32</f>
        <v>415.151645207439</v>
      </c>
      <c r="V81" s="215">
        <f>Cmoyen!Q55</f>
        <v>104.21824686941</v>
      </c>
      <c r="W81" s="215">
        <f>Cmoyen!R55</f>
        <v>230.399839098954</v>
      </c>
      <c r="X81" s="215">
        <f>Cmoyen!S55</f>
        <v>315.5587162655</v>
      </c>
      <c r="Y81" s="215">
        <f>Cmoyen!T55</f>
        <v>578.965263861055</v>
      </c>
      <c r="Z81" s="216">
        <f>Cmoyen!U55</f>
        <v>1574.81178396072</v>
      </c>
      <c r="AA81" s="147"/>
      <c r="AB81" s="147"/>
      <c r="AC81" s="147"/>
    </row>
    <row r="82" spans="1:29">
      <c r="A82" s="166" t="s">
        <v>101</v>
      </c>
      <c r="B82" s="262">
        <v>51.21313</v>
      </c>
      <c r="C82" s="215">
        <v>27.12999</v>
      </c>
      <c r="D82" s="215">
        <v>-29.33937</v>
      </c>
      <c r="E82" s="215">
        <v>-6.507685</v>
      </c>
      <c r="F82" s="215">
        <v>-33.29368</v>
      </c>
      <c r="G82" s="215">
        <v>3.81559</v>
      </c>
      <c r="H82" s="216">
        <v>153.714</v>
      </c>
      <c r="J82" s="258" t="s">
        <v>102</v>
      </c>
      <c r="K82" s="262">
        <v>1506.08711204807</v>
      </c>
      <c r="L82" s="215">
        <v>351.781903417687</v>
      </c>
      <c r="M82" s="215">
        <v>-92.9423681982221</v>
      </c>
      <c r="N82" s="215">
        <v>-32.8550103774038</v>
      </c>
      <c r="O82" s="215">
        <v>-76.1180371540985</v>
      </c>
      <c r="P82" s="215">
        <v>144.754357413007</v>
      </c>
      <c r="Q82" s="216">
        <v>2932.64534364638</v>
      </c>
      <c r="S82" s="258" t="s">
        <v>102</v>
      </c>
      <c r="T82" s="262">
        <f>Cmoyen!J33</f>
        <v>227.179324894515</v>
      </c>
      <c r="U82" s="215">
        <f>Cmoyen!K33</f>
        <v>231.201001430615</v>
      </c>
      <c r="V82" s="215">
        <f>Cmoyen!Q56</f>
        <v>101.615384615385</v>
      </c>
      <c r="W82" s="215">
        <f>Cmoyen!R56</f>
        <v>134.921962992759</v>
      </c>
      <c r="X82" s="215">
        <f>Cmoyen!S56</f>
        <v>193.570386579139</v>
      </c>
      <c r="Y82" s="215">
        <f>Cmoyen!T56</f>
        <v>241</v>
      </c>
      <c r="Z82" s="216">
        <f>Cmoyen!U56</f>
        <v>386.311511183852</v>
      </c>
      <c r="AA82" s="147"/>
      <c r="AB82" s="147"/>
      <c r="AC82" s="147"/>
    </row>
    <row r="83" spans="1:29">
      <c r="A83" s="166" t="s">
        <v>103</v>
      </c>
      <c r="B83" s="262">
        <v>59.73578</v>
      </c>
      <c r="C83" s="215">
        <v>-83.40288</v>
      </c>
      <c r="D83" s="215">
        <v>-11.64956</v>
      </c>
      <c r="E83" s="215">
        <v>-0.6388185</v>
      </c>
      <c r="F83" s="215">
        <v>-19.96261</v>
      </c>
      <c r="G83" s="215">
        <v>131.0447</v>
      </c>
      <c r="H83" s="216">
        <v>161.1801</v>
      </c>
      <c r="J83" s="258" t="s">
        <v>104</v>
      </c>
      <c r="K83" s="262">
        <v>1514.60976204807</v>
      </c>
      <c r="L83" s="215">
        <v>241.249033417688</v>
      </c>
      <c r="M83" s="215">
        <v>-75.252558198222</v>
      </c>
      <c r="N83" s="215">
        <v>-26.9861438774038</v>
      </c>
      <c r="O83" s="215">
        <v>-62.7869671540985</v>
      </c>
      <c r="P83" s="215">
        <v>271.983467413007</v>
      </c>
      <c r="Q83" s="216">
        <v>2940.11144364638</v>
      </c>
      <c r="S83" s="258" t="s">
        <v>104</v>
      </c>
      <c r="T83" s="262">
        <f>Cmoyen!J34</f>
        <v>515.284341303329</v>
      </c>
      <c r="U83" s="215">
        <f>Cmoyen!K34</f>
        <v>245.689556509299</v>
      </c>
      <c r="V83" s="215">
        <f>Cmoyen!Q57</f>
        <v>106.698568872987</v>
      </c>
      <c r="W83" s="215">
        <f>Cmoyen!R57</f>
        <v>170.440868865648</v>
      </c>
      <c r="X83" s="215">
        <f>Cmoyen!S57</f>
        <v>322.653537563822</v>
      </c>
      <c r="Y83" s="215">
        <f>Cmoyen!T57</f>
        <v>388.480961923848</v>
      </c>
      <c r="Z83" s="216">
        <f>Cmoyen!U57</f>
        <v>834.746317512275</v>
      </c>
      <c r="AA83" s="147"/>
      <c r="AB83" s="147"/>
      <c r="AC83" s="147"/>
    </row>
    <row r="84" spans="1:29">
      <c r="A84" s="166" t="s">
        <v>105</v>
      </c>
      <c r="B84" s="262">
        <v>-0.9401998</v>
      </c>
      <c r="C84" s="215">
        <v>-3.384532</v>
      </c>
      <c r="D84" s="215">
        <v>1.360645</v>
      </c>
      <c r="E84" s="215">
        <v>-12.57282</v>
      </c>
      <c r="F84" s="215">
        <v>0.6110164</v>
      </c>
      <c r="G84" s="215">
        <v>-1.609968</v>
      </c>
      <c r="H84" s="216">
        <v>17.10866</v>
      </c>
      <c r="J84" s="258" t="s">
        <v>106</v>
      </c>
      <c r="K84" s="262">
        <v>1453.93378224807</v>
      </c>
      <c r="L84" s="215">
        <v>321.267381417687</v>
      </c>
      <c r="M84" s="215">
        <v>-62.242353198222</v>
      </c>
      <c r="N84" s="215">
        <v>-38.9201453774039</v>
      </c>
      <c r="O84" s="215">
        <v>-42.2133407540985</v>
      </c>
      <c r="P84" s="215">
        <v>139.328799413007</v>
      </c>
      <c r="Q84" s="216">
        <v>2796.04000364639</v>
      </c>
      <c r="S84" s="258" t="s">
        <v>106</v>
      </c>
      <c r="T84" s="262">
        <f>Cmoyen!J35</f>
        <v>34.5269573370839</v>
      </c>
      <c r="U84" s="215">
        <f>Cmoyen!K35</f>
        <v>28.3129470672389</v>
      </c>
      <c r="V84" s="215">
        <f>Cmoyen!Q58</f>
        <v>12.5089445438283</v>
      </c>
      <c r="W84" s="215">
        <f>Cmoyen!R58</f>
        <v>17.0579243765084</v>
      </c>
      <c r="X84" s="215">
        <f>Cmoyen!S58</f>
        <v>19.5010940919037</v>
      </c>
      <c r="Y84" s="215">
        <f>Cmoyen!T58</f>
        <v>28.4455577822311</v>
      </c>
      <c r="Z84" s="216">
        <f>Cmoyen!U58</f>
        <v>66.5291871249318</v>
      </c>
      <c r="AB84" s="147"/>
      <c r="AC84" s="147"/>
    </row>
    <row r="85" spans="1:29">
      <c r="A85" s="166" t="s">
        <v>107</v>
      </c>
      <c r="B85" s="262">
        <v>-1.341994</v>
      </c>
      <c r="C85" s="215">
        <v>-0.7325289</v>
      </c>
      <c r="D85" s="215">
        <v>-0.2821456</v>
      </c>
      <c r="E85" s="215">
        <v>-2.737102</v>
      </c>
      <c r="F85" s="215">
        <v>-0.2732593</v>
      </c>
      <c r="G85" s="215">
        <v>-0.5079174</v>
      </c>
      <c r="H85" s="216">
        <v>0.1875749</v>
      </c>
      <c r="J85" s="258" t="s">
        <v>108</v>
      </c>
      <c r="K85" s="262">
        <v>1453.53198804807</v>
      </c>
      <c r="L85" s="215">
        <v>323.919384517687</v>
      </c>
      <c r="M85" s="215">
        <v>-63.885143798222</v>
      </c>
      <c r="N85" s="215">
        <v>-29.0844273774038</v>
      </c>
      <c r="O85" s="215">
        <v>-43.0976164540985</v>
      </c>
      <c r="P85" s="215">
        <v>140.430850013007</v>
      </c>
      <c r="Q85" s="216">
        <v>2779.11891854638</v>
      </c>
      <c r="S85" s="258" t="s">
        <v>108</v>
      </c>
      <c r="T85" s="262">
        <f>Cmoyen!J36</f>
        <v>2.21917487107361</v>
      </c>
      <c r="U85" s="215">
        <f>Cmoyen!K36</f>
        <v>2.689556509299</v>
      </c>
      <c r="V85" s="215">
        <f>Cmoyen!Q59</f>
        <v>0.547406082289803</v>
      </c>
      <c r="W85" s="215">
        <f>Cmoyen!R59</f>
        <v>1.63555913113435</v>
      </c>
      <c r="X85" s="215">
        <f>Cmoyen!S59</f>
        <v>1.2290299051787</v>
      </c>
      <c r="Y85" s="215">
        <f>Cmoyen!T59</f>
        <v>1.75818303273213</v>
      </c>
      <c r="Z85" s="216">
        <f>Cmoyen!U59</f>
        <v>5.46917621385706</v>
      </c>
      <c r="AB85" s="147"/>
      <c r="AC85" s="147"/>
    </row>
    <row r="86" spans="1:29">
      <c r="A86" s="166" t="s">
        <v>109</v>
      </c>
      <c r="B86" s="262">
        <v>301.1503</v>
      </c>
      <c r="C86" s="215">
        <v>137.1558</v>
      </c>
      <c r="D86" s="215">
        <v>-10.83238</v>
      </c>
      <c r="E86" s="215">
        <v>58.76441</v>
      </c>
      <c r="F86" s="215">
        <v>51.92827</v>
      </c>
      <c r="G86" s="215">
        <v>-27.99805</v>
      </c>
      <c r="H86" s="216">
        <v>394.6995</v>
      </c>
      <c r="J86" s="258" t="s">
        <v>110</v>
      </c>
      <c r="K86" s="262">
        <v>1756.02428204807</v>
      </c>
      <c r="L86" s="215">
        <v>461.807713417688</v>
      </c>
      <c r="M86" s="215">
        <v>-74.435378198222</v>
      </c>
      <c r="N86" s="215">
        <v>32.4170846225961</v>
      </c>
      <c r="O86" s="215">
        <v>9.1039128459015</v>
      </c>
      <c r="P86" s="215">
        <v>112.940717413007</v>
      </c>
      <c r="Q86" s="216">
        <v>3173.63084364638</v>
      </c>
      <c r="S86" s="258" t="s">
        <v>110</v>
      </c>
      <c r="T86" s="262">
        <f>Cmoyen!J37</f>
        <v>731.998827941866</v>
      </c>
      <c r="U86" s="215">
        <f>Cmoyen!K37</f>
        <v>631.241058655222</v>
      </c>
      <c r="V86" s="215">
        <f>Cmoyen!Q60</f>
        <v>382.698568872987</v>
      </c>
      <c r="W86" s="215">
        <f>Cmoyen!R60</f>
        <v>523.22445695897</v>
      </c>
      <c r="X86" s="215">
        <f>Cmoyen!S60</f>
        <v>628.622173595915</v>
      </c>
      <c r="Y86" s="215">
        <f>Cmoyen!T60</f>
        <v>725.942551770207</v>
      </c>
      <c r="Z86" s="216">
        <f>Cmoyen!U60</f>
        <v>1015.19639934534</v>
      </c>
      <c r="AB86" s="147"/>
      <c r="AC86" s="147"/>
    </row>
    <row r="87" spans="1:29">
      <c r="A87" s="166" t="s">
        <v>111</v>
      </c>
      <c r="B87" s="262">
        <v>-1.30596</v>
      </c>
      <c r="C87" s="215">
        <v>0.1343706</v>
      </c>
      <c r="D87" s="215">
        <v>-1.766045</v>
      </c>
      <c r="E87" s="215">
        <v>0</v>
      </c>
      <c r="F87" s="215">
        <v>0</v>
      </c>
      <c r="G87" s="215">
        <v>0</v>
      </c>
      <c r="H87" s="216">
        <v>0.5089304</v>
      </c>
      <c r="J87" s="258" t="s">
        <v>112</v>
      </c>
      <c r="K87" s="262">
        <v>1453.56802204807</v>
      </c>
      <c r="L87" s="215">
        <v>324.786284017687</v>
      </c>
      <c r="M87" s="215">
        <v>-65.369043198222</v>
      </c>
      <c r="N87" s="215">
        <v>-26.3473253774038</v>
      </c>
      <c r="O87" s="215">
        <v>-42.8243571540985</v>
      </c>
      <c r="P87" s="215">
        <v>140.938767413007</v>
      </c>
      <c r="Q87" s="216">
        <v>2779.44027404639</v>
      </c>
      <c r="S87" s="258" t="s">
        <v>112</v>
      </c>
      <c r="T87" s="262">
        <f>Cmoyen!J38</f>
        <v>2.14955461790905</v>
      </c>
      <c r="U87" s="215">
        <f>Cmoyen!K38</f>
        <v>0.160944206008584</v>
      </c>
      <c r="V87" s="215">
        <f>Cmoyen!Q61</f>
        <v>0.402504472271914</v>
      </c>
      <c r="W87" s="215">
        <f>Cmoyen!R61</f>
        <v>0</v>
      </c>
      <c r="X87" s="215">
        <f>Cmoyen!S61</f>
        <v>0</v>
      </c>
      <c r="Y87" s="215">
        <f>Cmoyen!T61</f>
        <v>0</v>
      </c>
      <c r="Z87" s="216">
        <f>Cmoyen!U61</f>
        <v>5.00272776868522</v>
      </c>
      <c r="AB87" s="147"/>
      <c r="AC87" s="147"/>
    </row>
    <row r="88" spans="1:29">
      <c r="A88" s="166" t="s">
        <v>113</v>
      </c>
      <c r="B88" s="262">
        <v>688.594</v>
      </c>
      <c r="C88" s="215">
        <v>112.2575</v>
      </c>
      <c r="D88" s="215">
        <v>-114.9394</v>
      </c>
      <c r="E88" s="215">
        <v>-51.40111</v>
      </c>
      <c r="F88" s="215">
        <v>121.4748</v>
      </c>
      <c r="G88" s="215">
        <v>121.4811</v>
      </c>
      <c r="H88" s="216">
        <v>579.4691</v>
      </c>
      <c r="J88" s="258" t="s">
        <v>114</v>
      </c>
      <c r="K88" s="262">
        <v>2143.46798204807</v>
      </c>
      <c r="L88" s="215">
        <v>436.909413417687</v>
      </c>
      <c r="M88" s="215">
        <v>-178.542398198222</v>
      </c>
      <c r="N88" s="215">
        <v>-77.7484353774039</v>
      </c>
      <c r="O88" s="215">
        <v>78.6504428459015</v>
      </c>
      <c r="P88" s="215">
        <v>262.419867413007</v>
      </c>
      <c r="Q88" s="216">
        <v>3358.40044364638</v>
      </c>
      <c r="S88" s="258" t="s">
        <v>114</v>
      </c>
      <c r="T88" s="262">
        <f>Cmoyen!J39</f>
        <v>1771.20721987811</v>
      </c>
      <c r="U88" s="215">
        <f>Cmoyen!K39</f>
        <v>633.640557939914</v>
      </c>
      <c r="V88" s="215">
        <f>Cmoyen!Q62</f>
        <v>518.722719141324</v>
      </c>
      <c r="W88" s="215">
        <f>Cmoyen!R62</f>
        <v>901.790828640386</v>
      </c>
      <c r="X88" s="215">
        <f>Cmoyen!S62</f>
        <v>1172.48358862144</v>
      </c>
      <c r="Y88" s="215">
        <f>Cmoyen!T62</f>
        <v>1365.03206412826</v>
      </c>
      <c r="Z88" s="216">
        <f>Cmoyen!U62</f>
        <v>2169.03600654664</v>
      </c>
      <c r="AB88" s="147"/>
      <c r="AC88" s="147"/>
    </row>
    <row r="89" spans="1:29">
      <c r="A89" s="166" t="s">
        <v>115</v>
      </c>
      <c r="B89" s="262">
        <v>171.3254</v>
      </c>
      <c r="C89" s="215">
        <v>-334.4338</v>
      </c>
      <c r="D89" s="215">
        <v>-391.0398</v>
      </c>
      <c r="E89" s="215">
        <v>-436.8277</v>
      </c>
      <c r="F89" s="215">
        <v>-636.8922</v>
      </c>
      <c r="G89" s="215">
        <v>-805.3051</v>
      </c>
      <c r="H89" s="216">
        <v>1083.991</v>
      </c>
      <c r="J89" s="258" t="s">
        <v>116</v>
      </c>
      <c r="K89" s="262">
        <v>1626.19938204807</v>
      </c>
      <c r="L89" s="215">
        <v>-9.78188658231244</v>
      </c>
      <c r="M89" s="215">
        <v>-454.642798198222</v>
      </c>
      <c r="N89" s="215">
        <v>-463.175025377404</v>
      </c>
      <c r="O89" s="215">
        <v>-679.716557154099</v>
      </c>
      <c r="P89" s="215">
        <v>-664.366332586994</v>
      </c>
      <c r="Q89" s="216">
        <v>3862.92234364638</v>
      </c>
      <c r="S89" s="258" t="s">
        <v>116</v>
      </c>
      <c r="T89" s="262">
        <f>Cmoyen!J40</f>
        <v>3096.27871542429</v>
      </c>
      <c r="U89" s="215">
        <f>Cmoyen!K40</f>
        <v>1748.84406294707</v>
      </c>
      <c r="V89" s="215">
        <f>Cmoyen!Q63</f>
        <v>699.932021466905</v>
      </c>
      <c r="W89" s="215">
        <f>Cmoyen!R63</f>
        <v>1302.16733708769</v>
      </c>
      <c r="X89" s="215">
        <f>Cmoyen!S63</f>
        <v>1851.69511305616</v>
      </c>
      <c r="Y89" s="215">
        <f>Cmoyen!T63</f>
        <v>2499.68804275217</v>
      </c>
      <c r="Z89" s="216">
        <f>Cmoyen!U63</f>
        <v>5137.29841789416</v>
      </c>
      <c r="AB89" s="147"/>
      <c r="AC89" s="147"/>
    </row>
    <row r="90" spans="1:29">
      <c r="A90" s="166" t="s">
        <v>117</v>
      </c>
      <c r="B90" s="262">
        <v>14.9422</v>
      </c>
      <c r="C90" s="215">
        <v>-69.44865</v>
      </c>
      <c r="D90" s="215">
        <v>2.2362</v>
      </c>
      <c r="E90" s="215">
        <v>0.3602</v>
      </c>
      <c r="F90" s="215">
        <v>-167.552</v>
      </c>
      <c r="G90" s="215">
        <v>-132.4003</v>
      </c>
      <c r="H90" s="216">
        <v>187.1555</v>
      </c>
      <c r="J90" s="258" t="s">
        <v>118</v>
      </c>
      <c r="K90" s="262">
        <v>1469.81618204807</v>
      </c>
      <c r="L90" s="215">
        <v>255.203263417687</v>
      </c>
      <c r="M90" s="215">
        <v>-61.366798198222</v>
      </c>
      <c r="N90" s="215">
        <v>-25.9871253774038</v>
      </c>
      <c r="O90" s="215">
        <v>-210.376357154098</v>
      </c>
      <c r="P90" s="215">
        <v>8.53846741300654</v>
      </c>
      <c r="Q90" s="216">
        <v>2966.08684364638</v>
      </c>
      <c r="S90" s="258" t="s">
        <v>118</v>
      </c>
      <c r="T90" s="262">
        <f>Cmoyen!J41</f>
        <v>165.291139240506</v>
      </c>
      <c r="U90" s="215">
        <f>Cmoyen!K41</f>
        <v>311.508583690987</v>
      </c>
      <c r="V90" s="215">
        <f>Cmoyen!Q64</f>
        <v>105.90518783542</v>
      </c>
      <c r="W90" s="215">
        <f>Cmoyen!R64</f>
        <v>127.532582461786</v>
      </c>
      <c r="X90" s="215">
        <f>Cmoyen!S64</f>
        <v>171.189642596645</v>
      </c>
      <c r="Y90" s="215">
        <f>Cmoyen!T64</f>
        <v>253.25918503674</v>
      </c>
      <c r="Z90" s="216">
        <f>Cmoyen!U64</f>
        <v>373.897981451173</v>
      </c>
      <c r="AB90" s="147"/>
      <c r="AC90" s="147"/>
    </row>
    <row r="91" spans="1:29">
      <c r="A91" s="166" t="s">
        <v>119</v>
      </c>
      <c r="B91" s="262">
        <v>-12008.81</v>
      </c>
      <c r="C91" s="215">
        <v>-5131.522</v>
      </c>
      <c r="D91" s="215">
        <v>-264.2173</v>
      </c>
      <c r="E91" s="215">
        <v>-787.672</v>
      </c>
      <c r="F91" s="215">
        <v>-923.4536</v>
      </c>
      <c r="G91" s="215">
        <v>-4279.376</v>
      </c>
      <c r="H91" s="216">
        <v>-18765.51</v>
      </c>
      <c r="J91" s="258" t="s">
        <v>120</v>
      </c>
      <c r="K91" s="262">
        <v>-10553.9360179519</v>
      </c>
      <c r="L91" s="215">
        <v>-4806.87008658231</v>
      </c>
      <c r="M91" s="215">
        <v>-327.820298198222</v>
      </c>
      <c r="N91" s="215">
        <v>-814.019325377404</v>
      </c>
      <c r="O91" s="215">
        <v>-966.277957154099</v>
      </c>
      <c r="P91" s="215">
        <v>-4138.43723258699</v>
      </c>
      <c r="Q91" s="216">
        <v>-15986.5786563536</v>
      </c>
      <c r="S91" s="258" t="s">
        <v>120</v>
      </c>
      <c r="T91" s="262">
        <f>Cmoyen!J42</f>
        <v>5071.94866385373</v>
      </c>
      <c r="U91" s="215">
        <f>Cmoyen!K42</f>
        <v>2133.73640915594</v>
      </c>
      <c r="V91" s="215">
        <f>Cmoyen!Q65</f>
        <v>257.614490161002</v>
      </c>
      <c r="W91" s="215">
        <f>Cmoyen!R65</f>
        <v>557.989541432019</v>
      </c>
      <c r="X91" s="215">
        <f>Cmoyen!S65</f>
        <v>895.593727206419</v>
      </c>
      <c r="Y91" s="215">
        <f>Cmoyen!T65</f>
        <v>2054.23580494322</v>
      </c>
      <c r="Z91" s="216">
        <f>Cmoyen!U65</f>
        <v>12175.7861429351</v>
      </c>
      <c r="AB91" s="147"/>
      <c r="AC91" s="147"/>
    </row>
    <row r="92" spans="1:29">
      <c r="A92" s="166" t="s">
        <v>121</v>
      </c>
      <c r="B92" s="262">
        <v>648.1957</v>
      </c>
      <c r="C92" s="215">
        <v>234.8112</v>
      </c>
      <c r="D92" s="215">
        <v>-245.9624</v>
      </c>
      <c r="E92" s="215">
        <v>-158.2888</v>
      </c>
      <c r="F92" s="215">
        <v>-188.1458</v>
      </c>
      <c r="G92" s="215">
        <v>332.7144</v>
      </c>
      <c r="H92" s="216">
        <v>1163.884</v>
      </c>
      <c r="J92" s="258" t="s">
        <v>122</v>
      </c>
      <c r="K92" s="262">
        <v>2103.06968204807</v>
      </c>
      <c r="L92" s="215">
        <v>559.463113417688</v>
      </c>
      <c r="M92" s="215">
        <v>-309.565398198222</v>
      </c>
      <c r="N92" s="215">
        <v>-184.636125377404</v>
      </c>
      <c r="O92" s="215">
        <v>-230.970157154099</v>
      </c>
      <c r="P92" s="215">
        <v>473.653167413007</v>
      </c>
      <c r="Q92" s="216">
        <v>3942.81534364638</v>
      </c>
      <c r="S92" s="258" t="s">
        <v>122</v>
      </c>
      <c r="T92" s="262">
        <f>Cmoyen!J43</f>
        <v>1121.67955930614</v>
      </c>
      <c r="U92" s="215">
        <f>Cmoyen!K43</f>
        <v>926.736766809728</v>
      </c>
      <c r="V92" s="215">
        <f>Cmoyen!Q66</f>
        <v>471.273703041145</v>
      </c>
      <c r="W92" s="215">
        <f>Cmoyen!R66</f>
        <v>686.584875301689</v>
      </c>
      <c r="X92" s="215">
        <f>Cmoyen!S66</f>
        <v>908.836615609045</v>
      </c>
      <c r="Y92" s="215">
        <f>Cmoyen!T66</f>
        <v>1191.51837007348</v>
      </c>
      <c r="Z92" s="216">
        <f>Cmoyen!U66</f>
        <v>1618.22913256956</v>
      </c>
      <c r="AB92" s="147"/>
      <c r="AC92" s="147"/>
    </row>
    <row r="93" spans="1:29">
      <c r="A93" s="166" t="s">
        <v>123</v>
      </c>
      <c r="B93" s="262">
        <v>-455.0977</v>
      </c>
      <c r="C93" s="215">
        <v>-578.1957</v>
      </c>
      <c r="D93" s="215">
        <v>-62.00241</v>
      </c>
      <c r="E93" s="215">
        <v>-165.4961</v>
      </c>
      <c r="F93" s="215">
        <v>-416.0622</v>
      </c>
      <c r="G93" s="215">
        <v>-374.1659</v>
      </c>
      <c r="H93" s="216">
        <v>-249.197</v>
      </c>
      <c r="J93" s="258" t="s">
        <v>124</v>
      </c>
      <c r="K93" s="262">
        <v>999.77628204807</v>
      </c>
      <c r="L93" s="215">
        <v>-253.543786582313</v>
      </c>
      <c r="M93" s="215">
        <v>-125.605408198222</v>
      </c>
      <c r="N93" s="215">
        <v>-191.843425377404</v>
      </c>
      <c r="O93" s="215">
        <v>-458.886557154098</v>
      </c>
      <c r="P93" s="215">
        <v>-233.227132586994</v>
      </c>
      <c r="Q93" s="216">
        <v>2529.73434364638</v>
      </c>
      <c r="S93" s="258" t="s">
        <v>124</v>
      </c>
      <c r="T93" s="262">
        <f>Cmoyen!J44</f>
        <v>2103.10478199719</v>
      </c>
      <c r="U93" s="215">
        <f>Cmoyen!K44</f>
        <v>827.909513590844</v>
      </c>
      <c r="V93" s="215">
        <f>Cmoyen!Q67</f>
        <v>347.782647584973</v>
      </c>
      <c r="W93" s="215">
        <f>Cmoyen!R67</f>
        <v>643.408688656476</v>
      </c>
      <c r="X93" s="215">
        <f>Cmoyen!S67</f>
        <v>935.231218088986</v>
      </c>
      <c r="Y93" s="215">
        <f>Cmoyen!T67</f>
        <v>1404.45691382766</v>
      </c>
      <c r="Z93" s="216">
        <f>Cmoyen!U67</f>
        <v>3662.53573376978</v>
      </c>
      <c r="AB93" s="147"/>
      <c r="AC93" s="147"/>
    </row>
    <row r="94" spans="1:29">
      <c r="A94" s="166" t="s">
        <v>125</v>
      </c>
      <c r="B94" s="262">
        <v>-134.1626</v>
      </c>
      <c r="C94" s="215">
        <v>31.14765</v>
      </c>
      <c r="D94" s="215">
        <v>17.81513</v>
      </c>
      <c r="E94" s="215">
        <v>122.1996</v>
      </c>
      <c r="F94" s="215">
        <v>82.50698</v>
      </c>
      <c r="G94" s="215">
        <v>49.75659</v>
      </c>
      <c r="H94" s="216">
        <v>-210.1017</v>
      </c>
      <c r="J94" s="258" t="s">
        <v>126</v>
      </c>
      <c r="K94" s="262">
        <v>1320.71138204807</v>
      </c>
      <c r="L94" s="215">
        <v>355.799563417688</v>
      </c>
      <c r="M94" s="215">
        <v>-45.787868198222</v>
      </c>
      <c r="N94" s="215">
        <v>95.8522746225961</v>
      </c>
      <c r="O94" s="215">
        <v>39.6826228459015</v>
      </c>
      <c r="P94" s="215">
        <v>190.695357413007</v>
      </c>
      <c r="Q94" s="216">
        <v>2568.82964364639</v>
      </c>
      <c r="S94" s="258" t="s">
        <v>126</v>
      </c>
      <c r="T94" s="262">
        <f>Cmoyen!J45</f>
        <v>396.53164556962</v>
      </c>
      <c r="U94" s="215">
        <f>Cmoyen!K45</f>
        <v>274.821173104435</v>
      </c>
      <c r="V94" s="215">
        <f>Cmoyen!Q68</f>
        <v>135.571556350626</v>
      </c>
      <c r="W94" s="215">
        <f>Cmoyen!R68</f>
        <v>215.298471440064</v>
      </c>
      <c r="X94" s="215">
        <f>Cmoyen!S68</f>
        <v>244.784099197666</v>
      </c>
      <c r="Y94" s="215">
        <f>Cmoyen!T68</f>
        <v>322.241148964596</v>
      </c>
      <c r="Z94" s="216">
        <f>Cmoyen!U68</f>
        <v>667.116748499727</v>
      </c>
      <c r="AB94" s="147"/>
      <c r="AC94" s="147"/>
    </row>
    <row r="95" spans="1:29">
      <c r="A95" s="166" t="s">
        <v>127</v>
      </c>
      <c r="B95" s="262">
        <v>-77.32935</v>
      </c>
      <c r="C95" s="215">
        <v>9.09077</v>
      </c>
      <c r="D95" s="215">
        <v>-53.35642</v>
      </c>
      <c r="E95" s="215">
        <v>0.22479</v>
      </c>
      <c r="F95" s="215">
        <v>-62.20818</v>
      </c>
      <c r="G95" s="215">
        <v>-0.7443456</v>
      </c>
      <c r="H95" s="216">
        <v>-104.7636</v>
      </c>
      <c r="J95" s="258" t="s">
        <v>128</v>
      </c>
      <c r="K95" s="262">
        <v>1377.54463204807</v>
      </c>
      <c r="L95" s="215">
        <v>333.742683417688</v>
      </c>
      <c r="M95" s="215">
        <v>-116.959418198222</v>
      </c>
      <c r="N95" s="215">
        <v>-26.1225353774038</v>
      </c>
      <c r="O95" s="215">
        <v>-105.032537154099</v>
      </c>
      <c r="P95" s="215">
        <v>140.194421813007</v>
      </c>
      <c r="Q95" s="216">
        <v>2674.16774364638</v>
      </c>
      <c r="S95" s="258" t="s">
        <v>128</v>
      </c>
      <c r="T95" s="262">
        <f>Cmoyen!J46</f>
        <v>83.4906235349273</v>
      </c>
      <c r="U95" s="215">
        <f>Cmoyen!K46</f>
        <v>67.0432761087268</v>
      </c>
      <c r="V95" s="215">
        <f>Cmoyen!Q69</f>
        <v>51.7683363148479</v>
      </c>
      <c r="W95" s="215">
        <f>Cmoyen!R69</f>
        <v>33.5897023330652</v>
      </c>
      <c r="X95" s="215">
        <f>Cmoyen!S69</f>
        <v>51.6571845368344</v>
      </c>
      <c r="Y95" s="215">
        <f>Cmoyen!T69</f>
        <v>51.2738810955244</v>
      </c>
      <c r="Z95" s="216">
        <f>Cmoyen!U69</f>
        <v>161.710856519367</v>
      </c>
      <c r="AB95" s="147"/>
      <c r="AC95" s="147"/>
    </row>
    <row r="96" spans="1:29">
      <c r="A96" s="166" t="s">
        <v>129</v>
      </c>
      <c r="B96" s="262">
        <v>-327.2479</v>
      </c>
      <c r="C96" s="215">
        <v>0.5325</v>
      </c>
      <c r="D96" s="215">
        <v>-8.430441</v>
      </c>
      <c r="E96" s="215">
        <v>0.3217126</v>
      </c>
      <c r="F96" s="215">
        <v>-83.13281</v>
      </c>
      <c r="G96" s="215">
        <v>-34.15221</v>
      </c>
      <c r="H96" s="216">
        <v>-407.2065</v>
      </c>
      <c r="J96" s="258" t="s">
        <v>130</v>
      </c>
      <c r="K96" s="262">
        <v>1127.62608204807</v>
      </c>
      <c r="L96" s="215">
        <v>325.184413417688</v>
      </c>
      <c r="M96" s="215">
        <v>-72.0334391982221</v>
      </c>
      <c r="N96" s="215">
        <v>-26.0256127774038</v>
      </c>
      <c r="O96" s="215">
        <v>-125.957167154098</v>
      </c>
      <c r="P96" s="215">
        <v>106.786557413007</v>
      </c>
      <c r="Q96" s="216">
        <v>2371.72484364638</v>
      </c>
      <c r="S96" s="258" t="s">
        <v>130</v>
      </c>
      <c r="T96" s="262">
        <f>Cmoyen!J47</f>
        <v>327.50070323488</v>
      </c>
      <c r="U96" s="215">
        <f>Cmoyen!K47</f>
        <v>44.2117310443491</v>
      </c>
      <c r="V96" s="215">
        <f>Cmoyen!Q70</f>
        <v>12.7844364937388</v>
      </c>
      <c r="W96" s="215">
        <f>Cmoyen!R70</f>
        <v>31.4979887369268</v>
      </c>
      <c r="X96" s="215">
        <f>Cmoyen!S70</f>
        <v>79.3544857768052</v>
      </c>
      <c r="Y96" s="215">
        <f>Cmoyen!T70</f>
        <v>118.223112892452</v>
      </c>
      <c r="Z96" s="216">
        <f>Cmoyen!U70</f>
        <v>644.57937806874</v>
      </c>
      <c r="AB96" s="147"/>
      <c r="AC96" s="147"/>
    </row>
    <row r="97" spans="1:29">
      <c r="A97" s="166" t="s">
        <v>131</v>
      </c>
      <c r="B97" s="262">
        <v>-438.8714</v>
      </c>
      <c r="C97" s="215">
        <v>-20.23885</v>
      </c>
      <c r="D97" s="215">
        <v>-25.28717</v>
      </c>
      <c r="E97" s="215">
        <v>-69.62969</v>
      </c>
      <c r="F97" s="215">
        <v>-181.4157</v>
      </c>
      <c r="G97" s="215">
        <v>-74.0653</v>
      </c>
      <c r="H97" s="216">
        <v>-543.0627</v>
      </c>
      <c r="J97" s="258" t="s">
        <v>132</v>
      </c>
      <c r="K97" s="262">
        <v>1016.00258204807</v>
      </c>
      <c r="L97" s="215">
        <v>304.413063417688</v>
      </c>
      <c r="M97" s="215">
        <v>-88.8901681982221</v>
      </c>
      <c r="N97" s="215">
        <v>-95.9770153774038</v>
      </c>
      <c r="O97" s="215">
        <v>-224.240057154098</v>
      </c>
      <c r="P97" s="215">
        <v>66.8734674130065</v>
      </c>
      <c r="Q97" s="216">
        <v>2235.86864364638</v>
      </c>
      <c r="S97" s="258" t="s">
        <v>132</v>
      </c>
      <c r="T97" s="262">
        <f>Cmoyen!J48</f>
        <v>387.093999062353</v>
      </c>
      <c r="U97" s="215">
        <f>Cmoyen!K48</f>
        <v>133.398426323319</v>
      </c>
      <c r="V97" s="215">
        <f>Cmoyen!Q71</f>
        <v>29.2647584973166</v>
      </c>
      <c r="W97" s="215">
        <f>Cmoyen!R71</f>
        <v>92.065164923572</v>
      </c>
      <c r="X97" s="215">
        <f>Cmoyen!S71</f>
        <v>130.17067833698</v>
      </c>
      <c r="Y97" s="215">
        <f>Cmoyen!T71</f>
        <v>179.595190380762</v>
      </c>
      <c r="Z97" s="216">
        <f>Cmoyen!U71</f>
        <v>780.061102018549</v>
      </c>
      <c r="AB97" s="147"/>
      <c r="AC97" s="147"/>
    </row>
    <row r="98" spans="1:29">
      <c r="A98" s="166" t="s">
        <v>133</v>
      </c>
      <c r="B98" s="262">
        <v>2.709244</v>
      </c>
      <c r="C98" s="215">
        <v>3.323541</v>
      </c>
      <c r="D98" s="215">
        <v>4.257425</v>
      </c>
      <c r="E98" s="215">
        <v>12.78626</v>
      </c>
      <c r="F98" s="215">
        <v>-9.613416</v>
      </c>
      <c r="G98" s="215">
        <v>2.144186</v>
      </c>
      <c r="H98" s="216">
        <v>2.900131</v>
      </c>
      <c r="J98" s="258" t="s">
        <v>134</v>
      </c>
      <c r="K98" s="262">
        <v>1457.58322604807</v>
      </c>
      <c r="L98" s="215">
        <v>327.975454417688</v>
      </c>
      <c r="M98" s="215">
        <v>-59.345573198222</v>
      </c>
      <c r="N98" s="215">
        <v>-13.5610653774038</v>
      </c>
      <c r="O98" s="215">
        <v>-52.4377731540985</v>
      </c>
      <c r="P98" s="215">
        <v>143.082953413007</v>
      </c>
      <c r="Q98" s="216">
        <v>2781.83147464638</v>
      </c>
      <c r="S98" s="258" t="s">
        <v>134</v>
      </c>
      <c r="T98" s="262">
        <f>Cmoyen!J49</f>
        <v>16.8347398030942</v>
      </c>
      <c r="U98" s="215">
        <f>Cmoyen!K49</f>
        <v>12.8018597997139</v>
      </c>
      <c r="V98" s="215">
        <f>Cmoyen!Q72</f>
        <v>9.47227191413238</v>
      </c>
      <c r="W98" s="215">
        <f>Cmoyen!R72</f>
        <v>12.5736122284795</v>
      </c>
      <c r="X98" s="215">
        <f>Cmoyen!S72</f>
        <v>16.1794310722101</v>
      </c>
      <c r="Y98" s="215">
        <f>Cmoyen!T72</f>
        <v>8.08951235804943</v>
      </c>
      <c r="Z98" s="216">
        <f>Cmoyen!U72</f>
        <v>25.6955810147299</v>
      </c>
      <c r="AB98" s="147"/>
      <c r="AC98" s="147"/>
    </row>
    <row r="99" ht="15.15" spans="1:29">
      <c r="A99" s="166" t="s">
        <v>135</v>
      </c>
      <c r="B99" s="263">
        <v>-1134.433</v>
      </c>
      <c r="C99" s="222">
        <v>38.07226</v>
      </c>
      <c r="D99" s="222">
        <v>37.52521</v>
      </c>
      <c r="E99" s="222">
        <v>-44.95561</v>
      </c>
      <c r="F99" s="222">
        <v>-166.0946</v>
      </c>
      <c r="G99" s="222">
        <v>-351.36</v>
      </c>
      <c r="H99" s="219">
        <v>-1972.153</v>
      </c>
      <c r="J99" s="259" t="s">
        <v>136</v>
      </c>
      <c r="K99" s="263">
        <v>320.440982048066</v>
      </c>
      <c r="L99" s="222">
        <v>362.724173417688</v>
      </c>
      <c r="M99" s="222">
        <v>-26.0777881982221</v>
      </c>
      <c r="N99" s="222">
        <v>-71.3029353774038</v>
      </c>
      <c r="O99" s="222">
        <v>-208.918957154098</v>
      </c>
      <c r="P99" s="222">
        <v>-210.421232586993</v>
      </c>
      <c r="Q99" s="219">
        <v>806.778343646379</v>
      </c>
      <c r="S99" s="259" t="s">
        <v>136</v>
      </c>
      <c r="T99" s="263">
        <f>Cmoyen!J50</f>
        <v>2144.44116268167</v>
      </c>
      <c r="U99" s="222">
        <f>Cmoyen!K50</f>
        <v>534.007868383405</v>
      </c>
      <c r="V99" s="222">
        <f>Cmoyen!Q73</f>
        <v>527.777280858676</v>
      </c>
      <c r="W99" s="222">
        <f>Cmoyen!R73</f>
        <v>703.678197908286</v>
      </c>
      <c r="X99" s="222">
        <f>Cmoyen!S73</f>
        <v>953.043034281546</v>
      </c>
      <c r="Y99" s="222">
        <f>Cmoyen!T73</f>
        <v>1103.29458917836</v>
      </c>
      <c r="Z99" s="219">
        <f>Cmoyen!U73</f>
        <v>3392.41189307147</v>
      </c>
      <c r="AB99" s="147"/>
      <c r="AC99" s="147"/>
    </row>
  </sheetData>
  <conditionalFormatting sqref="J51:Q51">
    <cfRule type="cellIs" dxfId="0" priority="4" operator="equal">
      <formula>0</formula>
    </cfRule>
  </conditionalFormatting>
  <conditionalFormatting sqref="S51:Z51">
    <cfRule type="cellIs" dxfId="0" priority="3" operator="equal">
      <formula>0</formula>
    </cfRule>
  </conditionalFormatting>
  <conditionalFormatting sqref="$A1:$XFD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9"/>
  <sheetViews>
    <sheetView topLeftCell="E39" workbookViewId="0">
      <selection activeCell="J1" sqref="J1:Z64"/>
    </sheetView>
  </sheetViews>
  <sheetFormatPr defaultColWidth="8" defaultRowHeight="14.4"/>
  <cols>
    <col min="1" max="1" width="8.57407407407407" customWidth="1"/>
    <col min="2" max="2" width="11" customWidth="1"/>
    <col min="3" max="4" width="11.712962962963" customWidth="1"/>
    <col min="5" max="6" width="10.712962962963" customWidth="1"/>
    <col min="7" max="7" width="11.712962962963" customWidth="1"/>
    <col min="8" max="8" width="12.712962962963" customWidth="1"/>
    <col min="10" max="10" width="9" customWidth="1"/>
    <col min="11" max="12" width="6.13888888888889" customWidth="1"/>
    <col min="13" max="13" width="5.42592592592593" customWidth="1"/>
    <col min="14" max="17" width="6.13888888888889" customWidth="1"/>
    <col min="19" max="19" width="9" style="209" customWidth="1"/>
    <col min="20" max="21" width="6.57407407407407" style="209" customWidth="1"/>
    <col min="22" max="22" width="7.28703703703704" style="209" customWidth="1"/>
    <col min="23" max="23" width="6.28703703703704" style="209" customWidth="1"/>
    <col min="24" max="24" width="8.71296296296296" style="209" customWidth="1"/>
    <col min="25" max="25" width="6.42592592592593" style="209" customWidth="1"/>
    <col min="26" max="26" width="8" style="209" customWidth="1"/>
    <col min="27" max="27" width="8" style="209"/>
    <col min="28" max="28" width="4.28703703703704" style="209" customWidth="1"/>
    <col min="29" max="35" width="12" style="209" customWidth="1"/>
    <col min="36" max="36" width="9.57407407407407" style="209" customWidth="1"/>
    <col min="37" max="16384" width="8" style="209"/>
  </cols>
  <sheetData>
    <row r="1" customFormat="1" ht="43.95" spans="1:36">
      <c r="A1" t="s">
        <v>35</v>
      </c>
      <c r="B1" s="241" t="s">
        <v>1</v>
      </c>
      <c r="C1" s="211" t="s">
        <v>2</v>
      </c>
      <c r="D1" s="211" t="s">
        <v>3</v>
      </c>
      <c r="E1" s="211" t="s">
        <v>4</v>
      </c>
      <c r="F1" s="211" t="s">
        <v>5</v>
      </c>
      <c r="G1" s="211" t="s">
        <v>6</v>
      </c>
      <c r="H1" s="242" t="s">
        <v>7</v>
      </c>
      <c r="J1" s="243" t="s">
        <v>36</v>
      </c>
      <c r="K1" s="159" t="s">
        <v>1</v>
      </c>
      <c r="L1" s="160" t="s">
        <v>2</v>
      </c>
      <c r="M1" s="98" t="s">
        <v>3</v>
      </c>
      <c r="N1" s="98" t="s">
        <v>4</v>
      </c>
      <c r="O1" s="98" t="s">
        <v>5</v>
      </c>
      <c r="P1" s="98" t="s">
        <v>6</v>
      </c>
      <c r="Q1" s="160" t="s">
        <v>7</v>
      </c>
      <c r="R1" s="206"/>
      <c r="S1" s="243" t="s">
        <v>37</v>
      </c>
      <c r="T1" s="159" t="s">
        <v>1</v>
      </c>
      <c r="U1" s="160" t="s">
        <v>2</v>
      </c>
      <c r="V1" s="98" t="s">
        <v>3</v>
      </c>
      <c r="W1" s="98" t="s">
        <v>4</v>
      </c>
      <c r="X1" s="98" t="s">
        <v>5</v>
      </c>
      <c r="Y1" s="98" t="s">
        <v>6</v>
      </c>
      <c r="Z1" s="160" t="s">
        <v>7</v>
      </c>
      <c r="AB1" s="98" t="s">
        <v>10</v>
      </c>
      <c r="AC1" s="211" t="s">
        <v>1</v>
      </c>
      <c r="AD1" s="211" t="s">
        <v>2</v>
      </c>
      <c r="AE1" s="211" t="s">
        <v>150</v>
      </c>
      <c r="AF1" s="211" t="s">
        <v>151</v>
      </c>
      <c r="AG1" s="211" t="s">
        <v>152</v>
      </c>
      <c r="AH1" s="211" t="s">
        <v>153</v>
      </c>
      <c r="AI1" s="242" t="s">
        <v>154</v>
      </c>
      <c r="AJ1" t="s">
        <v>38</v>
      </c>
    </row>
    <row r="2" customFormat="1" spans="1:36">
      <c r="A2" s="163" t="s">
        <v>42</v>
      </c>
      <c r="B2" s="163">
        <v>0.0195875</v>
      </c>
      <c r="C2" s="244">
        <v>0.0367566</v>
      </c>
      <c r="D2" s="244">
        <v>0.0740258</v>
      </c>
      <c r="E2" s="244">
        <v>0.0620019</v>
      </c>
      <c r="F2" s="244">
        <v>0.0554708</v>
      </c>
      <c r="G2" s="244">
        <v>0.0419979</v>
      </c>
      <c r="H2" s="245">
        <v>0.01785</v>
      </c>
      <c r="J2" s="163" t="s">
        <v>42</v>
      </c>
      <c r="K2" s="246">
        <f>IF(AC2=0,0,B2/AC2)</f>
        <v>0.365307134954151</v>
      </c>
      <c r="L2" s="247">
        <f t="shared" ref="L2:Q2" si="0">IF(AD2=0,0,C2/AD2)</f>
        <v>0.488479868309721</v>
      </c>
      <c r="M2" s="248">
        <f t="shared" si="0"/>
        <v>0.7982110980762</v>
      </c>
      <c r="N2" s="248">
        <f t="shared" si="0"/>
        <v>0.741476766014754</v>
      </c>
      <c r="O2" s="248">
        <f t="shared" si="0"/>
        <v>0.740504712396777</v>
      </c>
      <c r="P2" s="248">
        <f t="shared" si="0"/>
        <v>0.63879992310257</v>
      </c>
      <c r="Q2" s="247">
        <f t="shared" si="0"/>
        <v>0.434487455769263</v>
      </c>
      <c r="S2" s="163" t="s">
        <v>42</v>
      </c>
      <c r="T2" s="246">
        <f>IF(T67=0,0,((1-B2)*(K67/T67))-1)</f>
        <v>-0.282466956004402</v>
      </c>
      <c r="U2" s="247">
        <f t="shared" ref="U2:Z2" si="1">IF(U67=0,0,((1-C2)*(L67/U67))-1)</f>
        <v>-0.457854251199828</v>
      </c>
      <c r="V2" s="248">
        <f t="shared" si="1"/>
        <v>-0.829392473956521</v>
      </c>
      <c r="W2" s="248">
        <f t="shared" si="1"/>
        <v>-0.761219820753202</v>
      </c>
      <c r="X2" s="248">
        <f t="shared" si="1"/>
        <v>-0.768355398164288</v>
      </c>
      <c r="Y2" s="248">
        <f t="shared" si="1"/>
        <v>-0.640892352806296</v>
      </c>
      <c r="Z2" s="247">
        <f t="shared" si="1"/>
        <v>-0.303309511881771</v>
      </c>
      <c r="AB2" s="163" t="s">
        <v>42</v>
      </c>
      <c r="AC2" s="244">
        <v>0.0536192647933317</v>
      </c>
      <c r="AD2" s="244">
        <v>0.075246908592545</v>
      </c>
      <c r="AE2" s="244">
        <v>0.0927396276228338</v>
      </c>
      <c r="AF2" s="244">
        <v>0.0836194778337347</v>
      </c>
      <c r="AG2" s="244">
        <v>0.0749094490168182</v>
      </c>
      <c r="AH2" s="244">
        <v>0.0657449985216365</v>
      </c>
      <c r="AI2" s="245">
        <v>0.0410828891904289</v>
      </c>
      <c r="AJ2" t="s">
        <v>155</v>
      </c>
    </row>
    <row r="3" customFormat="1" spans="1:36">
      <c r="A3" s="166" t="s">
        <v>44</v>
      </c>
      <c r="B3" s="166">
        <v>0.0180563</v>
      </c>
      <c r="C3" s="147">
        <v>0.0205408</v>
      </c>
      <c r="D3" s="147">
        <v>0.0309675</v>
      </c>
      <c r="E3" s="147">
        <v>0.02887</v>
      </c>
      <c r="F3" s="147">
        <v>0.0288493</v>
      </c>
      <c r="G3" s="147">
        <v>0.0270277</v>
      </c>
      <c r="H3" s="220">
        <v>0.0147922</v>
      </c>
      <c r="J3" s="166" t="s">
        <v>44</v>
      </c>
      <c r="K3" s="249">
        <f t="shared" ref="K3:K64" si="2">IF(AC3=0,0,B3/AC3)</f>
        <v>0.559471946409486</v>
      </c>
      <c r="L3" s="250">
        <f t="shared" ref="L3:L64" si="3">IF(AD3=0,0,C3/AD3)</f>
        <v>0.706870583159517</v>
      </c>
      <c r="M3" s="251">
        <f t="shared" ref="M3:M64" si="4">IF(AE3=0,0,D3/AE3)</f>
        <v>1.01307597435624</v>
      </c>
      <c r="N3" s="251">
        <f t="shared" ref="N3:N64" si="5">IF(AF3=0,0,E3/AF3)</f>
        <v>0.835541431505988</v>
      </c>
      <c r="O3" s="251">
        <f t="shared" ref="O3:O64" si="6">IF(AG3=0,0,F3/AG3)</f>
        <v>0.812772685424538</v>
      </c>
      <c r="P3" s="251">
        <f t="shared" ref="P3:P64" si="7">IF(AH3=0,0,G3/AH3)</f>
        <v>0.782061283479901</v>
      </c>
      <c r="Q3" s="250">
        <f t="shared" ref="Q3:Q64" si="8">IF(AI3=0,0,H3/AI3)</f>
        <v>0.524755431542863</v>
      </c>
      <c r="S3" s="166" t="s">
        <v>44</v>
      </c>
      <c r="T3" s="249">
        <f t="shared" ref="T3:T64" si="9">IF(T68=0,0,((1-B3)*(K68/T68))-1)</f>
        <v>-0.408895064088387</v>
      </c>
      <c r="U3" s="250">
        <f t="shared" ref="U3:U64" si="10">IF(U68=0,0,((1-C3)*(L68/U68))-1)</f>
        <v>-0.582747187756406</v>
      </c>
      <c r="V3" s="251">
        <f t="shared" ref="V3:V64" si="11">IF(V68=0,0,((1-D3)*(M68/V68))-1)</f>
        <v>-1.0642447545519</v>
      </c>
      <c r="W3" s="251">
        <f t="shared" ref="W3:W64" si="12">IF(W68=0,0,((1-E3)*(N68/W68))-1)</f>
        <v>-0.84959700394749</v>
      </c>
      <c r="X3" s="251">
        <f t="shared" ref="X3:X64" si="13">IF(X68=0,0,((1-F3)*(O68/X68))-1)</f>
        <v>-0.847371774659632</v>
      </c>
      <c r="Y3" s="251">
        <f t="shared" ref="Y3:Y64" si="14">IF(Y68=0,0,((1-G3)*(P68/Y68))-1)</f>
        <v>-0.762684226715835</v>
      </c>
      <c r="Z3" s="250">
        <f t="shared" ref="Z3:Z64" si="15">IF(Z68=0,0,((1-H3)*(Q68/Z68))-1)</f>
        <v>-0.325252710218884</v>
      </c>
      <c r="AB3" s="166" t="s">
        <v>44</v>
      </c>
      <c r="AC3" s="147">
        <v>0.0322738255526119</v>
      </c>
      <c r="AD3" s="147">
        <v>0.0290587845772111</v>
      </c>
      <c r="AE3" s="147">
        <v>0.0305677962797197</v>
      </c>
      <c r="AF3" s="147">
        <v>0.0345524457691636</v>
      </c>
      <c r="AG3" s="147">
        <v>0.0354949182192695</v>
      </c>
      <c r="AH3" s="147">
        <v>0.0345595678637052</v>
      </c>
      <c r="AI3" s="220">
        <v>0.0281887506271419</v>
      </c>
      <c r="AJ3" t="s">
        <v>156</v>
      </c>
    </row>
    <row r="4" customFormat="1" spans="1:36">
      <c r="A4" s="166" t="s">
        <v>46</v>
      </c>
      <c r="B4" s="166">
        <v>0.0097289</v>
      </c>
      <c r="C4" s="147">
        <v>0.0269781</v>
      </c>
      <c r="D4" s="147">
        <v>0.0578651</v>
      </c>
      <c r="E4" s="147">
        <v>0.0434876</v>
      </c>
      <c r="F4" s="147">
        <v>0.0360239</v>
      </c>
      <c r="G4" s="147">
        <v>0.0256144</v>
      </c>
      <c r="H4" s="220">
        <v>0.006658</v>
      </c>
      <c r="J4" s="166" t="s">
        <v>46</v>
      </c>
      <c r="K4" s="249">
        <f t="shared" si="2"/>
        <v>0.299468308304671</v>
      </c>
      <c r="L4" s="250">
        <f t="shared" si="3"/>
        <v>0.470007536309416</v>
      </c>
      <c r="M4" s="251">
        <f t="shared" si="4"/>
        <v>0.913986834350095</v>
      </c>
      <c r="N4" s="251">
        <f t="shared" si="5"/>
        <v>0.782138511037682</v>
      </c>
      <c r="O4" s="251">
        <f t="shared" si="6"/>
        <v>0.72513372248751</v>
      </c>
      <c r="P4" s="251">
        <f t="shared" si="7"/>
        <v>0.593170301213774</v>
      </c>
      <c r="Q4" s="250">
        <f t="shared" si="8"/>
        <v>0.251652258140037</v>
      </c>
      <c r="S4" s="166" t="s">
        <v>46</v>
      </c>
      <c r="T4" s="249">
        <f t="shared" si="9"/>
        <v>-0.147457526728034</v>
      </c>
      <c r="U4" s="250">
        <f t="shared" si="10"/>
        <v>-0.418850981832483</v>
      </c>
      <c r="V4" s="251">
        <f t="shared" si="11"/>
        <v>-0.943173874482271</v>
      </c>
      <c r="W4" s="251">
        <f t="shared" si="12"/>
        <v>-0.797309322922654</v>
      </c>
      <c r="X4" s="251">
        <f t="shared" si="13"/>
        <v>-0.755744434490836</v>
      </c>
      <c r="Y4" s="251">
        <f t="shared" si="14"/>
        <v>-0.583339421623501</v>
      </c>
      <c r="Z4" s="250">
        <f t="shared" si="15"/>
        <v>-0.0347652469506732</v>
      </c>
      <c r="AB4" s="166" t="s">
        <v>46</v>
      </c>
      <c r="AC4" s="147">
        <v>0.0324872439927836</v>
      </c>
      <c r="AD4" s="147">
        <v>0.0573992923854731</v>
      </c>
      <c r="AE4" s="147">
        <v>0.0633106493718216</v>
      </c>
      <c r="AF4" s="147">
        <v>0.0556008934303771</v>
      </c>
      <c r="AG4" s="147">
        <v>0.0496789749019299</v>
      </c>
      <c r="AH4" s="147">
        <v>0.0431822023921066</v>
      </c>
      <c r="AI4" s="220">
        <v>0.0264571438746837</v>
      </c>
      <c r="AJ4" t="s">
        <v>157</v>
      </c>
    </row>
    <row r="5" customFormat="1" spans="1:36">
      <c r="A5" s="166" t="s">
        <v>48</v>
      </c>
      <c r="B5" s="166">
        <v>0.0446583</v>
      </c>
      <c r="C5" s="147">
        <v>0.0887762</v>
      </c>
      <c r="D5" s="147">
        <v>0.1327872</v>
      </c>
      <c r="E5" s="147">
        <v>0.1123262</v>
      </c>
      <c r="F5" s="147">
        <v>0.1048248</v>
      </c>
      <c r="G5" s="147">
        <v>0.0926668</v>
      </c>
      <c r="H5" s="220">
        <v>0.0378701</v>
      </c>
      <c r="J5" s="166" t="s">
        <v>48</v>
      </c>
      <c r="K5" s="249">
        <f t="shared" si="2"/>
        <v>0.55824663972322</v>
      </c>
      <c r="L5" s="250">
        <f t="shared" si="3"/>
        <v>0.797464009573901</v>
      </c>
      <c r="M5" s="251">
        <f t="shared" si="4"/>
        <v>1.1930253327233</v>
      </c>
      <c r="N5" s="251">
        <f t="shared" si="5"/>
        <v>1.04091109833905</v>
      </c>
      <c r="O5" s="251">
        <f t="shared" si="6"/>
        <v>1.01439473467806</v>
      </c>
      <c r="P5" s="251">
        <f t="shared" si="7"/>
        <v>0.951630260246377</v>
      </c>
      <c r="Q5" s="250">
        <f t="shared" si="8"/>
        <v>0.529986550973346</v>
      </c>
      <c r="S5" s="166" t="s">
        <v>48</v>
      </c>
      <c r="T5" s="249">
        <f t="shared" si="9"/>
        <v>-0.515750538663056</v>
      </c>
      <c r="U5" s="250">
        <f t="shared" si="10"/>
        <v>-0.78383906600531</v>
      </c>
      <c r="V5" s="251">
        <f t="shared" si="11"/>
        <v>-1.18006968548186</v>
      </c>
      <c r="W5" s="251">
        <f t="shared" si="12"/>
        <v>-1.03903922520455</v>
      </c>
      <c r="X5" s="251">
        <f t="shared" si="13"/>
        <v>-1.02213066112643</v>
      </c>
      <c r="Y5" s="251">
        <f t="shared" si="14"/>
        <v>-0.947750316278885</v>
      </c>
      <c r="Z5" s="250">
        <f t="shared" si="15"/>
        <v>-0.468216768456731</v>
      </c>
      <c r="AB5" s="166" t="s">
        <v>48</v>
      </c>
      <c r="AC5" s="147">
        <v>0.079997436298303</v>
      </c>
      <c r="AD5" s="147">
        <v>0.111323143031163</v>
      </c>
      <c r="AE5" s="147">
        <v>0.111302917346179</v>
      </c>
      <c r="AF5" s="147">
        <v>0.107911425076777</v>
      </c>
      <c r="AG5" s="147">
        <v>0.103337287168853</v>
      </c>
      <c r="AH5" s="147">
        <v>0.0973768950726814</v>
      </c>
      <c r="AI5" s="220">
        <v>0.071454832071587</v>
      </c>
      <c r="AJ5" t="s">
        <v>158</v>
      </c>
    </row>
    <row r="6" customFormat="1" spans="1:36">
      <c r="A6" s="166" t="s">
        <v>50</v>
      </c>
      <c r="B6" s="166">
        <v>0.0140662</v>
      </c>
      <c r="C6" s="147">
        <v>0.0115413</v>
      </c>
      <c r="D6" s="147">
        <v>0.0158006</v>
      </c>
      <c r="E6" s="147">
        <v>0.011536</v>
      </c>
      <c r="F6" s="147">
        <v>0.0133813</v>
      </c>
      <c r="G6" s="147">
        <v>0.0152841</v>
      </c>
      <c r="H6" s="220">
        <v>0.0134499</v>
      </c>
      <c r="J6" s="166" t="s">
        <v>50</v>
      </c>
      <c r="K6" s="249">
        <f t="shared" si="2"/>
        <v>0.922760468540232</v>
      </c>
      <c r="L6" s="250">
        <f t="shared" si="3"/>
        <v>0.860846176408334</v>
      </c>
      <c r="M6" s="251">
        <f t="shared" si="4"/>
        <v>1.13332341415072</v>
      </c>
      <c r="N6" s="251">
        <f t="shared" si="5"/>
        <v>0.805904795845095</v>
      </c>
      <c r="O6" s="251">
        <f t="shared" si="6"/>
        <v>0.887068862960495</v>
      </c>
      <c r="P6" s="251">
        <f t="shared" si="7"/>
        <v>1.0173308975767</v>
      </c>
      <c r="Q6" s="250">
        <f t="shared" si="8"/>
        <v>0.910531596491056</v>
      </c>
      <c r="S6" s="166" t="s">
        <v>50</v>
      </c>
      <c r="T6" s="249">
        <f t="shared" si="9"/>
        <v>-0.586839423220127</v>
      </c>
      <c r="U6" s="250">
        <f t="shared" si="10"/>
        <v>-0.57777630770764</v>
      </c>
      <c r="V6" s="251">
        <f t="shared" si="11"/>
        <v>-1.2460603093257</v>
      </c>
      <c r="W6" s="251">
        <f t="shared" si="12"/>
        <v>-0.831007520495528</v>
      </c>
      <c r="X6" s="251">
        <f t="shared" si="13"/>
        <v>-0.958376650489155</v>
      </c>
      <c r="Y6" s="251">
        <f t="shared" si="14"/>
        <v>-0.958245507074991</v>
      </c>
      <c r="Z6" s="250">
        <f t="shared" si="15"/>
        <v>-0.51706233765582</v>
      </c>
      <c r="AB6" s="166" t="s">
        <v>50</v>
      </c>
      <c r="AC6" s="147">
        <v>0.0152436092350728</v>
      </c>
      <c r="AD6" s="147">
        <v>0.01340692485637</v>
      </c>
      <c r="AE6" s="147">
        <v>0.0139418279042973</v>
      </c>
      <c r="AF6" s="147">
        <v>0.0143143458873489</v>
      </c>
      <c r="AG6" s="147">
        <v>0.0150848491686895</v>
      </c>
      <c r="AH6" s="147">
        <v>0.0150237253546579</v>
      </c>
      <c r="AI6" s="220">
        <v>0.0147714808050948</v>
      </c>
      <c r="AJ6" t="s">
        <v>159</v>
      </c>
    </row>
    <row r="7" customFormat="1" spans="1:36">
      <c r="A7" s="166" t="s">
        <v>52</v>
      </c>
      <c r="B7" s="166">
        <v>0.007577</v>
      </c>
      <c r="C7" s="147">
        <v>0.0274591</v>
      </c>
      <c r="D7" s="147">
        <v>0.0504545</v>
      </c>
      <c r="E7" s="147">
        <v>0.0444545</v>
      </c>
      <c r="F7" s="147">
        <v>0.0336536</v>
      </c>
      <c r="G7" s="147">
        <v>0.0262831</v>
      </c>
      <c r="H7" s="220">
        <v>0.0067484</v>
      </c>
      <c r="J7" s="166" t="s">
        <v>52</v>
      </c>
      <c r="K7" s="249">
        <f t="shared" si="2"/>
        <v>0.302980350174298</v>
      </c>
      <c r="L7" s="250">
        <f t="shared" si="3"/>
        <v>0.622814225195412</v>
      </c>
      <c r="M7" s="251">
        <f t="shared" si="4"/>
        <v>1.00578866829608</v>
      </c>
      <c r="N7" s="251">
        <f t="shared" si="5"/>
        <v>0.967162114883091</v>
      </c>
      <c r="O7" s="251">
        <f t="shared" si="6"/>
        <v>0.866171029365925</v>
      </c>
      <c r="P7" s="251">
        <f t="shared" si="7"/>
        <v>0.798062156616417</v>
      </c>
      <c r="Q7" s="250">
        <f t="shared" si="8"/>
        <v>0.349052915646276</v>
      </c>
      <c r="S7" s="166" t="s">
        <v>52</v>
      </c>
      <c r="T7" s="249">
        <f t="shared" si="9"/>
        <v>-0.101492383490318</v>
      </c>
      <c r="U7" s="250">
        <f t="shared" si="10"/>
        <v>-0.547999006913766</v>
      </c>
      <c r="V7" s="251">
        <f t="shared" si="11"/>
        <v>-1.03629013299985</v>
      </c>
      <c r="W7" s="251">
        <f t="shared" si="12"/>
        <v>-0.97550506639937</v>
      </c>
      <c r="X7" s="251">
        <f t="shared" si="13"/>
        <v>-0.897217544671972</v>
      </c>
      <c r="Y7" s="251">
        <f t="shared" si="14"/>
        <v>-0.776834107308173</v>
      </c>
      <c r="Z7" s="250">
        <f t="shared" si="15"/>
        <v>-0.0498519213382868</v>
      </c>
      <c r="AB7" s="166" t="s">
        <v>52</v>
      </c>
      <c r="AC7" s="147">
        <v>0.0250082224660481</v>
      </c>
      <c r="AD7" s="147">
        <v>0.0440887489224969</v>
      </c>
      <c r="AE7" s="147">
        <v>0.0501641165688172</v>
      </c>
      <c r="AF7" s="147">
        <v>0.0459638558168437</v>
      </c>
      <c r="AG7" s="147">
        <v>0.0388532967035805</v>
      </c>
      <c r="AH7" s="147">
        <v>0.0329336503204634</v>
      </c>
      <c r="AI7" s="220">
        <v>0.0193334583311108</v>
      </c>
      <c r="AJ7" t="s">
        <v>160</v>
      </c>
    </row>
    <row r="8" customFormat="1" spans="1:36">
      <c r="A8" s="166" t="s">
        <v>54</v>
      </c>
      <c r="B8" s="166">
        <v>0.0042131</v>
      </c>
      <c r="C8" s="147">
        <v>0.0133065</v>
      </c>
      <c r="D8" s="147">
        <v>0.0244277</v>
      </c>
      <c r="E8" s="147">
        <v>0.0163645</v>
      </c>
      <c r="F8" s="147">
        <v>0.0148119</v>
      </c>
      <c r="G8" s="147">
        <v>0.0113631</v>
      </c>
      <c r="H8" s="220">
        <v>0.0039698</v>
      </c>
      <c r="J8" s="166" t="s">
        <v>54</v>
      </c>
      <c r="K8" s="249">
        <f t="shared" si="2"/>
        <v>0.337377727532422</v>
      </c>
      <c r="L8" s="250">
        <f t="shared" si="3"/>
        <v>0.674108476451796</v>
      </c>
      <c r="M8" s="251">
        <f t="shared" si="4"/>
        <v>1.05091619688639</v>
      </c>
      <c r="N8" s="251">
        <f t="shared" si="5"/>
        <v>0.813488233477669</v>
      </c>
      <c r="O8" s="251">
        <f t="shared" si="6"/>
        <v>0.8110743237741</v>
      </c>
      <c r="P8" s="251">
        <f t="shared" si="7"/>
        <v>0.710624041610938</v>
      </c>
      <c r="Q8" s="250">
        <f t="shared" si="8"/>
        <v>0.402790099823232</v>
      </c>
      <c r="S8" s="166" t="s">
        <v>54</v>
      </c>
      <c r="T8" s="249">
        <f t="shared" si="9"/>
        <v>0.0753188823843043</v>
      </c>
      <c r="U8" s="250">
        <f t="shared" si="10"/>
        <v>-0.485438020657047</v>
      </c>
      <c r="V8" s="251">
        <f t="shared" si="11"/>
        <v>-1.11795063515906</v>
      </c>
      <c r="W8" s="251">
        <f t="shared" si="12"/>
        <v>-0.832729525455795</v>
      </c>
      <c r="X8" s="251">
        <f t="shared" si="13"/>
        <v>-0.871443113778124</v>
      </c>
      <c r="Y8" s="251">
        <f t="shared" si="14"/>
        <v>-0.658425854857064</v>
      </c>
      <c r="Z8" s="250">
        <f t="shared" si="15"/>
        <v>0.19204568234985</v>
      </c>
      <c r="AB8" s="166" t="s">
        <v>54</v>
      </c>
      <c r="AC8" s="147">
        <v>0.012487783443248</v>
      </c>
      <c r="AD8" s="147">
        <v>0.0197394046578963</v>
      </c>
      <c r="AE8" s="147">
        <v>0.0232441940398038</v>
      </c>
      <c r="AF8" s="147">
        <v>0.0201164556862017</v>
      </c>
      <c r="AG8" s="147">
        <v>0.0182620748380704</v>
      </c>
      <c r="AH8" s="147">
        <v>0.0159903118029058</v>
      </c>
      <c r="AI8" s="220">
        <v>0.00985575365864796</v>
      </c>
      <c r="AJ8" t="s">
        <v>161</v>
      </c>
    </row>
    <row r="9" customFormat="1" spans="1:36">
      <c r="A9" s="166" t="s">
        <v>56</v>
      </c>
      <c r="B9" s="166">
        <v>0.0222767</v>
      </c>
      <c r="C9" s="147">
        <v>0.0385646</v>
      </c>
      <c r="D9" s="147">
        <v>0.0365704</v>
      </c>
      <c r="E9" s="147">
        <v>0.0397101</v>
      </c>
      <c r="F9" s="147">
        <v>0.0347593</v>
      </c>
      <c r="G9" s="147">
        <v>0.0355561</v>
      </c>
      <c r="H9" s="220">
        <v>0.0198098</v>
      </c>
      <c r="J9" s="166" t="s">
        <v>56</v>
      </c>
      <c r="K9" s="249">
        <f t="shared" si="2"/>
        <v>0.873499274757265</v>
      </c>
      <c r="L9" s="250">
        <f t="shared" si="3"/>
        <v>1.15732698099114</v>
      </c>
      <c r="M9" s="251">
        <f t="shared" si="4"/>
        <v>1.53781270603804</v>
      </c>
      <c r="N9" s="251">
        <f t="shared" si="5"/>
        <v>1.43783607316172</v>
      </c>
      <c r="O9" s="251">
        <f t="shared" si="6"/>
        <v>1.25556927983082</v>
      </c>
      <c r="P9" s="251">
        <f t="shared" si="7"/>
        <v>1.17068521420606</v>
      </c>
      <c r="Q9" s="250">
        <f t="shared" si="8"/>
        <v>0.740568850956255</v>
      </c>
      <c r="S9" s="166" t="s">
        <v>56</v>
      </c>
      <c r="T9" s="249">
        <f t="shared" si="9"/>
        <v>-0.676558056586233</v>
      </c>
      <c r="U9" s="250">
        <f t="shared" si="10"/>
        <v>-1.03985251591608</v>
      </c>
      <c r="V9" s="251">
        <f t="shared" si="11"/>
        <v>-1.58405188367146</v>
      </c>
      <c r="W9" s="251">
        <f t="shared" si="12"/>
        <v>-1.43196363015059</v>
      </c>
      <c r="X9" s="251">
        <f t="shared" si="13"/>
        <v>-1.28389465120801</v>
      </c>
      <c r="Y9" s="251">
        <f t="shared" si="14"/>
        <v>-1.13611920366159</v>
      </c>
      <c r="Z9" s="250">
        <f t="shared" si="15"/>
        <v>-0.529170024314153</v>
      </c>
      <c r="AB9" s="166" t="s">
        <v>56</v>
      </c>
      <c r="AC9" s="147">
        <v>0.0255028259825292</v>
      </c>
      <c r="AD9" s="147">
        <v>0.0333221299022799</v>
      </c>
      <c r="AE9" s="147">
        <v>0.0237807893356652</v>
      </c>
      <c r="AF9" s="147">
        <v>0.027617960587593</v>
      </c>
      <c r="AG9" s="147">
        <v>0.0276840956197045</v>
      </c>
      <c r="AH9" s="147">
        <v>0.0303720415774736</v>
      </c>
      <c r="AI9" s="220">
        <v>0.0267494372392529</v>
      </c>
      <c r="AJ9" t="s">
        <v>162</v>
      </c>
    </row>
    <row r="10" customFormat="1" spans="1:36">
      <c r="A10" s="166" t="s">
        <v>58</v>
      </c>
      <c r="B10" s="166">
        <v>0.0050026</v>
      </c>
      <c r="C10" s="147">
        <v>0.0107084</v>
      </c>
      <c r="D10" s="147">
        <v>0.0166031</v>
      </c>
      <c r="E10" s="147">
        <v>0.0126032</v>
      </c>
      <c r="F10" s="147">
        <v>0.0094961</v>
      </c>
      <c r="G10" s="147">
        <v>0.0104614</v>
      </c>
      <c r="H10" s="220">
        <v>0.0043414</v>
      </c>
      <c r="J10" s="166" t="s">
        <v>58</v>
      </c>
      <c r="K10" s="249">
        <f t="shared" si="2"/>
        <v>0.502852432776352</v>
      </c>
      <c r="L10" s="250">
        <f t="shared" si="3"/>
        <v>0.554108884992904</v>
      </c>
      <c r="M10" s="251">
        <f t="shared" si="4"/>
        <v>0.744489523452993</v>
      </c>
      <c r="N10" s="251">
        <f t="shared" si="5"/>
        <v>0.736200290709387</v>
      </c>
      <c r="O10" s="251">
        <f t="shared" si="6"/>
        <v>0.654271430436742</v>
      </c>
      <c r="P10" s="251">
        <f t="shared" si="7"/>
        <v>0.828061189780242</v>
      </c>
      <c r="Q10" s="250">
        <f t="shared" si="8"/>
        <v>0.476398141732735</v>
      </c>
      <c r="S10" s="166" t="s">
        <v>58</v>
      </c>
      <c r="T10" s="249">
        <f t="shared" si="9"/>
        <v>0.0157870707882364</v>
      </c>
      <c r="U10" s="250">
        <f t="shared" si="10"/>
        <v>-0.361226157324976</v>
      </c>
      <c r="V10" s="251">
        <f t="shared" si="11"/>
        <v>-0.820468534992223</v>
      </c>
      <c r="W10" s="251">
        <f t="shared" si="12"/>
        <v>-0.758624098167535</v>
      </c>
      <c r="X10" s="251">
        <f t="shared" si="13"/>
        <v>-0.730384895674189</v>
      </c>
      <c r="Y10" s="251">
        <f t="shared" si="14"/>
        <v>-0.759569487261696</v>
      </c>
      <c r="Z10" s="250">
        <f t="shared" si="15"/>
        <v>0.166970960855884</v>
      </c>
      <c r="AB10" s="166" t="s">
        <v>58</v>
      </c>
      <c r="AC10" s="147">
        <v>0.00994844545621389</v>
      </c>
      <c r="AD10" s="147">
        <v>0.019325443590635</v>
      </c>
      <c r="AE10" s="147">
        <v>0.0223013212099932</v>
      </c>
      <c r="AF10" s="147">
        <v>0.0171192543103397</v>
      </c>
      <c r="AG10" s="147">
        <v>0.0145140068146658</v>
      </c>
      <c r="AH10" s="147">
        <v>0.0126336074303595</v>
      </c>
      <c r="AI10" s="220">
        <v>0.00911296585710777</v>
      </c>
      <c r="AJ10" t="s">
        <v>163</v>
      </c>
    </row>
    <row r="11" customFormat="1" spans="1:36">
      <c r="A11" s="166" t="s">
        <v>60</v>
      </c>
      <c r="B11" s="166">
        <v>0.0005867</v>
      </c>
      <c r="C11" s="147">
        <v>0.0003866</v>
      </c>
      <c r="D11" s="147">
        <v>8.64e-5</v>
      </c>
      <c r="E11" s="147">
        <v>0.0003114</v>
      </c>
      <c r="F11" s="147">
        <v>0.0002097</v>
      </c>
      <c r="G11" s="147">
        <v>0.0004595</v>
      </c>
      <c r="H11" s="220">
        <v>0.0006289</v>
      </c>
      <c r="J11" s="166" t="s">
        <v>60</v>
      </c>
      <c r="K11" s="249">
        <f t="shared" si="2"/>
        <v>1.70825964067766</v>
      </c>
      <c r="L11" s="250">
        <f t="shared" si="3"/>
        <v>1.68332692867332</v>
      </c>
      <c r="M11" s="251">
        <f t="shared" si="4"/>
        <v>0.842194659165232</v>
      </c>
      <c r="N11" s="251">
        <f t="shared" si="5"/>
        <v>1.32962739354367</v>
      </c>
      <c r="O11" s="251">
        <f t="shared" si="6"/>
        <v>0.958942572962625</v>
      </c>
      <c r="P11" s="251">
        <f t="shared" si="7"/>
        <v>1.47791998667313</v>
      </c>
      <c r="Q11" s="250">
        <f t="shared" si="8"/>
        <v>1.59872022473558</v>
      </c>
      <c r="S11" s="166" t="s">
        <v>60</v>
      </c>
      <c r="T11" s="249">
        <f t="shared" si="9"/>
        <v>13.4541671637748</v>
      </c>
      <c r="U11" s="250">
        <f t="shared" si="10"/>
        <v>15.1227089831672</v>
      </c>
      <c r="V11" s="251">
        <f t="shared" si="11"/>
        <v>-16.6987201494292</v>
      </c>
      <c r="W11" s="251">
        <f t="shared" si="12"/>
        <v>-2.74268610783172</v>
      </c>
      <c r="X11" s="251">
        <f t="shared" si="13"/>
        <v>-5.83825470656192</v>
      </c>
      <c r="Y11" s="251">
        <f t="shared" si="14"/>
        <v>1.4076202586105</v>
      </c>
      <c r="Z11" s="250">
        <f t="shared" si="15"/>
        <v>13.4142278637035</v>
      </c>
      <c r="AB11" s="166" t="s">
        <v>60</v>
      </c>
      <c r="AC11" s="147">
        <v>0.000343448961755755</v>
      </c>
      <c r="AD11" s="147">
        <v>0.000229664240151313</v>
      </c>
      <c r="AE11" s="147">
        <v>0.000102589109370081</v>
      </c>
      <c r="AF11" s="147">
        <v>0.000234200950967224</v>
      </c>
      <c r="AG11" s="147">
        <v>0.000218678371273201</v>
      </c>
      <c r="AH11" s="147">
        <v>0.000310909930269201</v>
      </c>
      <c r="AI11" s="220">
        <v>0.000393377146463521</v>
      </c>
      <c r="AJ11" t="s">
        <v>164</v>
      </c>
    </row>
    <row r="12" customFormat="1" spans="1:36">
      <c r="A12" s="166" t="s">
        <v>62</v>
      </c>
      <c r="B12" s="166">
        <v>0.0036468</v>
      </c>
      <c r="C12" s="147">
        <v>0.0120934</v>
      </c>
      <c r="D12" s="147">
        <v>0.0241609</v>
      </c>
      <c r="E12" s="147">
        <v>0.016708</v>
      </c>
      <c r="F12" s="147">
        <v>0.0144133</v>
      </c>
      <c r="G12" s="147">
        <v>0.0104496</v>
      </c>
      <c r="H12" s="220">
        <v>0.0027376</v>
      </c>
      <c r="J12" s="166" t="s">
        <v>62</v>
      </c>
      <c r="K12" s="249">
        <f t="shared" si="2"/>
        <v>0.314429477307864</v>
      </c>
      <c r="L12" s="250">
        <f t="shared" si="3"/>
        <v>0.524415865148755</v>
      </c>
      <c r="M12" s="251">
        <f t="shared" si="4"/>
        <v>0.951014046989374</v>
      </c>
      <c r="N12" s="251">
        <f t="shared" si="5"/>
        <v>0.767810040111612</v>
      </c>
      <c r="O12" s="251">
        <f t="shared" si="6"/>
        <v>0.78281139455706</v>
      </c>
      <c r="P12" s="251">
        <f t="shared" si="7"/>
        <v>0.66610421680537</v>
      </c>
      <c r="Q12" s="250">
        <f t="shared" si="8"/>
        <v>0.282245484705846</v>
      </c>
      <c r="S12" s="166" t="s">
        <v>62</v>
      </c>
      <c r="T12" s="249">
        <f t="shared" si="9"/>
        <v>0.130678014301699</v>
      </c>
      <c r="U12" s="250">
        <f t="shared" si="10"/>
        <v>-0.36475834671541</v>
      </c>
      <c r="V12" s="251">
        <f t="shared" si="11"/>
        <v>-1.01468680526724</v>
      </c>
      <c r="W12" s="251">
        <f t="shared" si="12"/>
        <v>-0.786651129711224</v>
      </c>
      <c r="X12" s="251">
        <f t="shared" si="13"/>
        <v>-0.843066031188824</v>
      </c>
      <c r="Y12" s="251">
        <f t="shared" si="14"/>
        <v>-0.612985620734294</v>
      </c>
      <c r="Z12" s="250">
        <f t="shared" si="15"/>
        <v>0.323373120845729</v>
      </c>
      <c r="AB12" s="166" t="s">
        <v>62</v>
      </c>
      <c r="AC12" s="147">
        <v>0.0115981492295945</v>
      </c>
      <c r="AD12" s="147">
        <v>0.0230607058323257</v>
      </c>
      <c r="AE12" s="147">
        <v>0.0254054081288139</v>
      </c>
      <c r="AF12" s="147">
        <v>0.021760590676271</v>
      </c>
      <c r="AG12" s="147">
        <v>0.018412225601488</v>
      </c>
      <c r="AH12" s="147">
        <v>0.0156876352624161</v>
      </c>
      <c r="AI12" s="220">
        <v>0.00969935799983872</v>
      </c>
      <c r="AJ12" t="s">
        <v>165</v>
      </c>
    </row>
    <row r="13" customFormat="1" spans="1:36">
      <c r="A13" s="166" t="s">
        <v>64</v>
      </c>
      <c r="B13" s="166">
        <v>0.003622</v>
      </c>
      <c r="C13" s="147">
        <v>0.0120319</v>
      </c>
      <c r="D13" s="147">
        <v>0.0226734</v>
      </c>
      <c r="E13" s="147">
        <v>0.0162</v>
      </c>
      <c r="F13" s="147">
        <v>0.0136456</v>
      </c>
      <c r="G13" s="147">
        <v>0.0097577</v>
      </c>
      <c r="H13" s="220">
        <v>0.0029403</v>
      </c>
      <c r="J13" s="166" t="s">
        <v>64</v>
      </c>
      <c r="K13" s="249">
        <f t="shared" si="2"/>
        <v>0.361507323651834</v>
      </c>
      <c r="L13" s="250">
        <f t="shared" si="3"/>
        <v>0.611591116343622</v>
      </c>
      <c r="M13" s="251">
        <f t="shared" si="4"/>
        <v>1.10850858523498</v>
      </c>
      <c r="N13" s="251">
        <f t="shared" si="5"/>
        <v>0.888413255756579</v>
      </c>
      <c r="O13" s="251">
        <f t="shared" si="6"/>
        <v>0.843011844336074</v>
      </c>
      <c r="P13" s="251">
        <f t="shared" si="7"/>
        <v>0.720930891603546</v>
      </c>
      <c r="Q13" s="250">
        <f t="shared" si="8"/>
        <v>0.345727166983537</v>
      </c>
      <c r="S13" s="166" t="s">
        <v>64</v>
      </c>
      <c r="T13" s="249">
        <f t="shared" si="9"/>
        <v>0.154348171800133</v>
      </c>
      <c r="U13" s="250">
        <f t="shared" si="10"/>
        <v>-0.422360822676719</v>
      </c>
      <c r="V13" s="251">
        <f t="shared" si="11"/>
        <v>-1.18378359076566</v>
      </c>
      <c r="W13" s="251">
        <f t="shared" si="12"/>
        <v>-0.908087919736248</v>
      </c>
      <c r="X13" s="251">
        <f t="shared" si="13"/>
        <v>-0.910185470946486</v>
      </c>
      <c r="Y13" s="251">
        <f t="shared" si="14"/>
        <v>-0.657994378314116</v>
      </c>
      <c r="Z13" s="250">
        <f t="shared" si="15"/>
        <v>0.345143045491985</v>
      </c>
      <c r="AB13" s="166" t="s">
        <v>64</v>
      </c>
      <c r="AC13" s="147">
        <v>0.0100191607832773</v>
      </c>
      <c r="AD13" s="147">
        <v>0.0196731111333538</v>
      </c>
      <c r="AE13" s="147">
        <v>0.0204539687847286</v>
      </c>
      <c r="AF13" s="147">
        <v>0.0182347571865122</v>
      </c>
      <c r="AG13" s="147">
        <v>0.0161867239371314</v>
      </c>
      <c r="AH13" s="147">
        <v>0.0135348618205224</v>
      </c>
      <c r="AI13" s="220">
        <v>0.00850468311661494</v>
      </c>
      <c r="AJ13" t="s">
        <v>166</v>
      </c>
    </row>
    <row r="14" customFormat="1" spans="1:36">
      <c r="A14" s="166" t="s">
        <v>66</v>
      </c>
      <c r="B14" s="166">
        <v>0.0044188</v>
      </c>
      <c r="C14" s="147">
        <v>0.0045903</v>
      </c>
      <c r="D14" s="147">
        <v>0.0035881</v>
      </c>
      <c r="E14" s="147">
        <v>0.0029065</v>
      </c>
      <c r="F14" s="147">
        <v>0.0035475</v>
      </c>
      <c r="G14" s="147">
        <v>0.0050918</v>
      </c>
      <c r="H14" s="220">
        <v>0.0039776</v>
      </c>
      <c r="J14" s="166" t="s">
        <v>66</v>
      </c>
      <c r="K14" s="249">
        <f t="shared" si="2"/>
        <v>1.11632845205226</v>
      </c>
      <c r="L14" s="250">
        <f t="shared" si="3"/>
        <v>1.5983041829667</v>
      </c>
      <c r="M14" s="251">
        <f t="shared" si="4"/>
        <v>1.72351622902531</v>
      </c>
      <c r="N14" s="251">
        <f t="shared" si="5"/>
        <v>1.38536291302454</v>
      </c>
      <c r="O14" s="251">
        <f t="shared" si="6"/>
        <v>1.27026719538765</v>
      </c>
      <c r="P14" s="251">
        <f t="shared" si="7"/>
        <v>1.34077086427914</v>
      </c>
      <c r="Q14" s="250">
        <f t="shared" si="8"/>
        <v>0.88686174089509</v>
      </c>
      <c r="S14" s="166" t="s">
        <v>66</v>
      </c>
      <c r="T14" s="249">
        <f t="shared" si="9"/>
        <v>0.194687914327618</v>
      </c>
      <c r="U14" s="250">
        <f t="shared" si="10"/>
        <v>-0.257288402704991</v>
      </c>
      <c r="V14" s="251">
        <f t="shared" si="11"/>
        <v>-2.49957646177683</v>
      </c>
      <c r="W14" s="251">
        <f t="shared" si="12"/>
        <v>-1.54162857507462</v>
      </c>
      <c r="X14" s="251">
        <f t="shared" si="13"/>
        <v>-1.65009288716158</v>
      </c>
      <c r="Y14" s="251">
        <f t="shared" si="14"/>
        <v>-1.10391162160599</v>
      </c>
      <c r="Z14" s="250">
        <f t="shared" si="15"/>
        <v>0.425015422431112</v>
      </c>
      <c r="AB14" s="166" t="s">
        <v>66</v>
      </c>
      <c r="AC14" s="147">
        <v>0.00395833322341331</v>
      </c>
      <c r="AD14" s="147">
        <v>0.00287198147193715</v>
      </c>
      <c r="AE14" s="147">
        <v>0.002081848687917</v>
      </c>
      <c r="AF14" s="147">
        <v>0.00209800621387684</v>
      </c>
      <c r="AG14" s="147">
        <v>0.00279271952616032</v>
      </c>
      <c r="AH14" s="147">
        <v>0.00379766605589061</v>
      </c>
      <c r="AI14" s="220">
        <v>0.00448502829311984</v>
      </c>
      <c r="AJ14" t="s">
        <v>167</v>
      </c>
    </row>
    <row r="15" customFormat="1" spans="1:36">
      <c r="A15" s="166" t="s">
        <v>68</v>
      </c>
      <c r="B15" s="166">
        <v>0.0001488</v>
      </c>
      <c r="C15" s="147">
        <v>2.44e-5</v>
      </c>
      <c r="D15" s="147">
        <v>0</v>
      </c>
      <c r="E15" s="147">
        <v>-3.96e-5</v>
      </c>
      <c r="F15" s="147">
        <v>-0.0001215</v>
      </c>
      <c r="G15" s="147">
        <v>0</v>
      </c>
      <c r="H15" s="220">
        <v>0.0001035</v>
      </c>
      <c r="J15" s="166" t="s">
        <v>68</v>
      </c>
      <c r="K15" s="249">
        <f t="shared" si="2"/>
        <v>1.3713425791882</v>
      </c>
      <c r="L15" s="250">
        <f t="shared" si="3"/>
        <v>0.435324042879374</v>
      </c>
      <c r="M15" s="251">
        <f t="shared" si="4"/>
        <v>0</v>
      </c>
      <c r="N15" s="251">
        <f t="shared" si="5"/>
        <v>-1.85833087075622</v>
      </c>
      <c r="O15" s="251">
        <f t="shared" si="6"/>
        <v>-1.7511228480355</v>
      </c>
      <c r="P15" s="251">
        <f t="shared" si="7"/>
        <v>0</v>
      </c>
      <c r="Q15" s="250">
        <f t="shared" si="8"/>
        <v>0.589166166660559</v>
      </c>
      <c r="S15" s="166" t="s">
        <v>68</v>
      </c>
      <c r="T15" s="249">
        <f t="shared" si="9"/>
        <v>46.641487415071</v>
      </c>
      <c r="U15" s="250">
        <f t="shared" si="10"/>
        <v>68.4508228454606</v>
      </c>
      <c r="V15" s="251">
        <f t="shared" si="11"/>
        <v>0</v>
      </c>
      <c r="W15" s="251">
        <f t="shared" si="12"/>
        <v>-13.680963246477</v>
      </c>
      <c r="X15" s="251">
        <f t="shared" si="13"/>
        <v>-13.6320323470012</v>
      </c>
      <c r="Y15" s="251">
        <f t="shared" si="14"/>
        <v>0</v>
      </c>
      <c r="Z15" s="250">
        <f t="shared" si="15"/>
        <v>33.0461460106508</v>
      </c>
      <c r="AB15" s="166" t="s">
        <v>68</v>
      </c>
      <c r="AC15" s="147">
        <v>0.000108506803666875</v>
      </c>
      <c r="AD15" s="147">
        <v>5.60502007621966e-5</v>
      </c>
      <c r="AE15" s="147">
        <v>0</v>
      </c>
      <c r="AF15" s="147">
        <v>2.13094452786469e-5</v>
      </c>
      <c r="AG15" s="147">
        <v>6.93840527158361e-5</v>
      </c>
      <c r="AH15" s="147">
        <v>0</v>
      </c>
      <c r="AI15" s="220">
        <v>0.000175672001986547</v>
      </c>
      <c r="AJ15" t="s">
        <v>168</v>
      </c>
    </row>
    <row r="16" customFormat="1" spans="1:36">
      <c r="A16" s="166" t="s">
        <v>70</v>
      </c>
      <c r="B16" s="166">
        <v>0.0259396</v>
      </c>
      <c r="C16" s="147">
        <v>0.0246337</v>
      </c>
      <c r="D16" s="147">
        <v>0.0239156</v>
      </c>
      <c r="E16" s="147">
        <v>0.0277358</v>
      </c>
      <c r="F16" s="147">
        <v>0.0295994</v>
      </c>
      <c r="G16" s="147">
        <v>0.0298952</v>
      </c>
      <c r="H16" s="220">
        <v>0.0236454</v>
      </c>
      <c r="J16" s="166" t="s">
        <v>70</v>
      </c>
      <c r="K16" s="249">
        <f t="shared" si="2"/>
        <v>1.05712329084614</v>
      </c>
      <c r="L16" s="250">
        <f t="shared" si="3"/>
        <v>1.15101645502857</v>
      </c>
      <c r="M16" s="251">
        <f t="shared" si="4"/>
        <v>1.52030202186707</v>
      </c>
      <c r="N16" s="251">
        <f t="shared" si="5"/>
        <v>1.47223936638124</v>
      </c>
      <c r="O16" s="251">
        <f t="shared" si="6"/>
        <v>1.29249397713029</v>
      </c>
      <c r="P16" s="251">
        <f t="shared" si="7"/>
        <v>1.22084748988729</v>
      </c>
      <c r="Q16" s="250">
        <f t="shared" si="8"/>
        <v>0.913014674484721</v>
      </c>
      <c r="S16" s="166" t="s">
        <v>70</v>
      </c>
      <c r="T16" s="249">
        <f t="shared" si="9"/>
        <v>-0.848806317124891</v>
      </c>
      <c r="U16" s="250">
        <f t="shared" si="10"/>
        <v>-0.971327613255487</v>
      </c>
      <c r="V16" s="251">
        <f t="shared" si="11"/>
        <v>-1.60880084646957</v>
      </c>
      <c r="W16" s="251">
        <f t="shared" si="12"/>
        <v>-1.47622934761601</v>
      </c>
      <c r="X16" s="251">
        <f t="shared" si="13"/>
        <v>-1.32905673672447</v>
      </c>
      <c r="Y16" s="251">
        <f t="shared" si="14"/>
        <v>-1.17869277330684</v>
      </c>
      <c r="Z16" s="250">
        <f t="shared" si="15"/>
        <v>-0.692289746633747</v>
      </c>
      <c r="AB16" s="166" t="s">
        <v>70</v>
      </c>
      <c r="AC16" s="147">
        <v>0.0245379136233367</v>
      </c>
      <c r="AD16" s="147">
        <v>0.0214016922976037</v>
      </c>
      <c r="AE16" s="147">
        <v>0.0157308216762281</v>
      </c>
      <c r="AF16" s="147">
        <v>0.0188391919366853</v>
      </c>
      <c r="AG16" s="147">
        <v>0.0229009964639983</v>
      </c>
      <c r="AH16" s="147">
        <v>0.0244872518866054</v>
      </c>
      <c r="AI16" s="220">
        <v>0.0258981598662089</v>
      </c>
      <c r="AJ16" t="s">
        <v>169</v>
      </c>
    </row>
    <row r="17" customFormat="1" spans="1:36">
      <c r="A17" s="166" t="s">
        <v>72</v>
      </c>
      <c r="B17" s="166">
        <v>-1.76e-5</v>
      </c>
      <c r="C17" s="147">
        <v>0.0004961</v>
      </c>
      <c r="D17" s="147">
        <v>0.0017361</v>
      </c>
      <c r="E17" s="147">
        <v>0.0008783</v>
      </c>
      <c r="F17" s="147">
        <v>0.0010083</v>
      </c>
      <c r="G17" s="147">
        <v>0.0005352</v>
      </c>
      <c r="H17" s="220">
        <v>5e-5</v>
      </c>
      <c r="J17" s="166" t="s">
        <v>72</v>
      </c>
      <c r="K17" s="249">
        <f t="shared" si="2"/>
        <v>-0.0260036462219082</v>
      </c>
      <c r="L17" s="250">
        <f t="shared" si="3"/>
        <v>0.923731650180041</v>
      </c>
      <c r="M17" s="251">
        <f t="shared" si="4"/>
        <v>1.70602330206281</v>
      </c>
      <c r="N17" s="251">
        <f t="shared" si="5"/>
        <v>0.812680282094152</v>
      </c>
      <c r="O17" s="251">
        <f t="shared" si="6"/>
        <v>0.959000881879278</v>
      </c>
      <c r="P17" s="251">
        <f t="shared" si="7"/>
        <v>0.761787419504623</v>
      </c>
      <c r="Q17" s="250">
        <f t="shared" si="8"/>
        <v>0.151607069066315</v>
      </c>
      <c r="S17" s="166" t="s">
        <v>72</v>
      </c>
      <c r="T17" s="249">
        <f t="shared" si="9"/>
        <v>7.72450929755637</v>
      </c>
      <c r="U17" s="250">
        <f t="shared" si="10"/>
        <v>6.26207344700598</v>
      </c>
      <c r="V17" s="251">
        <f t="shared" si="11"/>
        <v>-3.30071699593245</v>
      </c>
      <c r="W17" s="251">
        <f t="shared" si="12"/>
        <v>-1.11895344019688</v>
      </c>
      <c r="X17" s="251">
        <f t="shared" si="13"/>
        <v>-1.97308110464801</v>
      </c>
      <c r="Y17" s="251">
        <f t="shared" si="14"/>
        <v>0.514771019828627</v>
      </c>
      <c r="Z17" s="250">
        <f t="shared" si="15"/>
        <v>17.7653231340511</v>
      </c>
      <c r="AB17" s="166" t="s">
        <v>72</v>
      </c>
      <c r="AC17" s="147">
        <v>0.00067682815901302</v>
      </c>
      <c r="AD17" s="147">
        <v>0.000537060736095063</v>
      </c>
      <c r="AE17" s="147">
        <v>0.00101762971109529</v>
      </c>
      <c r="AF17" s="147">
        <v>0.00108074481361447</v>
      </c>
      <c r="AG17" s="147">
        <v>0.00105140674951634</v>
      </c>
      <c r="AH17" s="147">
        <v>0.000702558202323728</v>
      </c>
      <c r="AI17" s="220">
        <v>0.000329799924950262</v>
      </c>
      <c r="AJ17" t="s">
        <v>170</v>
      </c>
    </row>
    <row r="18" customFormat="1" spans="1:36">
      <c r="A18" s="166" t="s">
        <v>74</v>
      </c>
      <c r="B18" s="166">
        <v>6.5e-5</v>
      </c>
      <c r="C18" s="147">
        <v>0.000371</v>
      </c>
      <c r="D18" s="147">
        <v>0</v>
      </c>
      <c r="E18" s="147">
        <v>0</v>
      </c>
      <c r="F18" s="147">
        <v>0.0009371</v>
      </c>
      <c r="G18" s="147">
        <v>0.0011018</v>
      </c>
      <c r="H18" s="220">
        <v>-8.87e-5</v>
      </c>
      <c r="J18" s="166" t="s">
        <v>74</v>
      </c>
      <c r="K18" s="249">
        <f t="shared" si="2"/>
        <v>0.546537650873589</v>
      </c>
      <c r="L18" s="250">
        <f t="shared" si="3"/>
        <v>1.40588453977734</v>
      </c>
      <c r="M18" s="251">
        <f t="shared" si="4"/>
        <v>0</v>
      </c>
      <c r="N18" s="251">
        <f t="shared" si="5"/>
        <v>0</v>
      </c>
      <c r="O18" s="251">
        <f t="shared" si="6"/>
        <v>5.90673876006682</v>
      </c>
      <c r="P18" s="251">
        <f t="shared" si="7"/>
        <v>3.5028943501563</v>
      </c>
      <c r="Q18" s="250">
        <f t="shared" si="8"/>
        <v>-0.617372374276139</v>
      </c>
      <c r="S18" s="166" t="s">
        <v>74</v>
      </c>
      <c r="T18" s="249">
        <f t="shared" si="9"/>
        <v>43.2613946443931</v>
      </c>
      <c r="U18" s="250">
        <f t="shared" si="10"/>
        <v>13.2206143130581</v>
      </c>
      <c r="V18" s="251">
        <f t="shared" si="11"/>
        <v>0</v>
      </c>
      <c r="W18" s="251">
        <f t="shared" si="12"/>
        <v>0</v>
      </c>
      <c r="X18" s="251">
        <f t="shared" si="13"/>
        <v>-12.6228860677572</v>
      </c>
      <c r="Y18" s="251">
        <f t="shared" si="14"/>
        <v>-0.65008868872553</v>
      </c>
      <c r="Z18" s="250">
        <f t="shared" si="15"/>
        <v>41.7520107043854</v>
      </c>
      <c r="AB18" s="166" t="s">
        <v>74</v>
      </c>
      <c r="AC18" s="147">
        <v>0.000118930507159211</v>
      </c>
      <c r="AD18" s="147">
        <v>0.000263890802909575</v>
      </c>
      <c r="AE18" s="147">
        <v>0</v>
      </c>
      <c r="AF18" s="147">
        <v>0</v>
      </c>
      <c r="AG18" s="147">
        <v>0.000158649305152171</v>
      </c>
      <c r="AH18" s="147">
        <v>0.000314539888978049</v>
      </c>
      <c r="AI18" s="220">
        <v>0.000143673419310347</v>
      </c>
      <c r="AJ18" t="s">
        <v>171</v>
      </c>
    </row>
    <row r="19" customFormat="1" spans="1:36">
      <c r="A19" s="166" t="s">
        <v>76</v>
      </c>
      <c r="B19" s="166">
        <v>0.0261722</v>
      </c>
      <c r="C19" s="147">
        <v>0.0175767</v>
      </c>
      <c r="D19" s="147">
        <v>0.019522</v>
      </c>
      <c r="E19" s="147">
        <v>0.0158591</v>
      </c>
      <c r="F19" s="147">
        <v>0.0181847</v>
      </c>
      <c r="G19" s="147">
        <v>0.0174727</v>
      </c>
      <c r="H19" s="220">
        <v>0.0288737</v>
      </c>
      <c r="J19" s="166" t="s">
        <v>76</v>
      </c>
      <c r="K19" s="249">
        <f t="shared" si="2"/>
        <v>1.84098612103234</v>
      </c>
      <c r="L19" s="250">
        <f t="shared" si="3"/>
        <v>1.33880656620793</v>
      </c>
      <c r="M19" s="251">
        <f t="shared" si="4"/>
        <v>2.27267048420429</v>
      </c>
      <c r="N19" s="251">
        <f t="shared" si="5"/>
        <v>1.57563557131858</v>
      </c>
      <c r="O19" s="251">
        <f t="shared" si="6"/>
        <v>1.43179049142458</v>
      </c>
      <c r="P19" s="251">
        <f t="shared" si="7"/>
        <v>1.25840002895897</v>
      </c>
      <c r="Q19" s="250">
        <f t="shared" si="8"/>
        <v>1.80567990894121</v>
      </c>
      <c r="S19" s="166" t="s">
        <v>76</v>
      </c>
      <c r="T19" s="249">
        <f t="shared" si="9"/>
        <v>-1.46205901780192</v>
      </c>
      <c r="U19" s="250">
        <f t="shared" si="10"/>
        <v>-1.04392052133059</v>
      </c>
      <c r="V19" s="251">
        <f t="shared" si="11"/>
        <v>-2.43351451924009</v>
      </c>
      <c r="W19" s="251">
        <f t="shared" si="12"/>
        <v>-1.59888253199011</v>
      </c>
      <c r="X19" s="251">
        <f t="shared" si="13"/>
        <v>-1.50643786533252</v>
      </c>
      <c r="Y19" s="251">
        <f t="shared" si="14"/>
        <v>-1.19037849000147</v>
      </c>
      <c r="Z19" s="250">
        <f t="shared" si="15"/>
        <v>-1.42353212486969</v>
      </c>
      <c r="AB19" s="166" t="s">
        <v>76</v>
      </c>
      <c r="AC19" s="147">
        <v>0.0142164026664817</v>
      </c>
      <c r="AD19" s="147">
        <v>0.0131286329509009</v>
      </c>
      <c r="AE19" s="147">
        <v>0.00858989463526871</v>
      </c>
      <c r="AF19" s="147">
        <v>0.0100652081538932</v>
      </c>
      <c r="AG19" s="147">
        <v>0.0127006710191984</v>
      </c>
      <c r="AH19" s="147">
        <v>0.0138848534630554</v>
      </c>
      <c r="AI19" s="220">
        <v>0.0159904863852257</v>
      </c>
      <c r="AJ19" t="s">
        <v>172</v>
      </c>
    </row>
    <row r="20" customFormat="1" spans="1:36">
      <c r="A20" s="166" t="s">
        <v>78</v>
      </c>
      <c r="B20" s="166">
        <v>0.0028622</v>
      </c>
      <c r="C20" s="147">
        <v>0.0041098</v>
      </c>
      <c r="D20" s="147">
        <v>0.0071135</v>
      </c>
      <c r="E20" s="147">
        <v>0.007584</v>
      </c>
      <c r="F20" s="147">
        <v>0.0075542</v>
      </c>
      <c r="G20" s="147">
        <v>0.0069118</v>
      </c>
      <c r="H20" s="220">
        <v>0.0030738</v>
      </c>
      <c r="J20" s="166" t="s">
        <v>78</v>
      </c>
      <c r="K20" s="249">
        <f t="shared" si="2"/>
        <v>0.628579610525789</v>
      </c>
      <c r="L20" s="250">
        <f t="shared" si="3"/>
        <v>0.792926643834671</v>
      </c>
      <c r="M20" s="251">
        <f t="shared" si="4"/>
        <v>1.06167170800373</v>
      </c>
      <c r="N20" s="251">
        <f t="shared" si="5"/>
        <v>1.11092544850721</v>
      </c>
      <c r="O20" s="251">
        <f t="shared" si="6"/>
        <v>1.24828884658578</v>
      </c>
      <c r="P20" s="251">
        <f t="shared" si="7"/>
        <v>1.33010971891438</v>
      </c>
      <c r="Q20" s="250">
        <f t="shared" si="8"/>
        <v>0.925679022390248</v>
      </c>
      <c r="S20" s="166" t="s">
        <v>78</v>
      </c>
      <c r="T20" s="249">
        <f t="shared" si="9"/>
        <v>0.511383958638192</v>
      </c>
      <c r="U20" s="250">
        <f t="shared" si="10"/>
        <v>-0.0518821906481303</v>
      </c>
      <c r="V20" s="251">
        <f t="shared" si="11"/>
        <v>-1.24021745590572</v>
      </c>
      <c r="W20" s="251">
        <f t="shared" si="12"/>
        <v>-1.15822405649543</v>
      </c>
      <c r="X20" s="251">
        <f t="shared" si="13"/>
        <v>-1.42142871474468</v>
      </c>
      <c r="Y20" s="251">
        <f t="shared" si="14"/>
        <v>-1.15631290332062</v>
      </c>
      <c r="Z20" s="250">
        <f t="shared" si="15"/>
        <v>0.848240694019385</v>
      </c>
      <c r="AB20" s="166" t="s">
        <v>78</v>
      </c>
      <c r="AC20" s="147">
        <v>0.00455344072902054</v>
      </c>
      <c r="AD20" s="147">
        <v>0.0051830771887354</v>
      </c>
      <c r="AE20" s="147">
        <v>0.00670028215537133</v>
      </c>
      <c r="AF20" s="147">
        <v>0.00682674072341299</v>
      </c>
      <c r="AG20" s="147">
        <v>0.00605164423335323</v>
      </c>
      <c r="AH20" s="147">
        <v>0.00519641342493259</v>
      </c>
      <c r="AI20" s="220">
        <v>0.003320589454499</v>
      </c>
      <c r="AJ20" t="s">
        <v>173</v>
      </c>
    </row>
    <row r="21" customFormat="1" spans="1:36">
      <c r="A21" s="166" t="s">
        <v>80</v>
      </c>
      <c r="B21" s="166">
        <v>0.0007689</v>
      </c>
      <c r="C21" s="147">
        <v>0.0011637</v>
      </c>
      <c r="D21" s="147">
        <v>0.0012594</v>
      </c>
      <c r="E21" s="147">
        <v>0.0011536</v>
      </c>
      <c r="F21" s="147">
        <v>0.0012558</v>
      </c>
      <c r="G21" s="147">
        <v>0.0009613</v>
      </c>
      <c r="H21" s="220">
        <v>0.0007703</v>
      </c>
      <c r="J21" s="166" t="s">
        <v>80</v>
      </c>
      <c r="K21" s="249">
        <f t="shared" si="2"/>
        <v>1.08576750789989</v>
      </c>
      <c r="L21" s="250">
        <f t="shared" si="3"/>
        <v>1.24708394499068</v>
      </c>
      <c r="M21" s="251">
        <f t="shared" si="4"/>
        <v>1.94244466121839</v>
      </c>
      <c r="N21" s="251">
        <f t="shared" si="5"/>
        <v>1.63364061178695</v>
      </c>
      <c r="O21" s="251">
        <f t="shared" si="6"/>
        <v>1.41262969002139</v>
      </c>
      <c r="P21" s="251">
        <f t="shared" si="7"/>
        <v>1.18570330240256</v>
      </c>
      <c r="Q21" s="250">
        <f t="shared" si="8"/>
        <v>1.04121001449754</v>
      </c>
      <c r="S21" s="166" t="s">
        <v>80</v>
      </c>
      <c r="T21" s="249">
        <f t="shared" si="9"/>
        <v>6.26630977533636</v>
      </c>
      <c r="U21" s="250">
        <f t="shared" si="10"/>
        <v>2.88620967013449</v>
      </c>
      <c r="V21" s="251">
        <f t="shared" si="11"/>
        <v>-4.44733796686585</v>
      </c>
      <c r="W21" s="251">
        <f t="shared" si="12"/>
        <v>-2.10131337642898</v>
      </c>
      <c r="X21" s="251">
        <f t="shared" si="13"/>
        <v>-2.61109518913621</v>
      </c>
      <c r="Y21" s="251">
        <f t="shared" si="14"/>
        <v>-0.0795982318228116</v>
      </c>
      <c r="Z21" s="250">
        <f t="shared" si="15"/>
        <v>6.94029745430946</v>
      </c>
      <c r="AB21" s="166" t="s">
        <v>80</v>
      </c>
      <c r="AC21" s="147">
        <v>0.000708162653980331</v>
      </c>
      <c r="AD21" s="147">
        <v>0.000933136862738376</v>
      </c>
      <c r="AE21" s="147">
        <v>0.000648358239050192</v>
      </c>
      <c r="AF21" s="147">
        <v>0.000706152865983258</v>
      </c>
      <c r="AG21" s="147">
        <v>0.000888980324334671</v>
      </c>
      <c r="AH21" s="147">
        <v>0.000810742449693901</v>
      </c>
      <c r="AI21" s="220">
        <v>0.000739812323426147</v>
      </c>
      <c r="AJ21" t="s">
        <v>174</v>
      </c>
    </row>
    <row r="22" customFormat="1" spans="1:36">
      <c r="A22" s="166" t="s">
        <v>82</v>
      </c>
      <c r="B22" s="166">
        <v>0.0039336</v>
      </c>
      <c r="C22" s="147">
        <v>0.0049627</v>
      </c>
      <c r="D22" s="147">
        <v>0.0060818</v>
      </c>
      <c r="E22" s="147">
        <v>0.0058767</v>
      </c>
      <c r="F22" s="147">
        <v>0.0050566</v>
      </c>
      <c r="G22" s="147">
        <v>0.0044773</v>
      </c>
      <c r="H22" s="220">
        <v>0.0039142</v>
      </c>
      <c r="J22" s="166" t="s">
        <v>82</v>
      </c>
      <c r="K22" s="249">
        <f t="shared" si="2"/>
        <v>1.00334767053147</v>
      </c>
      <c r="L22" s="250">
        <f t="shared" si="3"/>
        <v>1.1391261790722</v>
      </c>
      <c r="M22" s="251">
        <f t="shared" si="4"/>
        <v>1.64945108233769</v>
      </c>
      <c r="N22" s="251">
        <f t="shared" si="5"/>
        <v>1.44608837190221</v>
      </c>
      <c r="O22" s="251">
        <f t="shared" si="6"/>
        <v>1.18771625954298</v>
      </c>
      <c r="P22" s="251">
        <f t="shared" si="7"/>
        <v>1.06971208530325</v>
      </c>
      <c r="Q22" s="250">
        <f t="shared" si="8"/>
        <v>0.993500767663377</v>
      </c>
      <c r="S22" s="166" t="s">
        <v>82</v>
      </c>
      <c r="T22" s="249">
        <f t="shared" si="9"/>
        <v>0.320470595193538</v>
      </c>
      <c r="U22" s="250">
        <f t="shared" si="10"/>
        <v>-0.256544821839676</v>
      </c>
      <c r="V22" s="251">
        <f t="shared" si="11"/>
        <v>-2.0840424866842</v>
      </c>
      <c r="W22" s="251">
        <f t="shared" si="12"/>
        <v>-1.52446927732122</v>
      </c>
      <c r="X22" s="251">
        <f t="shared" si="13"/>
        <v>-1.43616738983483</v>
      </c>
      <c r="Y22" s="251">
        <f t="shared" si="14"/>
        <v>-0.855938838610411</v>
      </c>
      <c r="Z22" s="250">
        <f t="shared" si="15"/>
        <v>0.500524995755747</v>
      </c>
      <c r="AB22" s="166" t="s">
        <v>82</v>
      </c>
      <c r="AC22" s="147">
        <v>0.00392047553956684</v>
      </c>
      <c r="AD22" s="147">
        <v>0.00435658497818217</v>
      </c>
      <c r="AE22" s="147">
        <v>0.00368716603064126</v>
      </c>
      <c r="AF22" s="147">
        <v>0.00406385952213258</v>
      </c>
      <c r="AG22" s="147">
        <v>0.00425741414194812</v>
      </c>
      <c r="AH22" s="147">
        <v>0.00418551875921899</v>
      </c>
      <c r="AI22" s="220">
        <v>0.00393980571268791</v>
      </c>
      <c r="AJ22" t="s">
        <v>175</v>
      </c>
    </row>
    <row r="23" customFormat="1" spans="1:36">
      <c r="A23" s="166" t="s">
        <v>84</v>
      </c>
      <c r="B23" s="166">
        <v>0.0014143</v>
      </c>
      <c r="C23" s="147">
        <v>0.0004883</v>
      </c>
      <c r="D23" s="147">
        <v>0.0004681</v>
      </c>
      <c r="E23" s="147">
        <v>0.0003598</v>
      </c>
      <c r="F23" s="147">
        <v>0.0004901</v>
      </c>
      <c r="G23" s="147">
        <v>0.0006285</v>
      </c>
      <c r="H23" s="220">
        <v>0.0016149</v>
      </c>
      <c r="J23" s="166" t="s">
        <v>84</v>
      </c>
      <c r="K23" s="249">
        <f t="shared" si="2"/>
        <v>2.24048494858255</v>
      </c>
      <c r="L23" s="250">
        <f t="shared" si="3"/>
        <v>1.50180936096304</v>
      </c>
      <c r="M23" s="251">
        <f t="shared" si="4"/>
        <v>1.98263069364054</v>
      </c>
      <c r="N23" s="251">
        <f t="shared" si="5"/>
        <v>1.36316986218813</v>
      </c>
      <c r="O23" s="251">
        <f t="shared" si="6"/>
        <v>1.12350460608914</v>
      </c>
      <c r="P23" s="251">
        <f t="shared" si="7"/>
        <v>1.21487704158976</v>
      </c>
      <c r="Q23" s="250">
        <f t="shared" si="8"/>
        <v>2.26244017900628</v>
      </c>
      <c r="S23" s="166" t="s">
        <v>84</v>
      </c>
      <c r="T23" s="249">
        <f t="shared" si="9"/>
        <v>6.00388209269452</v>
      </c>
      <c r="U23" s="250">
        <f t="shared" si="10"/>
        <v>10.3681177560931</v>
      </c>
      <c r="V23" s="251">
        <f t="shared" si="11"/>
        <v>-8.86958690486222</v>
      </c>
      <c r="W23" s="251">
        <f t="shared" si="12"/>
        <v>-2.6170203195209</v>
      </c>
      <c r="X23" s="251">
        <f t="shared" si="13"/>
        <v>-3.56876249434415</v>
      </c>
      <c r="Y23" s="251">
        <f t="shared" si="14"/>
        <v>0.518838367857721</v>
      </c>
      <c r="Z23" s="250">
        <f t="shared" si="15"/>
        <v>6.00506404794129</v>
      </c>
      <c r="AB23" s="166" t="s">
        <v>84</v>
      </c>
      <c r="AC23" s="147">
        <v>0.000631247266755692</v>
      </c>
      <c r="AD23" s="147">
        <v>0.000325141134882044</v>
      </c>
      <c r="AE23" s="147">
        <v>0.000236100450528418</v>
      </c>
      <c r="AF23" s="147">
        <v>0.00026394362872904</v>
      </c>
      <c r="AG23" s="147">
        <v>0.000436224290798427</v>
      </c>
      <c r="AH23" s="147">
        <v>0.000517336305226051</v>
      </c>
      <c r="AI23" s="220">
        <v>0.000713786828480612</v>
      </c>
      <c r="AJ23" t="s">
        <v>176</v>
      </c>
    </row>
    <row r="24" customFormat="1" spans="1:36">
      <c r="A24" s="166" t="s">
        <v>86</v>
      </c>
      <c r="B24" s="166">
        <v>0.0006484</v>
      </c>
      <c r="C24" s="147">
        <v>0.0011437</v>
      </c>
      <c r="D24" s="147">
        <v>0.0017065</v>
      </c>
      <c r="E24" s="147">
        <v>0.0026081</v>
      </c>
      <c r="F24" s="147">
        <v>0.0016393</v>
      </c>
      <c r="G24" s="147">
        <v>0.0020531</v>
      </c>
      <c r="H24" s="220">
        <v>0.0006045</v>
      </c>
      <c r="J24" s="166" t="s">
        <v>86</v>
      </c>
      <c r="K24" s="249">
        <f t="shared" si="2"/>
        <v>0.743708367165731</v>
      </c>
      <c r="L24" s="250">
        <f t="shared" si="3"/>
        <v>1.0997176612374</v>
      </c>
      <c r="M24" s="251">
        <f t="shared" si="4"/>
        <v>1.41812378490732</v>
      </c>
      <c r="N24" s="251">
        <f t="shared" si="5"/>
        <v>2.16938994397499</v>
      </c>
      <c r="O24" s="251">
        <f t="shared" si="6"/>
        <v>1.65479102559261</v>
      </c>
      <c r="P24" s="251">
        <f t="shared" si="7"/>
        <v>1.85151015381685</v>
      </c>
      <c r="Q24" s="250">
        <f t="shared" si="8"/>
        <v>0.864840428743104</v>
      </c>
      <c r="S24" s="166" t="s">
        <v>86</v>
      </c>
      <c r="T24" s="249">
        <f t="shared" si="9"/>
        <v>5.22859312974556</v>
      </c>
      <c r="U24" s="250">
        <f t="shared" si="10"/>
        <v>2.60883824460768</v>
      </c>
      <c r="V24" s="251">
        <f t="shared" si="11"/>
        <v>-2.76704847361048</v>
      </c>
      <c r="W24" s="251">
        <f t="shared" si="12"/>
        <v>-2.44104223788762</v>
      </c>
      <c r="X24" s="251">
        <f t="shared" si="13"/>
        <v>-2.72923221198549</v>
      </c>
      <c r="Y24" s="251">
        <f t="shared" si="14"/>
        <v>-1.04212435640756</v>
      </c>
      <c r="Z24" s="250">
        <f t="shared" si="15"/>
        <v>7.58433543878808</v>
      </c>
      <c r="AB24" s="166" t="s">
        <v>86</v>
      </c>
      <c r="AC24" s="147">
        <v>0.00087184712264439</v>
      </c>
      <c r="AD24" s="147">
        <v>0.00103999420970753</v>
      </c>
      <c r="AE24" s="147">
        <v>0.00120335052423617</v>
      </c>
      <c r="AF24" s="147">
        <v>0.00120222738528102</v>
      </c>
      <c r="AG24" s="147">
        <v>0.000990638681650412</v>
      </c>
      <c r="AH24" s="147">
        <v>0.00110887860688616</v>
      </c>
      <c r="AI24" s="220">
        <v>0.000698972873965358</v>
      </c>
      <c r="AJ24" t="s">
        <v>177</v>
      </c>
    </row>
    <row r="25" customFormat="1" spans="1:36">
      <c r="A25" s="166" t="s">
        <v>88</v>
      </c>
      <c r="B25" s="166">
        <v>0.0032582</v>
      </c>
      <c r="C25" s="147">
        <v>0.0013158</v>
      </c>
      <c r="D25" s="147">
        <v>0.0007248</v>
      </c>
      <c r="E25" s="147">
        <v>0.0005634</v>
      </c>
      <c r="F25" s="147">
        <v>0.0012795</v>
      </c>
      <c r="G25" s="147">
        <v>0.002148</v>
      </c>
      <c r="H25" s="220">
        <v>0.0033369</v>
      </c>
      <c r="J25" s="166" t="s">
        <v>88</v>
      </c>
      <c r="K25" s="249">
        <f t="shared" si="2"/>
        <v>1.81429590874192</v>
      </c>
      <c r="L25" s="250">
        <f t="shared" si="3"/>
        <v>2.2559592183662</v>
      </c>
      <c r="M25" s="251">
        <f t="shared" si="4"/>
        <v>2.52194285748924</v>
      </c>
      <c r="N25" s="251">
        <f t="shared" si="5"/>
        <v>1.24750969124446</v>
      </c>
      <c r="O25" s="251">
        <f t="shared" si="6"/>
        <v>1.41646636957874</v>
      </c>
      <c r="P25" s="251">
        <f t="shared" si="7"/>
        <v>1.71623118408746</v>
      </c>
      <c r="Q25" s="250">
        <f t="shared" si="8"/>
        <v>1.53884774980376</v>
      </c>
      <c r="S25" s="166" t="s">
        <v>88</v>
      </c>
      <c r="T25" s="249">
        <f t="shared" si="9"/>
        <v>1.08027195234757</v>
      </c>
      <c r="U25" s="250">
        <f t="shared" si="10"/>
        <v>4.35703009587406</v>
      </c>
      <c r="V25" s="251">
        <f t="shared" si="11"/>
        <v>-8.17725765088139</v>
      </c>
      <c r="W25" s="251">
        <f t="shared" si="12"/>
        <v>-1.98022786018261</v>
      </c>
      <c r="X25" s="251">
        <f t="shared" si="13"/>
        <v>-2.59581365415029</v>
      </c>
      <c r="Y25" s="251">
        <f t="shared" si="14"/>
        <v>-0.999214302057409</v>
      </c>
      <c r="Z25" s="250">
        <f t="shared" si="15"/>
        <v>1.75075754012356</v>
      </c>
      <c r="AB25" s="166" t="s">
        <v>88</v>
      </c>
      <c r="AC25" s="147">
        <v>0.0017958481768607</v>
      </c>
      <c r="AD25" s="147">
        <v>0.000583255224335535</v>
      </c>
      <c r="AE25" s="147">
        <v>0.000287397471297818</v>
      </c>
      <c r="AF25" s="147">
        <v>0.000451619738070312</v>
      </c>
      <c r="AG25" s="147">
        <v>0.000903304185316113</v>
      </c>
      <c r="AH25" s="147">
        <v>0.00125157963560842</v>
      </c>
      <c r="AI25" s="220">
        <v>0.00216844064035934</v>
      </c>
      <c r="AJ25" t="s">
        <v>178</v>
      </c>
    </row>
    <row r="26" customFormat="1" spans="1:36">
      <c r="A26" s="166" t="s">
        <v>90</v>
      </c>
      <c r="B26" s="166">
        <v>0.0068788</v>
      </c>
      <c r="C26" s="147">
        <v>0.0072071</v>
      </c>
      <c r="D26" s="147">
        <v>0.0081602</v>
      </c>
      <c r="E26" s="147">
        <v>0.007355</v>
      </c>
      <c r="F26" s="147">
        <v>0.0086188</v>
      </c>
      <c r="G26" s="147">
        <v>0.0078042</v>
      </c>
      <c r="H26" s="220">
        <v>0.0070508</v>
      </c>
      <c r="J26" s="166" t="s">
        <v>90</v>
      </c>
      <c r="K26" s="249">
        <f t="shared" si="2"/>
        <v>1.18055284690091</v>
      </c>
      <c r="L26" s="250">
        <f t="shared" si="3"/>
        <v>1.22848294905236</v>
      </c>
      <c r="M26" s="251">
        <f t="shared" si="4"/>
        <v>1.73261755823997</v>
      </c>
      <c r="N26" s="251">
        <f t="shared" si="5"/>
        <v>1.36131506495275</v>
      </c>
      <c r="O26" s="251">
        <f t="shared" si="6"/>
        <v>1.42983361235223</v>
      </c>
      <c r="P26" s="251">
        <f t="shared" si="7"/>
        <v>1.2603755559626</v>
      </c>
      <c r="Q26" s="250">
        <f t="shared" si="8"/>
        <v>1.19904655559445</v>
      </c>
      <c r="S26" s="166" t="s">
        <v>90</v>
      </c>
      <c r="T26" s="249">
        <f t="shared" si="9"/>
        <v>-0.291234462026995</v>
      </c>
      <c r="U26" s="250">
        <f t="shared" si="10"/>
        <v>-0.573428167316387</v>
      </c>
      <c r="V26" s="251">
        <f t="shared" si="11"/>
        <v>-2.06923305338255</v>
      </c>
      <c r="W26" s="251">
        <f t="shared" si="12"/>
        <v>-1.4194941444174</v>
      </c>
      <c r="X26" s="251">
        <f t="shared" si="13"/>
        <v>-1.14840142566462</v>
      </c>
      <c r="Y26" s="251">
        <f t="shared" si="14"/>
        <v>-1.11453161140791</v>
      </c>
      <c r="Z26" s="250">
        <f t="shared" si="15"/>
        <v>0.0109397831237601</v>
      </c>
      <c r="AB26" s="166" t="s">
        <v>90</v>
      </c>
      <c r="AC26" s="147">
        <v>0.00582676160415661</v>
      </c>
      <c r="AD26" s="147">
        <v>0.00586666669289915</v>
      </c>
      <c r="AE26" s="147">
        <v>0.00470975257129986</v>
      </c>
      <c r="AF26" s="147">
        <v>0.00540286388460359</v>
      </c>
      <c r="AG26" s="147">
        <v>0.00602783423577596</v>
      </c>
      <c r="AH26" s="147">
        <v>0.00619196394525407</v>
      </c>
      <c r="AI26" s="220">
        <v>0.00588033881345371</v>
      </c>
      <c r="AJ26" t="s">
        <v>179</v>
      </c>
    </row>
    <row r="27" customFormat="1" spans="1:36">
      <c r="A27" s="166" t="s">
        <v>92</v>
      </c>
      <c r="B27" s="166">
        <v>0.1257856</v>
      </c>
      <c r="C27" s="147">
        <v>0.0552807</v>
      </c>
      <c r="D27" s="147">
        <v>0.0641279</v>
      </c>
      <c r="E27" s="147">
        <v>0.047935</v>
      </c>
      <c r="F27" s="147">
        <v>0.0644531</v>
      </c>
      <c r="G27" s="147">
        <v>0.0644995</v>
      </c>
      <c r="H27" s="220">
        <v>0.1254151</v>
      </c>
      <c r="J27" s="166" t="s">
        <v>92</v>
      </c>
      <c r="K27" s="249">
        <f t="shared" si="2"/>
        <v>0.765162834735127</v>
      </c>
      <c r="L27" s="250">
        <f t="shared" si="3"/>
        <v>0.620597628418775</v>
      </c>
      <c r="M27" s="251">
        <f t="shared" si="4"/>
        <v>0.46182747083872</v>
      </c>
      <c r="N27" s="251">
        <f t="shared" si="5"/>
        <v>0.347022650154606</v>
      </c>
      <c r="O27" s="251">
        <f t="shared" si="6"/>
        <v>0.4446658440014</v>
      </c>
      <c r="P27" s="251">
        <f t="shared" si="7"/>
        <v>0.442838814561491</v>
      </c>
      <c r="Q27" s="250">
        <f t="shared" si="8"/>
        <v>0.854890340942187</v>
      </c>
      <c r="S27" s="166" t="s">
        <v>92</v>
      </c>
      <c r="T27" s="249">
        <f t="shared" si="9"/>
        <v>-0.766993135870193</v>
      </c>
      <c r="U27" s="250">
        <f t="shared" si="10"/>
        <v>-0.600620780850266</v>
      </c>
      <c r="V27" s="251">
        <f t="shared" si="11"/>
        <v>-0.507303801545205</v>
      </c>
      <c r="W27" s="251">
        <f t="shared" si="12"/>
        <v>-0.380605228707132</v>
      </c>
      <c r="X27" s="251">
        <f t="shared" si="13"/>
        <v>-0.487347063000226</v>
      </c>
      <c r="Y27" s="251">
        <f t="shared" si="14"/>
        <v>-0.473011147689648</v>
      </c>
      <c r="Z27" s="250">
        <f t="shared" si="15"/>
        <v>-0.837860166031653</v>
      </c>
      <c r="AB27" s="166" t="s">
        <v>92</v>
      </c>
      <c r="AC27" s="147">
        <v>0.164390629405756</v>
      </c>
      <c r="AD27" s="147">
        <v>0.0890765569646955</v>
      </c>
      <c r="AE27" s="147">
        <v>0.138856833015017</v>
      </c>
      <c r="AF27" s="147">
        <v>0.13813219390332</v>
      </c>
      <c r="AG27" s="147">
        <v>0.144947269662108</v>
      </c>
      <c r="AH27" s="147">
        <v>0.145650060200502</v>
      </c>
      <c r="AI27" s="220">
        <v>0.146703143074208</v>
      </c>
      <c r="AJ27" t="s">
        <v>180</v>
      </c>
    </row>
    <row r="28" customFormat="1" spans="1:36">
      <c r="A28" s="166" t="s">
        <v>94</v>
      </c>
      <c r="B28" s="166">
        <v>0.0258411</v>
      </c>
      <c r="C28" s="147">
        <v>0.0640816</v>
      </c>
      <c r="D28" s="147">
        <v>0.0145387</v>
      </c>
      <c r="E28" s="147">
        <v>0.0298737</v>
      </c>
      <c r="F28" s="147">
        <v>0.0376964</v>
      </c>
      <c r="G28" s="147">
        <v>0.0391415</v>
      </c>
      <c r="H28" s="220">
        <v>0.0257025</v>
      </c>
      <c r="J28" s="166" t="s">
        <v>94</v>
      </c>
      <c r="K28" s="249">
        <f t="shared" si="2"/>
        <v>1.29386454544465</v>
      </c>
      <c r="L28" s="250">
        <f t="shared" si="3"/>
        <v>2.17748501921423</v>
      </c>
      <c r="M28" s="251">
        <f t="shared" si="4"/>
        <v>1.56444211499822</v>
      </c>
      <c r="N28" s="251">
        <f t="shared" si="5"/>
        <v>2.01529249428286</v>
      </c>
      <c r="O28" s="251">
        <f t="shared" si="6"/>
        <v>2.0466601459853</v>
      </c>
      <c r="P28" s="251">
        <f t="shared" si="7"/>
        <v>1.69420653309802</v>
      </c>
      <c r="Q28" s="250">
        <f t="shared" si="8"/>
        <v>0.951372190440668</v>
      </c>
      <c r="S28" s="166" t="s">
        <v>94</v>
      </c>
      <c r="T28" s="249">
        <f t="shared" si="9"/>
        <v>-1.03212343274724</v>
      </c>
      <c r="U28" s="250">
        <f t="shared" si="10"/>
        <v>-1.97923627070398</v>
      </c>
      <c r="V28" s="251">
        <f t="shared" si="11"/>
        <v>-1.7287455108894</v>
      </c>
      <c r="W28" s="251">
        <f t="shared" si="12"/>
        <v>-2.00662893170799</v>
      </c>
      <c r="X28" s="251">
        <f t="shared" si="13"/>
        <v>-2.06296067804812</v>
      </c>
      <c r="Y28" s="251">
        <f t="shared" si="14"/>
        <v>-1.62971090691207</v>
      </c>
      <c r="Z28" s="250">
        <f t="shared" si="15"/>
        <v>-0.739509742716399</v>
      </c>
      <c r="AB28" s="166" t="s">
        <v>94</v>
      </c>
      <c r="AC28" s="147">
        <v>0.019972028827113</v>
      </c>
      <c r="AD28" s="147">
        <v>0.0294291806531577</v>
      </c>
      <c r="AE28" s="147">
        <v>0.00929321696253141</v>
      </c>
      <c r="AF28" s="147">
        <v>0.0148235058110661</v>
      </c>
      <c r="AG28" s="147">
        <v>0.0184184951634226</v>
      </c>
      <c r="AH28" s="147">
        <v>0.0231031454756735</v>
      </c>
      <c r="AI28" s="220">
        <v>0.0270162406030544</v>
      </c>
      <c r="AJ28" t="s">
        <v>181</v>
      </c>
    </row>
    <row r="29" customFormat="1" spans="1:36">
      <c r="A29" s="166" t="s">
        <v>96</v>
      </c>
      <c r="B29" s="166">
        <v>0.0164762</v>
      </c>
      <c r="C29" s="147">
        <v>0.0307404</v>
      </c>
      <c r="D29" s="147">
        <v>0.0612797</v>
      </c>
      <c r="E29" s="147">
        <v>0.0577219</v>
      </c>
      <c r="F29" s="147">
        <v>0.0493042</v>
      </c>
      <c r="G29" s="147">
        <v>0.0368827</v>
      </c>
      <c r="H29" s="220">
        <v>0.0149872</v>
      </c>
      <c r="J29" s="166" t="s">
        <v>96</v>
      </c>
      <c r="K29" s="249">
        <f t="shared" si="2"/>
        <v>0.289158225069576</v>
      </c>
      <c r="L29" s="250">
        <f t="shared" si="3"/>
        <v>0.377549755236522</v>
      </c>
      <c r="M29" s="251">
        <f t="shared" si="4"/>
        <v>0.539401732012554</v>
      </c>
      <c r="N29" s="251">
        <f t="shared" si="5"/>
        <v>0.63092648185809</v>
      </c>
      <c r="O29" s="251">
        <f t="shared" si="6"/>
        <v>0.614462617817971</v>
      </c>
      <c r="P29" s="251">
        <f t="shared" si="7"/>
        <v>0.546419902321566</v>
      </c>
      <c r="Q29" s="250">
        <f t="shared" si="8"/>
        <v>0.352148804018844</v>
      </c>
      <c r="S29" s="166" t="s">
        <v>96</v>
      </c>
      <c r="T29" s="249">
        <f t="shared" si="9"/>
        <v>-0.210933346033496</v>
      </c>
      <c r="U29" s="250">
        <f t="shared" si="10"/>
        <v>-0.350719368051238</v>
      </c>
      <c r="V29" s="251">
        <f t="shared" si="11"/>
        <v>-0.581069442334976</v>
      </c>
      <c r="W29" s="251">
        <f t="shared" si="12"/>
        <v>-0.655640605585785</v>
      </c>
      <c r="X29" s="251">
        <f t="shared" si="13"/>
        <v>-0.646115919136059</v>
      </c>
      <c r="Y29" s="251">
        <f t="shared" si="14"/>
        <v>-0.550343733491218</v>
      </c>
      <c r="Z29" s="250">
        <f t="shared" si="15"/>
        <v>-0.225088655346553</v>
      </c>
      <c r="AB29" s="166" t="s">
        <v>96</v>
      </c>
      <c r="AC29" s="147">
        <v>0.0569798766610756</v>
      </c>
      <c r="AD29" s="147">
        <v>0.0814207917595979</v>
      </c>
      <c r="AE29" s="147">
        <v>0.113606791308141</v>
      </c>
      <c r="AF29" s="147">
        <v>0.0914875213828527</v>
      </c>
      <c r="AG29" s="147">
        <v>0.0802395435788836</v>
      </c>
      <c r="AH29" s="147">
        <v>0.0674988225049948</v>
      </c>
      <c r="AI29" s="220">
        <v>0.0425592812724646</v>
      </c>
      <c r="AJ29" t="s">
        <v>182</v>
      </c>
    </row>
    <row r="30" customFormat="1" spans="1:36">
      <c r="A30" s="166" t="s">
        <v>98</v>
      </c>
      <c r="B30" s="166">
        <v>8.98e-6</v>
      </c>
      <c r="C30" s="147">
        <v>-4.68e-5</v>
      </c>
      <c r="D30" s="147">
        <v>-6.15e-5</v>
      </c>
      <c r="E30" s="147">
        <v>-2.64e-5</v>
      </c>
      <c r="F30" s="147">
        <v>1.63e-8</v>
      </c>
      <c r="G30" s="147">
        <v>2.52e-5</v>
      </c>
      <c r="H30" s="220">
        <v>6.32e-6</v>
      </c>
      <c r="J30" s="166" t="s">
        <v>98</v>
      </c>
      <c r="K30" s="249">
        <f t="shared" si="2"/>
        <v>0.978871043967179</v>
      </c>
      <c r="L30" s="250">
        <f t="shared" si="3"/>
        <v>-0.826838219794117</v>
      </c>
      <c r="M30" s="251">
        <f t="shared" si="4"/>
        <v>-0.412203630243405</v>
      </c>
      <c r="N30" s="251">
        <f t="shared" si="5"/>
        <v>-0.610278272244014</v>
      </c>
      <c r="O30" s="251">
        <f t="shared" si="6"/>
        <v>0.0153685961273863</v>
      </c>
      <c r="P30" s="251">
        <f t="shared" si="7"/>
        <v>1.91699949925827</v>
      </c>
      <c r="Q30" s="250">
        <f t="shared" si="8"/>
        <v>0.76183517864223</v>
      </c>
      <c r="S30" s="166" t="s">
        <v>98</v>
      </c>
      <c r="T30" s="249">
        <f t="shared" si="9"/>
        <v>566.986548240549</v>
      </c>
      <c r="U30" s="250">
        <f t="shared" si="10"/>
        <v>69.048118395388</v>
      </c>
      <c r="V30" s="251">
        <f t="shared" si="11"/>
        <v>-10.4924733865796</v>
      </c>
      <c r="W30" s="251">
        <f t="shared" si="12"/>
        <v>-7.04301580054904</v>
      </c>
      <c r="X30" s="251">
        <f t="shared" si="13"/>
        <v>-1006.23467035867</v>
      </c>
      <c r="Y30" s="251">
        <f t="shared" si="14"/>
        <v>66.353910600424</v>
      </c>
      <c r="Z30" s="250">
        <f t="shared" si="15"/>
        <v>711.569434460362</v>
      </c>
      <c r="AB30" s="166" t="s">
        <v>98</v>
      </c>
      <c r="AC30" s="147">
        <v>9.17383352520651e-6</v>
      </c>
      <c r="AD30" s="147">
        <v>5.66011571304157e-5</v>
      </c>
      <c r="AE30" s="147">
        <v>0.000149198103771392</v>
      </c>
      <c r="AF30" s="147">
        <v>4.32589544814143e-5</v>
      </c>
      <c r="AG30" s="147">
        <v>1.06060435610992e-6</v>
      </c>
      <c r="AH30" s="147">
        <v>1.31455433398654e-5</v>
      </c>
      <c r="AI30" s="220">
        <v>8.29575763521937e-6</v>
      </c>
      <c r="AJ30" t="s">
        <v>183</v>
      </c>
    </row>
    <row r="31" customFormat="1" spans="1:36">
      <c r="A31" s="166" t="s">
        <v>100</v>
      </c>
      <c r="B31" s="166">
        <v>0.0122805</v>
      </c>
      <c r="C31" s="147">
        <v>0.016798</v>
      </c>
      <c r="D31" s="147">
        <v>0.0059278</v>
      </c>
      <c r="E31" s="147">
        <v>0.0061325</v>
      </c>
      <c r="F31" s="147">
        <v>0.0100219</v>
      </c>
      <c r="G31" s="147">
        <v>0.0132232</v>
      </c>
      <c r="H31" s="220">
        <v>0.0116065</v>
      </c>
      <c r="J31" s="166" t="s">
        <v>100</v>
      </c>
      <c r="K31" s="249">
        <f t="shared" si="2"/>
        <v>1.33456297673667</v>
      </c>
      <c r="L31" s="250">
        <f t="shared" si="3"/>
        <v>2.07297113572082</v>
      </c>
      <c r="M31" s="251">
        <f t="shared" si="4"/>
        <v>1.65185484266432</v>
      </c>
      <c r="N31" s="251">
        <f t="shared" si="5"/>
        <v>1.34741300163437</v>
      </c>
      <c r="O31" s="251">
        <f t="shared" si="6"/>
        <v>1.65103944860256</v>
      </c>
      <c r="P31" s="251">
        <f t="shared" si="7"/>
        <v>1.58708580782011</v>
      </c>
      <c r="Q31" s="250">
        <f t="shared" si="8"/>
        <v>0.981369278936206</v>
      </c>
      <c r="S31" s="166" t="s">
        <v>100</v>
      </c>
      <c r="T31" s="249">
        <f t="shared" si="9"/>
        <v>-0.771169071179381</v>
      </c>
      <c r="U31" s="250">
        <f t="shared" si="10"/>
        <v>-1.58646060591604</v>
      </c>
      <c r="V31" s="251">
        <f t="shared" si="11"/>
        <v>-2.09865911726062</v>
      </c>
      <c r="W31" s="251">
        <f t="shared" si="12"/>
        <v>-1.41759787794902</v>
      </c>
      <c r="X31" s="251">
        <f t="shared" si="13"/>
        <v>-1.81856113341219</v>
      </c>
      <c r="Y31" s="251">
        <f t="shared" si="14"/>
        <v>-1.47302610469872</v>
      </c>
      <c r="Z31" s="250">
        <f t="shared" si="15"/>
        <v>-0.487726549498484</v>
      </c>
      <c r="AB31" s="166" t="s">
        <v>100</v>
      </c>
      <c r="AC31" s="147">
        <v>0.00920188871867912</v>
      </c>
      <c r="AD31" s="147">
        <v>0.00810334486117144</v>
      </c>
      <c r="AE31" s="147">
        <v>0.00358857197793415</v>
      </c>
      <c r="AF31" s="147">
        <v>0.00455131425373027</v>
      </c>
      <c r="AG31" s="147">
        <v>0.00607005484241007</v>
      </c>
      <c r="AH31" s="147">
        <v>0.00833174862685108</v>
      </c>
      <c r="AI31" s="220">
        <v>0.0118268426056513</v>
      </c>
      <c r="AJ31" t="s">
        <v>184</v>
      </c>
    </row>
    <row r="32" customFormat="1" spans="1:36">
      <c r="A32" s="166" t="s">
        <v>102</v>
      </c>
      <c r="B32" s="166">
        <v>0.0030501</v>
      </c>
      <c r="C32" s="147">
        <v>0.0056637</v>
      </c>
      <c r="D32" s="147">
        <v>0.0057552</v>
      </c>
      <c r="E32" s="147">
        <v>0.0051591</v>
      </c>
      <c r="F32" s="147">
        <v>0.0045804</v>
      </c>
      <c r="G32" s="147">
        <v>0.0046318</v>
      </c>
      <c r="H32" s="220">
        <v>0.0027578</v>
      </c>
      <c r="J32" s="166" t="s">
        <v>102</v>
      </c>
      <c r="K32" s="249">
        <f t="shared" si="2"/>
        <v>0.852168347922496</v>
      </c>
      <c r="L32" s="250">
        <f t="shared" si="3"/>
        <v>1.08069085640735</v>
      </c>
      <c r="M32" s="251">
        <f t="shared" si="4"/>
        <v>1.54024663585196</v>
      </c>
      <c r="N32" s="251">
        <f t="shared" si="5"/>
        <v>1.26148347734831</v>
      </c>
      <c r="O32" s="251">
        <f t="shared" si="6"/>
        <v>1.04523360508211</v>
      </c>
      <c r="P32" s="251">
        <f t="shared" si="7"/>
        <v>1.07316545581452</v>
      </c>
      <c r="Q32" s="250">
        <f t="shared" si="8"/>
        <v>0.729131504764526</v>
      </c>
      <c r="S32" s="166" t="s">
        <v>102</v>
      </c>
      <c r="T32" s="249">
        <f t="shared" si="9"/>
        <v>0.598698015606482</v>
      </c>
      <c r="U32" s="250">
        <f t="shared" si="10"/>
        <v>-0.347645532249869</v>
      </c>
      <c r="V32" s="251">
        <f t="shared" si="11"/>
        <v>-1.97002228044268</v>
      </c>
      <c r="W32" s="251">
        <f t="shared" si="12"/>
        <v>-1.34068692512803</v>
      </c>
      <c r="X32" s="251">
        <f t="shared" si="13"/>
        <v>-1.28744974947115</v>
      </c>
      <c r="Y32" s="251">
        <f t="shared" si="14"/>
        <v>-0.865849283614421</v>
      </c>
      <c r="Z32" s="250">
        <f t="shared" si="15"/>
        <v>0.828180500139801</v>
      </c>
      <c r="AB32" s="166" t="s">
        <v>102</v>
      </c>
      <c r="AC32" s="147">
        <v>0.00357922235370024</v>
      </c>
      <c r="AD32" s="147">
        <v>0.00524081421289006</v>
      </c>
      <c r="AE32" s="147">
        <v>0.00373654443777869</v>
      </c>
      <c r="AF32" s="147">
        <v>0.00408970873787791</v>
      </c>
      <c r="AG32" s="147">
        <v>0.00438217827835737</v>
      </c>
      <c r="AH32" s="147">
        <v>0.00431601667282935</v>
      </c>
      <c r="AI32" s="220">
        <v>0.00378230810488793</v>
      </c>
      <c r="AJ32" t="s">
        <v>185</v>
      </c>
    </row>
    <row r="33" customFormat="1" spans="1:36">
      <c r="A33" s="166" t="s">
        <v>104</v>
      </c>
      <c r="B33" s="166">
        <v>0.0047745</v>
      </c>
      <c r="C33" s="147">
        <v>0.0051239</v>
      </c>
      <c r="D33" s="147">
        <v>0.0037068</v>
      </c>
      <c r="E33" s="147">
        <v>0.0039789</v>
      </c>
      <c r="F33" s="147">
        <v>0.0038295</v>
      </c>
      <c r="G33" s="147">
        <v>0.0044309</v>
      </c>
      <c r="H33" s="220">
        <v>0.0042959</v>
      </c>
      <c r="J33" s="166" t="s">
        <v>104</v>
      </c>
      <c r="K33" s="249">
        <f t="shared" si="2"/>
        <v>0.84540667691092</v>
      </c>
      <c r="L33" s="250">
        <f t="shared" si="3"/>
        <v>1.01833128122919</v>
      </c>
      <c r="M33" s="251">
        <f t="shared" si="4"/>
        <v>0.847250640071678</v>
      </c>
      <c r="N33" s="251">
        <f t="shared" si="5"/>
        <v>0.754112925393532</v>
      </c>
      <c r="O33" s="251">
        <f t="shared" si="6"/>
        <v>0.750598882256723</v>
      </c>
      <c r="P33" s="251">
        <f t="shared" si="7"/>
        <v>0.821203179049116</v>
      </c>
      <c r="Q33" s="250">
        <f t="shared" si="8"/>
        <v>0.733501468179022</v>
      </c>
      <c r="S33" s="166" t="s">
        <v>104</v>
      </c>
      <c r="T33" s="249">
        <f t="shared" si="9"/>
        <v>0.0720453751879837</v>
      </c>
      <c r="U33" s="250">
        <f t="shared" si="10"/>
        <v>-0.254790642130755</v>
      </c>
      <c r="V33" s="251">
        <f t="shared" si="11"/>
        <v>-1.21828052776055</v>
      </c>
      <c r="W33" s="251">
        <f t="shared" si="12"/>
        <v>-0.817599664929603</v>
      </c>
      <c r="X33" s="251">
        <f t="shared" si="13"/>
        <v>-0.959934934272958</v>
      </c>
      <c r="Y33" s="251">
        <f t="shared" si="14"/>
        <v>-0.656409684437932</v>
      </c>
      <c r="Z33" s="250">
        <f t="shared" si="15"/>
        <v>0.270011221146692</v>
      </c>
      <c r="AB33" s="166" t="s">
        <v>104</v>
      </c>
      <c r="AC33" s="147">
        <v>0.00564757782307306</v>
      </c>
      <c r="AD33" s="147">
        <v>0.00503166316742735</v>
      </c>
      <c r="AE33" s="147">
        <v>0.00437509259324537</v>
      </c>
      <c r="AF33" s="147">
        <v>0.00527626548493864</v>
      </c>
      <c r="AG33" s="147">
        <v>0.0051019260626746</v>
      </c>
      <c r="AH33" s="147">
        <v>0.0053956196384074</v>
      </c>
      <c r="AI33" s="220">
        <v>0.00585670266027542</v>
      </c>
      <c r="AJ33" t="s">
        <v>186</v>
      </c>
    </row>
    <row r="34" customFormat="1" spans="1:36">
      <c r="A34" s="166" t="s">
        <v>106</v>
      </c>
      <c r="B34" s="166">
        <v>0.0008296</v>
      </c>
      <c r="C34" s="147">
        <v>0.000883</v>
      </c>
      <c r="D34" s="147">
        <v>5.41e-5</v>
      </c>
      <c r="E34" s="147">
        <v>0.0003618</v>
      </c>
      <c r="F34" s="147">
        <v>0.0007908</v>
      </c>
      <c r="G34" s="147">
        <v>0.0004745</v>
      </c>
      <c r="H34" s="220">
        <v>0.000894</v>
      </c>
      <c r="J34" s="166" t="s">
        <v>106</v>
      </c>
      <c r="K34" s="249">
        <f t="shared" si="2"/>
        <v>1.0586669896526</v>
      </c>
      <c r="L34" s="250">
        <f t="shared" si="3"/>
        <v>0.493161620078021</v>
      </c>
      <c r="M34" s="251">
        <f t="shared" si="4"/>
        <v>0.0267758296211675</v>
      </c>
      <c r="N34" s="251">
        <f t="shared" si="5"/>
        <v>0.256129969745328</v>
      </c>
      <c r="O34" s="251">
        <f t="shared" si="6"/>
        <v>0.68210163060711</v>
      </c>
      <c r="P34" s="251">
        <f t="shared" si="7"/>
        <v>0.539838958127292</v>
      </c>
      <c r="Q34" s="250">
        <f t="shared" si="8"/>
        <v>1.03827318802169</v>
      </c>
      <c r="S34" s="166" t="s">
        <v>106</v>
      </c>
      <c r="T34" s="249">
        <f t="shared" si="9"/>
        <v>5.58502532468457</v>
      </c>
      <c r="U34" s="250">
        <f t="shared" si="10"/>
        <v>1.66099251984236</v>
      </c>
      <c r="V34" s="251">
        <f t="shared" si="11"/>
        <v>-0.831984462401107</v>
      </c>
      <c r="W34" s="251">
        <f t="shared" si="12"/>
        <v>-0.49071090548762</v>
      </c>
      <c r="X34" s="251">
        <f t="shared" si="13"/>
        <v>-1.60213198973604</v>
      </c>
      <c r="Y34" s="251">
        <f t="shared" si="14"/>
        <v>0.480527936931832</v>
      </c>
      <c r="Z34" s="250">
        <f t="shared" si="15"/>
        <v>5.81861803554747</v>
      </c>
      <c r="AB34" s="166" t="s">
        <v>106</v>
      </c>
      <c r="AC34" s="147">
        <v>0.000783626964955458</v>
      </c>
      <c r="AD34" s="147">
        <v>0.00179048807541087</v>
      </c>
      <c r="AE34" s="147">
        <v>0.00202047894557976</v>
      </c>
      <c r="AF34" s="147">
        <v>0.00141256409923345</v>
      </c>
      <c r="AG34" s="147">
        <v>0.00115935802601167</v>
      </c>
      <c r="AH34" s="147">
        <v>0.00087896583389618</v>
      </c>
      <c r="AI34" s="220">
        <v>0.00086104506050418</v>
      </c>
      <c r="AJ34" t="s">
        <v>187</v>
      </c>
    </row>
    <row r="35" customFormat="1" spans="1:36">
      <c r="A35" s="166" t="s">
        <v>108</v>
      </c>
      <c r="B35" s="166">
        <v>1.71e-5</v>
      </c>
      <c r="C35" s="147">
        <v>0.0001581</v>
      </c>
      <c r="D35" s="147">
        <v>9.21e-5</v>
      </c>
      <c r="E35" s="147">
        <v>4.43e-5</v>
      </c>
      <c r="F35" s="147">
        <v>6.85e-5</v>
      </c>
      <c r="G35" s="147">
        <v>2.95e-5</v>
      </c>
      <c r="H35" s="220">
        <v>1.56e-5</v>
      </c>
      <c r="J35" s="166" t="s">
        <v>108</v>
      </c>
      <c r="K35" s="249">
        <f t="shared" si="2"/>
        <v>0.455294232035999</v>
      </c>
      <c r="L35" s="250">
        <f t="shared" si="3"/>
        <v>1.53340619154577</v>
      </c>
      <c r="M35" s="251">
        <f t="shared" si="4"/>
        <v>2.22898563263267</v>
      </c>
      <c r="N35" s="251">
        <f t="shared" si="5"/>
        <v>1.09753831673136</v>
      </c>
      <c r="O35" s="251">
        <f t="shared" si="6"/>
        <v>1.89718290636933</v>
      </c>
      <c r="P35" s="251">
        <f t="shared" si="7"/>
        <v>0.303599740974655</v>
      </c>
      <c r="Q35" s="250">
        <f t="shared" si="8"/>
        <v>0.335307097465262</v>
      </c>
      <c r="S35" s="166" t="s">
        <v>108</v>
      </c>
      <c r="T35" s="249">
        <f t="shared" si="9"/>
        <v>138.272517047814</v>
      </c>
      <c r="U35" s="250">
        <f t="shared" si="10"/>
        <v>35.9099544749682</v>
      </c>
      <c r="V35" s="251">
        <f t="shared" si="11"/>
        <v>-41.5990888137214</v>
      </c>
      <c r="W35" s="251">
        <f t="shared" si="12"/>
        <v>-9.3003152718907</v>
      </c>
      <c r="X35" s="251">
        <f t="shared" si="13"/>
        <v>-31.4512288155695</v>
      </c>
      <c r="Y35" s="251">
        <f t="shared" si="14"/>
        <v>8.93214978474088</v>
      </c>
      <c r="Z35" s="250">
        <f t="shared" si="15"/>
        <v>126.679681846665</v>
      </c>
      <c r="AB35" s="166" t="s">
        <v>108</v>
      </c>
      <c r="AC35" s="147">
        <v>3.75581300987094e-5</v>
      </c>
      <c r="AD35" s="147">
        <v>0.000103103796548927</v>
      </c>
      <c r="AE35" s="147">
        <v>4.1319243449416e-5</v>
      </c>
      <c r="AF35" s="147">
        <v>4.03630555076495e-5</v>
      </c>
      <c r="AG35" s="147">
        <v>3.61061654993979e-5</v>
      </c>
      <c r="AH35" s="147">
        <v>9.71674083294513e-5</v>
      </c>
      <c r="AI35" s="220">
        <v>4.65245147446251e-5</v>
      </c>
      <c r="AJ35" t="s">
        <v>188</v>
      </c>
    </row>
    <row r="36" customFormat="1" spans="1:36">
      <c r="A36" s="166" t="s">
        <v>110</v>
      </c>
      <c r="B36" s="166">
        <v>0.0062486</v>
      </c>
      <c r="C36" s="147">
        <v>0.0127599</v>
      </c>
      <c r="D36" s="147">
        <v>0.0147717</v>
      </c>
      <c r="E36" s="147">
        <v>0.0149945</v>
      </c>
      <c r="F36" s="147">
        <v>0.0132842</v>
      </c>
      <c r="G36" s="147">
        <v>0.0113507</v>
      </c>
      <c r="H36" s="220">
        <v>0.0055237</v>
      </c>
      <c r="J36" s="166" t="s">
        <v>110</v>
      </c>
      <c r="K36" s="249">
        <f t="shared" si="2"/>
        <v>0.597764985816433</v>
      </c>
      <c r="L36" s="250">
        <f t="shared" si="3"/>
        <v>0.918591801191355</v>
      </c>
      <c r="M36" s="251">
        <f t="shared" si="4"/>
        <v>1.06329377469646</v>
      </c>
      <c r="N36" s="251">
        <f t="shared" si="5"/>
        <v>1.08308795416213</v>
      </c>
      <c r="O36" s="251">
        <f t="shared" si="6"/>
        <v>1.05588977315966</v>
      </c>
      <c r="P36" s="251">
        <f t="shared" si="7"/>
        <v>0.938573900586868</v>
      </c>
      <c r="Q36" s="250">
        <f t="shared" si="8"/>
        <v>0.569736122370851</v>
      </c>
      <c r="S36" s="166" t="s">
        <v>110</v>
      </c>
      <c r="T36" s="249">
        <f t="shared" si="9"/>
        <v>-0.10494168675856</v>
      </c>
      <c r="U36" s="250">
        <f t="shared" si="10"/>
        <v>-0.645207100248255</v>
      </c>
      <c r="V36" s="251">
        <f t="shared" si="11"/>
        <v>-1.17773395568542</v>
      </c>
      <c r="W36" s="251">
        <f t="shared" si="12"/>
        <v>-1.1053972462718</v>
      </c>
      <c r="X36" s="251">
        <f t="shared" si="13"/>
        <v>-1.13884958496309</v>
      </c>
      <c r="Y36" s="251">
        <f t="shared" si="14"/>
        <v>-0.865905315982735</v>
      </c>
      <c r="Z36" s="250">
        <f t="shared" si="15"/>
        <v>0.0340360031736429</v>
      </c>
      <c r="AB36" s="166" t="s">
        <v>110</v>
      </c>
      <c r="AC36" s="147">
        <v>0.0104532720187108</v>
      </c>
      <c r="AD36" s="147">
        <v>0.0138907183620094</v>
      </c>
      <c r="AE36" s="147">
        <v>0.0138923977093883</v>
      </c>
      <c r="AF36" s="147">
        <v>0.0138442126905563</v>
      </c>
      <c r="AG36" s="147">
        <v>0.0125810480768728</v>
      </c>
      <c r="AH36" s="147">
        <v>0.0120935602331395</v>
      </c>
      <c r="AI36" s="220">
        <v>0.0096951900767923</v>
      </c>
      <c r="AJ36" t="s">
        <v>189</v>
      </c>
    </row>
    <row r="37" customFormat="1" spans="1:36">
      <c r="A37" s="166" t="s">
        <v>112</v>
      </c>
      <c r="B37" s="166">
        <v>0.0004089</v>
      </c>
      <c r="C37" s="147">
        <v>0.000352</v>
      </c>
      <c r="D37" s="147">
        <v>1.97e-6</v>
      </c>
      <c r="E37" s="147">
        <v>1.28e-5</v>
      </c>
      <c r="F37" s="147">
        <v>1.34e-5</v>
      </c>
      <c r="G37" s="147">
        <v>4.59e-5</v>
      </c>
      <c r="H37" s="220">
        <v>0.0005558</v>
      </c>
      <c r="J37" s="166" t="s">
        <v>112</v>
      </c>
      <c r="K37" s="249">
        <f t="shared" si="2"/>
        <v>7.290996640631</v>
      </c>
      <c r="L37" s="250">
        <f t="shared" si="3"/>
        <v>4.89112562908433</v>
      </c>
      <c r="M37" s="251">
        <f t="shared" si="4"/>
        <v>0.502413352462651</v>
      </c>
      <c r="N37" s="251">
        <f t="shared" si="5"/>
        <v>1.36199020830618</v>
      </c>
      <c r="O37" s="251">
        <f t="shared" si="6"/>
        <v>1.92148889575055</v>
      </c>
      <c r="P37" s="251">
        <f t="shared" si="7"/>
        <v>2.09033334282736</v>
      </c>
      <c r="Q37" s="250">
        <f t="shared" si="8"/>
        <v>4.89077011238639</v>
      </c>
      <c r="S37" s="166" t="s">
        <v>112</v>
      </c>
      <c r="T37" s="249">
        <f t="shared" si="9"/>
        <v>85.5797700446964</v>
      </c>
      <c r="U37" s="250">
        <f t="shared" si="10"/>
        <v>48.74381668618</v>
      </c>
      <c r="V37" s="251">
        <f t="shared" si="11"/>
        <v>-415.401984821264</v>
      </c>
      <c r="W37" s="251">
        <f t="shared" si="12"/>
        <v>-36.590485184458</v>
      </c>
      <c r="X37" s="251">
        <f t="shared" si="13"/>
        <v>-154.950161938047</v>
      </c>
      <c r="Y37" s="251">
        <f t="shared" si="14"/>
        <v>38.7771087204923</v>
      </c>
      <c r="Z37" s="250">
        <f t="shared" si="15"/>
        <v>47.0820386032511</v>
      </c>
      <c r="AB37" s="166" t="s">
        <v>112</v>
      </c>
      <c r="AC37" s="147">
        <v>5.6082867700322e-5</v>
      </c>
      <c r="AD37" s="147">
        <v>7.19670739812705e-5</v>
      </c>
      <c r="AE37" s="147">
        <v>3.92107413217377e-6</v>
      </c>
      <c r="AF37" s="147">
        <v>9.39801176391607e-6</v>
      </c>
      <c r="AG37" s="147">
        <v>6.97375875012061e-6</v>
      </c>
      <c r="AH37" s="147">
        <v>2.19582202797934e-5</v>
      </c>
      <c r="AI37" s="220">
        <v>0.000113642634437545</v>
      </c>
      <c r="AJ37" t="s">
        <v>190</v>
      </c>
    </row>
    <row r="38" customFormat="1" spans="1:36">
      <c r="A38" s="166" t="s">
        <v>114</v>
      </c>
      <c r="B38" s="166">
        <v>0.0218455</v>
      </c>
      <c r="C38" s="147">
        <v>0.0208021</v>
      </c>
      <c r="D38" s="147">
        <v>0.0308165</v>
      </c>
      <c r="E38" s="147">
        <v>0.031754</v>
      </c>
      <c r="F38" s="147">
        <v>0.0313995</v>
      </c>
      <c r="G38" s="147">
        <v>0.0298181</v>
      </c>
      <c r="H38" s="220">
        <v>0.0218439</v>
      </c>
      <c r="J38" s="166" t="s">
        <v>114</v>
      </c>
      <c r="K38" s="249">
        <f t="shared" si="2"/>
        <v>0.753231500117993</v>
      </c>
      <c r="L38" s="250">
        <f t="shared" si="3"/>
        <v>1.07405194796796</v>
      </c>
      <c r="M38" s="251">
        <f t="shared" si="4"/>
        <v>1.26306378918983</v>
      </c>
      <c r="N38" s="251">
        <f t="shared" si="5"/>
        <v>1.12003862994544</v>
      </c>
      <c r="O38" s="251">
        <f t="shared" si="6"/>
        <v>1.06301650492555</v>
      </c>
      <c r="P38" s="251">
        <f t="shared" si="7"/>
        <v>1.03735649912601</v>
      </c>
      <c r="Q38" s="250">
        <f t="shared" si="8"/>
        <v>0.894668937648455</v>
      </c>
      <c r="S38" s="166" t="s">
        <v>114</v>
      </c>
      <c r="T38" s="249">
        <f t="shared" si="9"/>
        <v>-0.582891409286952</v>
      </c>
      <c r="U38" s="250">
        <f t="shared" si="10"/>
        <v>-0.877296347500716</v>
      </c>
      <c r="V38" s="251">
        <f t="shared" si="11"/>
        <v>-1.31957995806779</v>
      </c>
      <c r="W38" s="251">
        <f t="shared" si="12"/>
        <v>-1.1275365578465</v>
      </c>
      <c r="X38" s="251">
        <f t="shared" si="13"/>
        <v>-1.09603279304317</v>
      </c>
      <c r="Y38" s="251">
        <f t="shared" si="14"/>
        <v>-1.00595044002675</v>
      </c>
      <c r="Z38" s="250">
        <f t="shared" si="15"/>
        <v>-0.660226669083211</v>
      </c>
      <c r="AB38" s="166" t="s">
        <v>114</v>
      </c>
      <c r="AC38" s="147">
        <v>0.029002371776244</v>
      </c>
      <c r="AD38" s="147">
        <v>0.0193678713951929</v>
      </c>
      <c r="AE38" s="147">
        <v>0.0243982135057222</v>
      </c>
      <c r="AF38" s="147">
        <v>0.0283508078659277</v>
      </c>
      <c r="AG38" s="147">
        <v>0.0295381114540635</v>
      </c>
      <c r="AH38" s="147">
        <v>0.0287443130930612</v>
      </c>
      <c r="AI38" s="220">
        <v>0.0244156235684391</v>
      </c>
      <c r="AJ38" t="s">
        <v>191</v>
      </c>
    </row>
    <row r="39" customFormat="1" spans="1:36">
      <c r="A39" s="166" t="s">
        <v>116</v>
      </c>
      <c r="B39" s="166">
        <v>0.0753953</v>
      </c>
      <c r="C39" s="147">
        <v>0.0797646</v>
      </c>
      <c r="D39" s="147">
        <v>0.0617902</v>
      </c>
      <c r="E39" s="147">
        <v>0.0787391</v>
      </c>
      <c r="F39" s="147">
        <v>0.0647237</v>
      </c>
      <c r="G39" s="147">
        <v>0.0770482</v>
      </c>
      <c r="H39" s="220">
        <v>0.0720499</v>
      </c>
      <c r="J39" s="166" t="s">
        <v>116</v>
      </c>
      <c r="K39" s="249">
        <f t="shared" si="2"/>
        <v>1.1672185921567</v>
      </c>
      <c r="L39" s="250">
        <f t="shared" si="3"/>
        <v>1.39327323943335</v>
      </c>
      <c r="M39" s="251">
        <f t="shared" si="4"/>
        <v>1.53248807075573</v>
      </c>
      <c r="N39" s="251">
        <f t="shared" si="5"/>
        <v>1.56653899878803</v>
      </c>
      <c r="O39" s="251">
        <f t="shared" si="6"/>
        <v>1.20708017205478</v>
      </c>
      <c r="P39" s="251">
        <f t="shared" si="7"/>
        <v>1.2482870411127</v>
      </c>
      <c r="Q39" s="250">
        <f t="shared" si="8"/>
        <v>1.00084985920072</v>
      </c>
      <c r="S39" s="166" t="s">
        <v>116</v>
      </c>
      <c r="T39" s="249">
        <f t="shared" si="9"/>
        <v>-1.0800274860382</v>
      </c>
      <c r="U39" s="250">
        <f t="shared" si="10"/>
        <v>-1.29983902640676</v>
      </c>
      <c r="V39" s="251">
        <f t="shared" si="11"/>
        <v>-1.53744134761456</v>
      </c>
      <c r="W39" s="251">
        <f t="shared" si="12"/>
        <v>-1.52799912308911</v>
      </c>
      <c r="X39" s="251">
        <f t="shared" si="13"/>
        <v>-1.21229199647576</v>
      </c>
      <c r="Y39" s="251">
        <f t="shared" si="14"/>
        <v>-1.21573731190404</v>
      </c>
      <c r="Z39" s="250">
        <f t="shared" si="15"/>
        <v>-0.924615509800393</v>
      </c>
      <c r="AB39" s="166" t="s">
        <v>116</v>
      </c>
      <c r="AC39" s="147">
        <v>0.0645939847999595</v>
      </c>
      <c r="AD39" s="147">
        <v>0.0572497897343098</v>
      </c>
      <c r="AE39" s="147">
        <v>0.0403201833535505</v>
      </c>
      <c r="AF39" s="147">
        <v>0.0502630959464892</v>
      </c>
      <c r="AG39" s="147">
        <v>0.0536200506796681</v>
      </c>
      <c r="AH39" s="147">
        <v>0.061723143365584</v>
      </c>
      <c r="AI39" s="220">
        <v>0.0719887197241947</v>
      </c>
      <c r="AJ39" t="s">
        <v>192</v>
      </c>
    </row>
    <row r="40" customFormat="1" spans="1:36">
      <c r="A40" s="166" t="s">
        <v>118</v>
      </c>
      <c r="B40" s="166">
        <v>0.0001027</v>
      </c>
      <c r="C40" s="147">
        <v>9.43e-5</v>
      </c>
      <c r="D40" s="147">
        <v>-1.19e-5</v>
      </c>
      <c r="E40" s="147">
        <v>-1.5e-5</v>
      </c>
      <c r="F40" s="147">
        <v>1.12e-5</v>
      </c>
      <c r="G40" s="147">
        <v>3.79e-6</v>
      </c>
      <c r="H40" s="220">
        <v>0.0001138</v>
      </c>
      <c r="J40" s="166" t="s">
        <v>118</v>
      </c>
      <c r="K40" s="249">
        <f t="shared" si="2"/>
        <v>2.00363466344752</v>
      </c>
      <c r="L40" s="250">
        <f t="shared" si="3"/>
        <v>2.63837531715537</v>
      </c>
      <c r="M40" s="251">
        <f t="shared" si="4"/>
        <v>-0.393594084263372</v>
      </c>
      <c r="N40" s="251">
        <f t="shared" si="5"/>
        <v>-0.625751566112668</v>
      </c>
      <c r="O40" s="251">
        <f t="shared" si="6"/>
        <v>0.496000797121076</v>
      </c>
      <c r="P40" s="251">
        <f t="shared" si="7"/>
        <v>0.327603232066504</v>
      </c>
      <c r="Q40" s="250">
        <f t="shared" si="8"/>
        <v>1.44783892940989</v>
      </c>
      <c r="S40" s="166" t="s">
        <v>118</v>
      </c>
      <c r="T40" s="249">
        <f t="shared" si="9"/>
        <v>99.6408645068883</v>
      </c>
      <c r="U40" s="250">
        <f t="shared" si="10"/>
        <v>105.382162981807</v>
      </c>
      <c r="V40" s="251">
        <f t="shared" si="11"/>
        <v>-53.4148399885295</v>
      </c>
      <c r="W40" s="251">
        <f t="shared" si="12"/>
        <v>-13.188368707384</v>
      </c>
      <c r="X40" s="251">
        <f t="shared" si="13"/>
        <v>-47.7587237944794</v>
      </c>
      <c r="Y40" s="251">
        <f t="shared" si="14"/>
        <v>77.2474460919908</v>
      </c>
      <c r="Z40" s="250">
        <f t="shared" si="15"/>
        <v>73.7267705209984</v>
      </c>
      <c r="AB40" s="166" t="s">
        <v>118</v>
      </c>
      <c r="AC40" s="147">
        <v>5.1256849301704e-5</v>
      </c>
      <c r="AD40" s="147">
        <v>3.57416927708647e-5</v>
      </c>
      <c r="AE40" s="147">
        <v>3.02341942518556e-5</v>
      </c>
      <c r="AF40" s="147">
        <v>2.3971174524075e-5</v>
      </c>
      <c r="AG40" s="147">
        <v>2.25806088720177e-5</v>
      </c>
      <c r="AH40" s="147">
        <v>1.15688724317305e-5</v>
      </c>
      <c r="AI40" s="220">
        <v>7.85999034066466e-5</v>
      </c>
      <c r="AJ40" t="s">
        <v>193</v>
      </c>
    </row>
    <row r="41" customFormat="1" spans="1:36">
      <c r="A41" s="166" t="s">
        <v>120</v>
      </c>
      <c r="B41" s="166">
        <v>0.1381057</v>
      </c>
      <c r="C41" s="147">
        <v>0.1206358</v>
      </c>
      <c r="D41" s="147">
        <v>0.0259352</v>
      </c>
      <c r="E41" s="147">
        <v>0.0613047</v>
      </c>
      <c r="F41" s="147">
        <v>0.0644149</v>
      </c>
      <c r="G41" s="147">
        <v>0.0961372</v>
      </c>
      <c r="H41" s="220">
        <v>0.1522031</v>
      </c>
      <c r="J41" s="166" t="s">
        <v>120</v>
      </c>
      <c r="K41" s="249">
        <f t="shared" si="2"/>
        <v>2.54565708446099</v>
      </c>
      <c r="L41" s="250">
        <f t="shared" si="3"/>
        <v>2.95216078974683</v>
      </c>
      <c r="M41" s="251">
        <f t="shared" si="4"/>
        <v>2.37673568434062</v>
      </c>
      <c r="N41" s="251">
        <f t="shared" si="5"/>
        <v>3.42030503743889</v>
      </c>
      <c r="O41" s="251">
        <f t="shared" si="6"/>
        <v>2.7655934338115</v>
      </c>
      <c r="P41" s="251">
        <f t="shared" si="7"/>
        <v>2.93486440592952</v>
      </c>
      <c r="Q41" s="250">
        <f t="shared" si="8"/>
        <v>1.88790836961903</v>
      </c>
      <c r="S41" s="166" t="s">
        <v>120</v>
      </c>
      <c r="T41" s="249">
        <f t="shared" si="9"/>
        <v>-2.24941487697445</v>
      </c>
      <c r="U41" s="250">
        <f t="shared" si="10"/>
        <v>-2.63356988309679</v>
      </c>
      <c r="V41" s="251">
        <f t="shared" si="11"/>
        <v>-2.48624594680406</v>
      </c>
      <c r="W41" s="251">
        <f t="shared" si="12"/>
        <v>-3.28927213579297</v>
      </c>
      <c r="X41" s="251">
        <f t="shared" si="13"/>
        <v>-2.69473126707847</v>
      </c>
      <c r="Y41" s="251">
        <f t="shared" si="14"/>
        <v>-2.72408738714691</v>
      </c>
      <c r="Z41" s="250">
        <f t="shared" si="15"/>
        <v>-1.69062358387397</v>
      </c>
      <c r="AB41" s="166" t="s">
        <v>120</v>
      </c>
      <c r="AC41" s="147">
        <v>0.0542514939828363</v>
      </c>
      <c r="AD41" s="147">
        <v>0.0408635601485465</v>
      </c>
      <c r="AE41" s="147">
        <v>0.0109121094831356</v>
      </c>
      <c r="AF41" s="147">
        <v>0.0179237522176983</v>
      </c>
      <c r="AG41" s="147">
        <v>0.0232915291208312</v>
      </c>
      <c r="AH41" s="147">
        <v>0.032756947750556</v>
      </c>
      <c r="AI41" s="220">
        <v>0.08061996146069</v>
      </c>
      <c r="AJ41" t="s">
        <v>194</v>
      </c>
    </row>
    <row r="42" customFormat="1" spans="1:36">
      <c r="A42" s="166" t="s">
        <v>122</v>
      </c>
      <c r="B42" s="166">
        <v>0.0069353</v>
      </c>
      <c r="C42" s="147">
        <v>0.0186146</v>
      </c>
      <c r="D42" s="147">
        <v>0.0234515</v>
      </c>
      <c r="E42" s="147">
        <v>0.0288726</v>
      </c>
      <c r="F42" s="147">
        <v>0.0228735</v>
      </c>
      <c r="G42" s="147">
        <v>0.0199529</v>
      </c>
      <c r="H42" s="220">
        <v>0.0046003</v>
      </c>
      <c r="J42" s="166" t="s">
        <v>122</v>
      </c>
      <c r="K42" s="249">
        <f t="shared" si="2"/>
        <v>0.41501253051714</v>
      </c>
      <c r="L42" s="250">
        <f t="shared" si="3"/>
        <v>0.798404437965162</v>
      </c>
      <c r="M42" s="251">
        <f t="shared" si="4"/>
        <v>1.1558475586695</v>
      </c>
      <c r="N42" s="251">
        <f t="shared" si="5"/>
        <v>1.2684816838082</v>
      </c>
      <c r="O42" s="251">
        <f t="shared" si="6"/>
        <v>0.985518451049952</v>
      </c>
      <c r="P42" s="251">
        <f t="shared" si="7"/>
        <v>0.946722807345851</v>
      </c>
      <c r="Q42" s="250">
        <f t="shared" si="8"/>
        <v>0.317216559240381</v>
      </c>
      <c r="S42" s="166" t="s">
        <v>122</v>
      </c>
      <c r="T42" s="249">
        <f t="shared" si="9"/>
        <v>-0.109432785168529</v>
      </c>
      <c r="U42" s="250">
        <f t="shared" si="10"/>
        <v>-0.639627482608415</v>
      </c>
      <c r="V42" s="251">
        <f t="shared" si="11"/>
        <v>-1.23049402845947</v>
      </c>
      <c r="W42" s="251">
        <f t="shared" si="12"/>
        <v>-1.27485789089938</v>
      </c>
      <c r="X42" s="251">
        <f t="shared" si="13"/>
        <v>-1.03077791996571</v>
      </c>
      <c r="Y42" s="251">
        <f t="shared" si="14"/>
        <v>-0.906054330894774</v>
      </c>
      <c r="Z42" s="250">
        <f t="shared" si="15"/>
        <v>0.085248748751114</v>
      </c>
      <c r="AB42" s="166" t="s">
        <v>122</v>
      </c>
      <c r="AC42" s="147">
        <v>0.016711061690976</v>
      </c>
      <c r="AD42" s="147">
        <v>0.0233147501627643</v>
      </c>
      <c r="AE42" s="147">
        <v>0.0202894402675341</v>
      </c>
      <c r="AF42" s="147">
        <v>0.0227615426919839</v>
      </c>
      <c r="AG42" s="147">
        <v>0.0232096111195392</v>
      </c>
      <c r="AH42" s="147">
        <v>0.0210757571753639</v>
      </c>
      <c r="AI42" s="220">
        <v>0.0145020802539945</v>
      </c>
      <c r="AJ42" t="s">
        <v>195</v>
      </c>
    </row>
    <row r="43" customFormat="1" spans="1:36">
      <c r="A43" s="166" t="s">
        <v>124</v>
      </c>
      <c r="B43" s="166">
        <v>0.027877</v>
      </c>
      <c r="C43" s="147">
        <v>0.0187842</v>
      </c>
      <c r="D43" s="147">
        <v>0.0192375</v>
      </c>
      <c r="E43" s="147">
        <v>0.0264552</v>
      </c>
      <c r="F43" s="147">
        <v>0.0248681</v>
      </c>
      <c r="G43" s="147">
        <v>0.0269694</v>
      </c>
      <c r="H43" s="220">
        <v>0.0262169</v>
      </c>
      <c r="J43" s="166" t="s">
        <v>124</v>
      </c>
      <c r="K43" s="249">
        <f t="shared" si="2"/>
        <v>1.12354851621982</v>
      </c>
      <c r="L43" s="250">
        <f t="shared" si="3"/>
        <v>1.25724615690893</v>
      </c>
      <c r="M43" s="251">
        <f t="shared" si="4"/>
        <v>1.36022266757349</v>
      </c>
      <c r="N43" s="251">
        <f t="shared" si="5"/>
        <v>1.54201207283227</v>
      </c>
      <c r="O43" s="251">
        <f t="shared" si="6"/>
        <v>1.31887645909898</v>
      </c>
      <c r="P43" s="251">
        <f t="shared" si="7"/>
        <v>1.24173505636718</v>
      </c>
      <c r="Q43" s="250">
        <f t="shared" si="8"/>
        <v>1.01394476737145</v>
      </c>
      <c r="S43" s="166" t="s">
        <v>124</v>
      </c>
      <c r="T43" s="249">
        <f t="shared" si="9"/>
        <v>-0.915957099788283</v>
      </c>
      <c r="U43" s="250">
        <f t="shared" si="10"/>
        <v>-0.998835330559544</v>
      </c>
      <c r="V43" s="251">
        <f t="shared" si="11"/>
        <v>-1.46611085337052</v>
      </c>
      <c r="W43" s="251">
        <f t="shared" si="12"/>
        <v>-1.54646322537606</v>
      </c>
      <c r="X43" s="251">
        <f t="shared" si="13"/>
        <v>-1.36613670310287</v>
      </c>
      <c r="Y43" s="251">
        <f t="shared" si="14"/>
        <v>-1.19500723245486</v>
      </c>
      <c r="Z43" s="250">
        <f t="shared" si="15"/>
        <v>-0.791024839933426</v>
      </c>
      <c r="AB43" s="166" t="s">
        <v>124</v>
      </c>
      <c r="AC43" s="147">
        <v>0.0248115676337611</v>
      </c>
      <c r="AD43" s="147">
        <v>0.0149407495873226</v>
      </c>
      <c r="AE43" s="147">
        <v>0.014142905024747</v>
      </c>
      <c r="AF43" s="147">
        <v>0.0171562859111789</v>
      </c>
      <c r="AG43" s="147">
        <v>0.0188555188990099</v>
      </c>
      <c r="AH43" s="147">
        <v>0.021719125880928</v>
      </c>
      <c r="AI43" s="220">
        <v>0.0258563393625126</v>
      </c>
      <c r="AJ43" t="s">
        <v>196</v>
      </c>
    </row>
    <row r="44" customFormat="1" spans="1:36">
      <c r="A44" s="166" t="s">
        <v>126</v>
      </c>
      <c r="B44" s="166">
        <v>0.0081963</v>
      </c>
      <c r="C44" s="147">
        <v>0.0040298</v>
      </c>
      <c r="D44" s="147">
        <v>0.0017793</v>
      </c>
      <c r="E44" s="147">
        <v>0.0025272</v>
      </c>
      <c r="F44" s="147">
        <v>0.004538</v>
      </c>
      <c r="G44" s="147">
        <v>0.0049916</v>
      </c>
      <c r="H44" s="220">
        <v>0.0079441</v>
      </c>
      <c r="J44" s="166" t="s">
        <v>126</v>
      </c>
      <c r="K44" s="249">
        <f t="shared" si="2"/>
        <v>1.44414054058776</v>
      </c>
      <c r="L44" s="250">
        <f t="shared" si="3"/>
        <v>1.60402909052799</v>
      </c>
      <c r="M44" s="251">
        <f t="shared" si="4"/>
        <v>0.900469779698604</v>
      </c>
      <c r="N44" s="251">
        <f t="shared" si="5"/>
        <v>1.10875062710379</v>
      </c>
      <c r="O44" s="251">
        <f t="shared" si="6"/>
        <v>1.48228680651372</v>
      </c>
      <c r="P44" s="251">
        <f t="shared" si="7"/>
        <v>1.15811965238857</v>
      </c>
      <c r="Q44" s="250">
        <f t="shared" si="8"/>
        <v>1.19403083886648</v>
      </c>
      <c r="S44" s="166" t="s">
        <v>126</v>
      </c>
      <c r="T44" s="249">
        <f t="shared" si="9"/>
        <v>-0.529971387728946</v>
      </c>
      <c r="U44" s="250">
        <f t="shared" si="10"/>
        <v>-0.0708910843090084</v>
      </c>
      <c r="V44" s="251">
        <f t="shared" si="11"/>
        <v>-1.72251345256209</v>
      </c>
      <c r="W44" s="251">
        <f t="shared" si="12"/>
        <v>-1.25339881636155</v>
      </c>
      <c r="X44" s="251">
        <f t="shared" si="13"/>
        <v>-1.82710066166467</v>
      </c>
      <c r="Y44" s="251">
        <f t="shared" si="14"/>
        <v>-0.950144107899952</v>
      </c>
      <c r="Z44" s="250">
        <f t="shared" si="15"/>
        <v>-0.311351034146017</v>
      </c>
      <c r="AB44" s="166" t="s">
        <v>126</v>
      </c>
      <c r="AC44" s="147">
        <v>0.00567555564686534</v>
      </c>
      <c r="AD44" s="147">
        <v>0.00251229857600247</v>
      </c>
      <c r="AE44" s="147">
        <v>0.00197596858896869</v>
      </c>
      <c r="AF44" s="147">
        <v>0.00227932227339648</v>
      </c>
      <c r="AG44" s="147">
        <v>0.0030614857934769</v>
      </c>
      <c r="AH44" s="147">
        <v>0.00431009005822933</v>
      </c>
      <c r="AI44" s="220">
        <v>0.00665317824415785</v>
      </c>
      <c r="AJ44" t="s">
        <v>197</v>
      </c>
    </row>
    <row r="45" customFormat="1" spans="1:36">
      <c r="A45" s="166" t="s">
        <v>128</v>
      </c>
      <c r="B45" s="166">
        <v>0.001539</v>
      </c>
      <c r="C45" s="147">
        <v>0.0024762</v>
      </c>
      <c r="D45" s="147">
        <v>0.0013992</v>
      </c>
      <c r="E45" s="147">
        <v>0.0022298</v>
      </c>
      <c r="F45" s="147">
        <v>0.001201</v>
      </c>
      <c r="G45" s="147">
        <v>0.0019208</v>
      </c>
      <c r="H45" s="220">
        <v>0.0015665</v>
      </c>
      <c r="J45" s="166" t="s">
        <v>128</v>
      </c>
      <c r="K45" s="249">
        <f t="shared" si="2"/>
        <v>1.60663380366574</v>
      </c>
      <c r="L45" s="250">
        <f t="shared" si="3"/>
        <v>1.41606175651571</v>
      </c>
      <c r="M45" s="251">
        <f t="shared" si="4"/>
        <v>2.05403994627996</v>
      </c>
      <c r="N45" s="251">
        <f t="shared" si="5"/>
        <v>2.03686775766776</v>
      </c>
      <c r="O45" s="251">
        <f t="shared" si="6"/>
        <v>1.14983277914707</v>
      </c>
      <c r="P45" s="251">
        <f t="shared" si="7"/>
        <v>1.59977736989467</v>
      </c>
      <c r="Q45" s="250">
        <f t="shared" si="8"/>
        <v>1.23360501359462</v>
      </c>
      <c r="S45" s="166" t="s">
        <v>128</v>
      </c>
      <c r="T45" s="249">
        <f t="shared" si="9"/>
        <v>3.82535673784587</v>
      </c>
      <c r="U45" s="250">
        <f t="shared" si="10"/>
        <v>0.787585779337041</v>
      </c>
      <c r="V45" s="251">
        <f t="shared" si="11"/>
        <v>-4.43745395754091</v>
      </c>
      <c r="W45" s="251">
        <f t="shared" si="12"/>
        <v>-2.33632234499488</v>
      </c>
      <c r="X45" s="251">
        <f t="shared" si="13"/>
        <v>-2.17013988609136</v>
      </c>
      <c r="Y45" s="251">
        <f t="shared" si="14"/>
        <v>-0.852612241862605</v>
      </c>
      <c r="Z45" s="250">
        <f t="shared" si="15"/>
        <v>3.41301134023945</v>
      </c>
      <c r="AB45" s="166" t="s">
        <v>128</v>
      </c>
      <c r="AC45" s="147">
        <v>0.000957903410527388</v>
      </c>
      <c r="AD45" s="147">
        <v>0.00174865254894872</v>
      </c>
      <c r="AE45" s="147">
        <v>0.000681194152301697</v>
      </c>
      <c r="AF45" s="147">
        <v>0.00109472006300161</v>
      </c>
      <c r="AG45" s="147">
        <v>0.00104449970620153</v>
      </c>
      <c r="AH45" s="147">
        <v>0.00120066706539702</v>
      </c>
      <c r="AI45" s="220">
        <v>0.00126985540974364</v>
      </c>
      <c r="AJ45" t="s">
        <v>198</v>
      </c>
    </row>
    <row r="46" customFormat="1" spans="1:36">
      <c r="A46" s="166" t="s">
        <v>130</v>
      </c>
      <c r="B46" s="166">
        <v>0.0052497</v>
      </c>
      <c r="C46" s="147">
        <v>0.0009685</v>
      </c>
      <c r="D46" s="147">
        <v>0.0006125</v>
      </c>
      <c r="E46" s="147">
        <v>0.0006823</v>
      </c>
      <c r="F46" s="147">
        <v>0.0014654</v>
      </c>
      <c r="G46" s="147">
        <v>0.0022897</v>
      </c>
      <c r="H46" s="220">
        <v>0.0055659</v>
      </c>
      <c r="J46" s="166" t="s">
        <v>130</v>
      </c>
      <c r="K46" s="249">
        <f t="shared" si="2"/>
        <v>2.22168468035054</v>
      </c>
      <c r="L46" s="250">
        <f t="shared" si="3"/>
        <v>1.45487897541298</v>
      </c>
      <c r="M46" s="251">
        <f t="shared" si="4"/>
        <v>1.73830797499149</v>
      </c>
      <c r="N46" s="251">
        <f t="shared" si="5"/>
        <v>0.976113420077191</v>
      </c>
      <c r="O46" s="251">
        <f t="shared" si="6"/>
        <v>1.45643170385415</v>
      </c>
      <c r="P46" s="251">
        <f t="shared" si="7"/>
        <v>1.70380549089045</v>
      </c>
      <c r="Q46" s="250">
        <f t="shared" si="8"/>
        <v>1.8746392142618</v>
      </c>
      <c r="S46" s="166" t="s">
        <v>130</v>
      </c>
      <c r="T46" s="249">
        <f t="shared" si="9"/>
        <v>-0.0217566537673087</v>
      </c>
      <c r="U46" s="250">
        <f t="shared" si="10"/>
        <v>4.34025623776738</v>
      </c>
      <c r="V46" s="251">
        <f t="shared" si="11"/>
        <v>-6.35220149294498</v>
      </c>
      <c r="W46" s="251">
        <f t="shared" si="12"/>
        <v>-1.44946462650523</v>
      </c>
      <c r="X46" s="251">
        <f t="shared" si="13"/>
        <v>-2.51489755332011</v>
      </c>
      <c r="Y46" s="251">
        <f t="shared" si="14"/>
        <v>-1.03589436102121</v>
      </c>
      <c r="Z46" s="250">
        <f t="shared" si="15"/>
        <v>0.109474684503556</v>
      </c>
      <c r="AB46" s="166" t="s">
        <v>130</v>
      </c>
      <c r="AC46" s="147">
        <v>0.0023629365798083</v>
      </c>
      <c r="AD46" s="147">
        <v>0.000665691109959908</v>
      </c>
      <c r="AE46" s="147">
        <v>0.00035235413333647</v>
      </c>
      <c r="AF46" s="147">
        <v>0.000698996639085286</v>
      </c>
      <c r="AG46" s="147">
        <v>0.00100615771829336</v>
      </c>
      <c r="AH46" s="147">
        <v>0.00134387405853666</v>
      </c>
      <c r="AI46" s="220">
        <v>0.00296905130206175</v>
      </c>
      <c r="AJ46" t="s">
        <v>199</v>
      </c>
    </row>
    <row r="47" customFormat="1" spans="1:36">
      <c r="A47" s="166" t="s">
        <v>132</v>
      </c>
      <c r="B47" s="166">
        <v>0.0386048</v>
      </c>
      <c r="C47" s="147">
        <v>0.0186905</v>
      </c>
      <c r="D47" s="147">
        <v>0.0021991</v>
      </c>
      <c r="E47" s="147">
        <v>0.0045698</v>
      </c>
      <c r="F47" s="147">
        <v>0.0075013</v>
      </c>
      <c r="G47" s="147">
        <v>0.0099253</v>
      </c>
      <c r="H47" s="220">
        <v>0.0448263</v>
      </c>
      <c r="J47" s="166" t="s">
        <v>132</v>
      </c>
      <c r="K47" s="249">
        <f t="shared" si="2"/>
        <v>2.9853146890559</v>
      </c>
      <c r="L47" s="250">
        <f t="shared" si="3"/>
        <v>3.20642192786333</v>
      </c>
      <c r="M47" s="251">
        <f t="shared" si="4"/>
        <v>1.46427727616893</v>
      </c>
      <c r="N47" s="251">
        <f t="shared" si="5"/>
        <v>1.50663610153051</v>
      </c>
      <c r="O47" s="251">
        <f t="shared" si="6"/>
        <v>1.89218652334004</v>
      </c>
      <c r="P47" s="251">
        <f t="shared" si="7"/>
        <v>1.56954359167313</v>
      </c>
      <c r="Q47" s="250">
        <f t="shared" si="8"/>
        <v>2.40404758554965</v>
      </c>
      <c r="S47" s="166" t="s">
        <v>132</v>
      </c>
      <c r="T47" s="249">
        <f t="shared" si="9"/>
        <v>-2.52130406648079</v>
      </c>
      <c r="U47" s="250">
        <f t="shared" si="10"/>
        <v>-2.51516072386604</v>
      </c>
      <c r="V47" s="251">
        <f t="shared" si="11"/>
        <v>-2.54413973110235</v>
      </c>
      <c r="W47" s="251">
        <f t="shared" si="12"/>
        <v>-1.61299592478058</v>
      </c>
      <c r="X47" s="251">
        <f t="shared" si="13"/>
        <v>-2.15267617170076</v>
      </c>
      <c r="Y47" s="251">
        <f t="shared" si="14"/>
        <v>-1.42337308168301</v>
      </c>
      <c r="Z47" s="250">
        <f t="shared" si="15"/>
        <v>-2.03839328949653</v>
      </c>
      <c r="AB47" s="166" t="s">
        <v>132</v>
      </c>
      <c r="AC47" s="147">
        <v>0.0129315680325174</v>
      </c>
      <c r="AD47" s="147">
        <v>0.00582908314017639</v>
      </c>
      <c r="AE47" s="147">
        <v>0.00150183304473155</v>
      </c>
      <c r="AF47" s="147">
        <v>0.00303311462891258</v>
      </c>
      <c r="AG47" s="147">
        <v>0.00396435547313745</v>
      </c>
      <c r="AH47" s="147">
        <v>0.00632368546669012</v>
      </c>
      <c r="AI47" s="220">
        <v>0.0186461783325105</v>
      </c>
      <c r="AJ47" t="s">
        <v>200</v>
      </c>
    </row>
    <row r="48" customFormat="1" spans="1:36">
      <c r="A48" s="166" t="s">
        <v>134</v>
      </c>
      <c r="B48" s="166">
        <v>0.070415</v>
      </c>
      <c r="C48" s="147">
        <v>0.0171308</v>
      </c>
      <c r="D48" s="147">
        <v>0.0259615</v>
      </c>
      <c r="E48" s="147">
        <v>0.0244756</v>
      </c>
      <c r="F48" s="147">
        <v>0.0367845</v>
      </c>
      <c r="G48" s="147">
        <v>0.0443804</v>
      </c>
      <c r="H48" s="220">
        <v>0.0762893</v>
      </c>
      <c r="J48" s="166" t="s">
        <v>134</v>
      </c>
      <c r="K48" s="249">
        <f t="shared" si="2"/>
        <v>1.80559917377313</v>
      </c>
      <c r="L48" s="250">
        <f t="shared" si="3"/>
        <v>1.07764344545864</v>
      </c>
      <c r="M48" s="251">
        <f t="shared" si="4"/>
        <v>1.08684548112187</v>
      </c>
      <c r="N48" s="251">
        <f t="shared" si="5"/>
        <v>1.07027458760249</v>
      </c>
      <c r="O48" s="251">
        <f t="shared" si="6"/>
        <v>1.46326840071822</v>
      </c>
      <c r="P48" s="251">
        <f t="shared" si="7"/>
        <v>1.62976883303248</v>
      </c>
      <c r="Q48" s="250">
        <f t="shared" si="8"/>
        <v>1.83309477228346</v>
      </c>
      <c r="S48" s="166" t="s">
        <v>134</v>
      </c>
      <c r="T48" s="249">
        <f t="shared" si="9"/>
        <v>-1.62467330276176</v>
      </c>
      <c r="U48" s="250">
        <f t="shared" si="10"/>
        <v>-0.837577750828091</v>
      </c>
      <c r="V48" s="251">
        <f t="shared" si="11"/>
        <v>-1.15092912489334</v>
      </c>
      <c r="W48" s="251">
        <f t="shared" si="12"/>
        <v>-1.08268141622394</v>
      </c>
      <c r="X48" s="251">
        <f t="shared" si="13"/>
        <v>-1.48711890521502</v>
      </c>
      <c r="Y48" s="251">
        <f t="shared" si="14"/>
        <v>-1.5703240748503</v>
      </c>
      <c r="Z48" s="250">
        <f t="shared" si="15"/>
        <v>-1.63837984020624</v>
      </c>
      <c r="AB48" s="166" t="s">
        <v>134</v>
      </c>
      <c r="AC48" s="147">
        <v>0.038998134814636</v>
      </c>
      <c r="AD48" s="147">
        <v>0.0158965380174601</v>
      </c>
      <c r="AE48" s="147">
        <v>0.0238870202351137</v>
      </c>
      <c r="AF48" s="147">
        <v>0.0228685239129403</v>
      </c>
      <c r="AG48" s="147">
        <v>0.0251385870028663</v>
      </c>
      <c r="AH48" s="147">
        <v>0.0272311011847136</v>
      </c>
      <c r="AI48" s="220">
        <v>0.041617760932768</v>
      </c>
      <c r="AJ48" t="s">
        <v>201</v>
      </c>
    </row>
    <row r="49" customFormat="1" spans="1:36">
      <c r="A49" s="166" t="s">
        <v>136</v>
      </c>
      <c r="B49" s="166">
        <v>0.0021755</v>
      </c>
      <c r="C49" s="147">
        <v>0.0003653</v>
      </c>
      <c r="D49" s="147">
        <v>0.000971</v>
      </c>
      <c r="E49" s="147">
        <v>0.0010294</v>
      </c>
      <c r="F49" s="147">
        <v>0.0012122</v>
      </c>
      <c r="G49" s="147">
        <v>0.0029153</v>
      </c>
      <c r="H49" s="220">
        <v>0.0020584</v>
      </c>
      <c r="J49" s="166" t="s">
        <v>136</v>
      </c>
      <c r="K49" s="249">
        <f t="shared" si="2"/>
        <v>1.0878832598703</v>
      </c>
      <c r="L49" s="250">
        <f t="shared" si="3"/>
        <v>0.886998646127221</v>
      </c>
      <c r="M49" s="251">
        <f t="shared" si="4"/>
        <v>0.833850865861974</v>
      </c>
      <c r="N49" s="251">
        <f t="shared" si="5"/>
        <v>1.06704454368577</v>
      </c>
      <c r="O49" s="251">
        <f t="shared" si="6"/>
        <v>1.05772042656559</v>
      </c>
      <c r="P49" s="251">
        <f t="shared" si="7"/>
        <v>1.59158928999011</v>
      </c>
      <c r="Q49" s="250">
        <f t="shared" si="8"/>
        <v>1.13347274872168</v>
      </c>
      <c r="S49" s="166" t="s">
        <v>136</v>
      </c>
      <c r="T49" s="249">
        <f t="shared" si="9"/>
        <v>1.5122081140968</v>
      </c>
      <c r="U49" s="250">
        <f t="shared" si="10"/>
        <v>8.48509483695532</v>
      </c>
      <c r="V49" s="251">
        <f t="shared" si="11"/>
        <v>-2.22974951690522</v>
      </c>
      <c r="W49" s="251">
        <f t="shared" si="12"/>
        <v>-1.40987207200702</v>
      </c>
      <c r="X49" s="251">
        <f t="shared" si="13"/>
        <v>-1.98776058295324</v>
      </c>
      <c r="Y49" s="251">
        <f t="shared" si="14"/>
        <v>-1.10132427642767</v>
      </c>
      <c r="Z49" s="250">
        <f t="shared" si="15"/>
        <v>2.11412037029139</v>
      </c>
      <c r="AB49" s="166" t="s">
        <v>136</v>
      </c>
      <c r="AC49" s="147">
        <v>0.00199975501071628</v>
      </c>
      <c r="AD49" s="147">
        <v>0.000411838283626428</v>
      </c>
      <c r="AE49" s="147">
        <v>0.00116447681444361</v>
      </c>
      <c r="AF49" s="147">
        <v>0.000964720738315446</v>
      </c>
      <c r="AG49" s="147">
        <v>0.00114604953213961</v>
      </c>
      <c r="AH49" s="147">
        <v>0.0018316911393756</v>
      </c>
      <c r="AI49" s="220">
        <v>0.00181601189999622</v>
      </c>
      <c r="AJ49" t="s">
        <v>202</v>
      </c>
    </row>
    <row r="50" customFormat="1" spans="1:36">
      <c r="A50" s="166" t="s">
        <v>203</v>
      </c>
      <c r="B50" s="166">
        <v>0.0044623</v>
      </c>
      <c r="C50" s="147">
        <v>0.0001255</v>
      </c>
      <c r="D50" s="147">
        <v>0.0006722</v>
      </c>
      <c r="E50" s="147">
        <v>0.0002658</v>
      </c>
      <c r="F50" s="147">
        <v>0.0005862</v>
      </c>
      <c r="G50" s="147">
        <v>0.0011328</v>
      </c>
      <c r="H50" s="220">
        <v>0.0049334</v>
      </c>
      <c r="J50" s="166" t="s">
        <v>203</v>
      </c>
      <c r="K50" s="249">
        <f t="shared" si="2"/>
        <v>2.7349167007572</v>
      </c>
      <c r="L50" s="250">
        <f t="shared" si="3"/>
        <v>1.46710900647798</v>
      </c>
      <c r="M50" s="251">
        <f t="shared" si="4"/>
        <v>3.69121621042138</v>
      </c>
      <c r="N50" s="251">
        <f t="shared" si="5"/>
        <v>1.68993666575221</v>
      </c>
      <c r="O50" s="251">
        <f t="shared" si="6"/>
        <v>1.56259152823731</v>
      </c>
      <c r="P50" s="251">
        <f t="shared" si="7"/>
        <v>1.47210425154398</v>
      </c>
      <c r="Q50" s="250">
        <f t="shared" si="8"/>
        <v>2.3537355803246</v>
      </c>
      <c r="S50" s="166" t="s">
        <v>203</v>
      </c>
      <c r="T50" s="249">
        <f t="shared" si="9"/>
        <v>0.452030666475837</v>
      </c>
      <c r="U50" s="250">
        <f t="shared" si="10"/>
        <v>43.6648833632297</v>
      </c>
      <c r="V50" s="251">
        <f t="shared" si="11"/>
        <v>-12.6168193879652</v>
      </c>
      <c r="W50" s="251">
        <f t="shared" si="12"/>
        <v>-3.7946157749557</v>
      </c>
      <c r="X50" s="251">
        <f t="shared" si="13"/>
        <v>-4.40527386963684</v>
      </c>
      <c r="Y50" s="251">
        <f t="shared" si="14"/>
        <v>-0.306599847405741</v>
      </c>
      <c r="Z50" s="250">
        <f t="shared" si="15"/>
        <v>0.458403993186265</v>
      </c>
      <c r="AB50" s="166" t="s">
        <v>203</v>
      </c>
      <c r="AC50" s="147">
        <v>0.00163160362389266</v>
      </c>
      <c r="AD50" s="147">
        <v>8.55423826354132e-5</v>
      </c>
      <c r="AE50" s="147">
        <v>0.000182107999553693</v>
      </c>
      <c r="AF50" s="147">
        <v>0.000157284000866203</v>
      </c>
      <c r="AG50" s="147">
        <v>0.000375146024669203</v>
      </c>
      <c r="AH50" s="147">
        <v>0.000769510718287712</v>
      </c>
      <c r="AI50" s="220">
        <v>0.00209598734931799</v>
      </c>
      <c r="AJ50" t="s">
        <v>204</v>
      </c>
    </row>
    <row r="51" customFormat="1" spans="1:36">
      <c r="A51" s="166" t="s">
        <v>137</v>
      </c>
      <c r="B51" s="166">
        <v>0.0039452</v>
      </c>
      <c r="C51" s="147">
        <v>0.0022286</v>
      </c>
      <c r="D51" s="147">
        <v>0.000124</v>
      </c>
      <c r="E51" s="147">
        <v>0.0002105</v>
      </c>
      <c r="F51" s="147">
        <v>0.0014547</v>
      </c>
      <c r="G51" s="147">
        <v>0.0012386</v>
      </c>
      <c r="H51" s="220">
        <v>0.0044789</v>
      </c>
      <c r="J51" s="166" t="s">
        <v>137</v>
      </c>
      <c r="K51" s="249">
        <f t="shared" si="2"/>
        <v>3.08854292180451</v>
      </c>
      <c r="L51" s="250">
        <f t="shared" si="3"/>
        <v>2.46210927532566</v>
      </c>
      <c r="M51" s="251">
        <f t="shared" si="4"/>
        <v>1.43325419772373</v>
      </c>
      <c r="N51" s="251">
        <f t="shared" si="5"/>
        <v>1.53942338939562</v>
      </c>
      <c r="O51" s="251">
        <f t="shared" si="6"/>
        <v>2.94176989580835</v>
      </c>
      <c r="P51" s="251">
        <f t="shared" si="7"/>
        <v>1.57035953979757</v>
      </c>
      <c r="Q51" s="250">
        <f t="shared" si="8"/>
        <v>2.27918759012601</v>
      </c>
      <c r="S51" s="166" t="s">
        <v>137</v>
      </c>
      <c r="T51" s="249">
        <f t="shared" si="9"/>
        <v>0.982658619937428</v>
      </c>
      <c r="U51" s="250">
        <f t="shared" si="10"/>
        <v>1.79734430584536</v>
      </c>
      <c r="V51" s="251">
        <f t="shared" si="11"/>
        <v>-20.2353141458472</v>
      </c>
      <c r="W51" s="251">
        <f t="shared" si="12"/>
        <v>-3.96025682901995</v>
      </c>
      <c r="X51" s="251">
        <f t="shared" si="13"/>
        <v>-5.09391763344699</v>
      </c>
      <c r="Y51" s="251">
        <f t="shared" si="14"/>
        <v>-0.433194747132056</v>
      </c>
      <c r="Z51" s="250">
        <f t="shared" si="15"/>
        <v>0.720205762478191</v>
      </c>
      <c r="AB51" s="166" t="s">
        <v>137</v>
      </c>
      <c r="AC51" s="147">
        <v>0.00127736609135255</v>
      </c>
      <c r="AD51" s="147">
        <v>0.000905158849907352</v>
      </c>
      <c r="AE51" s="147">
        <v>8.65164045547083e-5</v>
      </c>
      <c r="AF51" s="147">
        <v>0.000136739510033457</v>
      </c>
      <c r="AG51" s="147">
        <v>0.000494498227775314</v>
      </c>
      <c r="AH51" s="147">
        <v>0.000788736571855171</v>
      </c>
      <c r="AI51" s="220">
        <v>0.00196513003993338</v>
      </c>
      <c r="AJ51" t="s">
        <v>205</v>
      </c>
    </row>
    <row r="52" customFormat="1" spans="1:36">
      <c r="A52" s="166" t="s">
        <v>138</v>
      </c>
      <c r="B52" s="166">
        <v>0.0006852</v>
      </c>
      <c r="C52" s="147">
        <v>0.0001478</v>
      </c>
      <c r="D52" s="147">
        <v>-4.74e-5</v>
      </c>
      <c r="E52" s="147">
        <v>0.0012868</v>
      </c>
      <c r="F52" s="147">
        <v>3.24e-5</v>
      </c>
      <c r="G52" s="147">
        <v>0.0001767</v>
      </c>
      <c r="H52" s="220">
        <v>0.0007472</v>
      </c>
      <c r="J52" s="166" t="s">
        <v>138</v>
      </c>
      <c r="K52" s="249">
        <f t="shared" si="2"/>
        <v>2.70605441346461</v>
      </c>
      <c r="L52" s="250">
        <f t="shared" si="3"/>
        <v>1.12273058414023</v>
      </c>
      <c r="M52" s="251">
        <f t="shared" si="4"/>
        <v>-1.420602636056</v>
      </c>
      <c r="N52" s="251">
        <f t="shared" si="5"/>
        <v>5.80188583328825</v>
      </c>
      <c r="O52" s="251">
        <f t="shared" si="6"/>
        <v>0.27698369003147</v>
      </c>
      <c r="P52" s="251">
        <f t="shared" si="7"/>
        <v>1.93816071208634</v>
      </c>
      <c r="Q52" s="250">
        <f t="shared" si="8"/>
        <v>2.20016545304263</v>
      </c>
      <c r="S52" s="166" t="s">
        <v>138</v>
      </c>
      <c r="T52" s="249">
        <f t="shared" si="9"/>
        <v>17.8585277883342</v>
      </c>
      <c r="U52" s="250">
        <f t="shared" si="10"/>
        <v>28.2038365756166</v>
      </c>
      <c r="V52" s="251">
        <f t="shared" si="11"/>
        <v>-47.3388613645513</v>
      </c>
      <c r="W52" s="251">
        <f t="shared" si="12"/>
        <v>-7.28683704643455</v>
      </c>
      <c r="X52" s="251">
        <f t="shared" si="13"/>
        <v>-9.39997323781484</v>
      </c>
      <c r="Y52" s="251">
        <f t="shared" si="14"/>
        <v>7.90464460931753</v>
      </c>
      <c r="Z52" s="250">
        <f t="shared" si="15"/>
        <v>15.1880929710557</v>
      </c>
      <c r="AB52" s="166" t="s">
        <v>138</v>
      </c>
      <c r="AC52" s="147">
        <v>0.000253209985945081</v>
      </c>
      <c r="AD52" s="147">
        <v>0.000131643336422677</v>
      </c>
      <c r="AE52" s="147">
        <v>3.33661213888749e-5</v>
      </c>
      <c r="AF52" s="147">
        <v>0.000221789955365375</v>
      </c>
      <c r="AG52" s="147">
        <v>0.000116974396565801</v>
      </c>
      <c r="AH52" s="147">
        <v>9.11689102446982e-5</v>
      </c>
      <c r="AI52" s="220">
        <v>0.000339610822889111</v>
      </c>
      <c r="AJ52" t="s">
        <v>206</v>
      </c>
    </row>
    <row r="53" customFormat="1" spans="1:36">
      <c r="A53" s="166" t="s">
        <v>139</v>
      </c>
      <c r="B53" s="166">
        <v>0.0015842</v>
      </c>
      <c r="C53" s="147">
        <v>0.0009033</v>
      </c>
      <c r="D53" s="147">
        <v>0.0002341</v>
      </c>
      <c r="E53" s="147">
        <v>0.0002434</v>
      </c>
      <c r="F53" s="147">
        <v>0.0006938</v>
      </c>
      <c r="G53" s="147">
        <v>0.0008615</v>
      </c>
      <c r="H53" s="220">
        <v>0.0017535</v>
      </c>
      <c r="J53" s="166" t="s">
        <v>139</v>
      </c>
      <c r="K53" s="249">
        <f t="shared" si="2"/>
        <v>2.24531712914886</v>
      </c>
      <c r="L53" s="250">
        <f t="shared" si="3"/>
        <v>2.33456020266601</v>
      </c>
      <c r="M53" s="251">
        <f t="shared" si="4"/>
        <v>1.85914248033363</v>
      </c>
      <c r="N53" s="251">
        <f t="shared" si="5"/>
        <v>1.26480532351772</v>
      </c>
      <c r="O53" s="251">
        <f t="shared" si="6"/>
        <v>1.73962558524092</v>
      </c>
      <c r="P53" s="251">
        <f t="shared" si="7"/>
        <v>1.58673518068673</v>
      </c>
      <c r="Q53" s="250">
        <f t="shared" si="8"/>
        <v>1.95355303864662</v>
      </c>
      <c r="S53" s="166" t="s">
        <v>139</v>
      </c>
      <c r="T53" s="249">
        <f t="shared" si="9"/>
        <v>5.12980859010318</v>
      </c>
      <c r="U53" s="250">
        <f t="shared" si="10"/>
        <v>7.63684077579539</v>
      </c>
      <c r="V53" s="251">
        <f t="shared" si="11"/>
        <v>-14.7758504706367</v>
      </c>
      <c r="W53" s="251">
        <f t="shared" si="12"/>
        <v>-2.98479553660292</v>
      </c>
      <c r="X53" s="251">
        <f t="shared" si="13"/>
        <v>-4.41315375452944</v>
      </c>
      <c r="Y53" s="251">
        <f t="shared" si="14"/>
        <v>0.0652723747152766</v>
      </c>
      <c r="Z53" s="250">
        <f t="shared" si="15"/>
        <v>4.62013676329449</v>
      </c>
      <c r="AB53" s="166" t="s">
        <v>139</v>
      </c>
      <c r="AC53" s="147">
        <v>0.000705557348418095</v>
      </c>
      <c r="AD53" s="147">
        <v>0.000386925125755358</v>
      </c>
      <c r="AE53" s="147">
        <v>0.000125918267414335</v>
      </c>
      <c r="AF53" s="147">
        <v>0.000192440682747165</v>
      </c>
      <c r="AG53" s="147">
        <v>0.000398821450941076</v>
      </c>
      <c r="AH53" s="147">
        <v>0.000542938740179156</v>
      </c>
      <c r="AI53" s="220">
        <v>0.000897595286798453</v>
      </c>
      <c r="AJ53" t="s">
        <v>207</v>
      </c>
    </row>
    <row r="54" customFormat="1" spans="1:36">
      <c r="A54" s="166" t="s">
        <v>140</v>
      </c>
      <c r="B54" s="166">
        <v>0.0004318</v>
      </c>
      <c r="C54" s="147">
        <v>0.0001677</v>
      </c>
      <c r="D54" s="147">
        <v>0.0001424</v>
      </c>
      <c r="E54" s="147">
        <v>0.0001024</v>
      </c>
      <c r="F54" s="147">
        <v>0.0002034</v>
      </c>
      <c r="G54" s="147">
        <v>0.0001153</v>
      </c>
      <c r="H54" s="220">
        <v>0.0004765</v>
      </c>
      <c r="J54" s="166" t="s">
        <v>140</v>
      </c>
      <c r="K54" s="249">
        <f t="shared" si="2"/>
        <v>1.976533085203</v>
      </c>
      <c r="L54" s="250">
        <f t="shared" si="3"/>
        <v>0.917031511329725</v>
      </c>
      <c r="M54" s="251">
        <f t="shared" si="4"/>
        <v>1.01202939558601</v>
      </c>
      <c r="N54" s="251">
        <f t="shared" si="5"/>
        <v>0.631374034382768</v>
      </c>
      <c r="O54" s="251">
        <f t="shared" si="6"/>
        <v>1.34140365138122</v>
      </c>
      <c r="P54" s="251">
        <f t="shared" si="7"/>
        <v>0.631830818181184</v>
      </c>
      <c r="Q54" s="250">
        <f t="shared" si="8"/>
        <v>1.83492829795572</v>
      </c>
      <c r="S54" s="166" t="s">
        <v>140</v>
      </c>
      <c r="T54" s="249">
        <f t="shared" si="9"/>
        <v>21.8640911926043</v>
      </c>
      <c r="U54" s="250">
        <f t="shared" si="10"/>
        <v>20.1936286466794</v>
      </c>
      <c r="V54" s="251">
        <f t="shared" si="11"/>
        <v>-12.5724061274112</v>
      </c>
      <c r="W54" s="251">
        <f t="shared" si="12"/>
        <v>-2.67274326182203</v>
      </c>
      <c r="X54" s="251">
        <f t="shared" si="13"/>
        <v>-8.37799951248893</v>
      </c>
      <c r="Y54" s="251">
        <f t="shared" si="14"/>
        <v>4.28550093361659</v>
      </c>
      <c r="Z54" s="250">
        <f t="shared" si="15"/>
        <v>20.9106163284148</v>
      </c>
      <c r="AB54" s="166" t="s">
        <v>140</v>
      </c>
      <c r="AC54" s="147">
        <v>0.000218463330177775</v>
      </c>
      <c r="AD54" s="147">
        <v>0.000182872668962956</v>
      </c>
      <c r="AE54" s="147">
        <v>0.000140707375320402</v>
      </c>
      <c r="AF54" s="147">
        <v>0.000162185953846053</v>
      </c>
      <c r="AG54" s="147">
        <v>0.000151632209879973</v>
      </c>
      <c r="AH54" s="147">
        <v>0.000182485558922098</v>
      </c>
      <c r="AI54" s="220">
        <v>0.000259683171560908</v>
      </c>
      <c r="AJ54" t="s">
        <v>208</v>
      </c>
    </row>
    <row r="55" customFormat="1" spans="1:36">
      <c r="A55" s="166" t="s">
        <v>141</v>
      </c>
      <c r="B55" s="166">
        <v>0.0441508</v>
      </c>
      <c r="C55" s="147">
        <v>0.0542041</v>
      </c>
      <c r="D55" s="147">
        <v>0.0207145</v>
      </c>
      <c r="E55" s="147">
        <v>0.0292402</v>
      </c>
      <c r="F55" s="147">
        <v>0.038772</v>
      </c>
      <c r="G55" s="147">
        <v>0.042888</v>
      </c>
      <c r="H55" s="220">
        <v>0.0460444</v>
      </c>
      <c r="J55" s="166" t="s">
        <v>141</v>
      </c>
      <c r="K55" s="249">
        <f t="shared" si="2"/>
        <v>1.89042457684754</v>
      </c>
      <c r="L55" s="250">
        <f t="shared" si="3"/>
        <v>2.15853054411095</v>
      </c>
      <c r="M55" s="251">
        <f t="shared" si="4"/>
        <v>2.04361996620959</v>
      </c>
      <c r="N55" s="251">
        <f t="shared" si="5"/>
        <v>2.20735071260421</v>
      </c>
      <c r="O55" s="251">
        <f t="shared" si="6"/>
        <v>2.44089231645006</v>
      </c>
      <c r="P55" s="251">
        <f t="shared" si="7"/>
        <v>2.10035969082311</v>
      </c>
      <c r="Q55" s="250">
        <f t="shared" si="8"/>
        <v>1.43075739685033</v>
      </c>
      <c r="S55" s="166" t="s">
        <v>141</v>
      </c>
      <c r="T55" s="249">
        <f t="shared" si="9"/>
        <v>-1.63786157394994</v>
      </c>
      <c r="U55" s="250">
        <f t="shared" si="10"/>
        <v>-1.95030700269406</v>
      </c>
      <c r="V55" s="251">
        <f t="shared" si="11"/>
        <v>-2.17918170793053</v>
      </c>
      <c r="W55" s="251">
        <f t="shared" si="12"/>
        <v>-2.19631309658072</v>
      </c>
      <c r="X55" s="251">
        <f t="shared" si="13"/>
        <v>-2.44960428034806</v>
      </c>
      <c r="Y55" s="251">
        <f t="shared" si="14"/>
        <v>-2.01110032671663</v>
      </c>
      <c r="Z55" s="250">
        <f t="shared" si="15"/>
        <v>-1.2357535351965</v>
      </c>
      <c r="AB55" s="166" t="s">
        <v>141</v>
      </c>
      <c r="AC55" s="147">
        <v>0.0233549650912948</v>
      </c>
      <c r="AD55" s="147">
        <v>0.0251115742364097</v>
      </c>
      <c r="AE55" s="147">
        <v>0.0101361800836289</v>
      </c>
      <c r="AF55" s="147">
        <v>0.0132467395566257</v>
      </c>
      <c r="AG55" s="147">
        <v>0.0158843549708036</v>
      </c>
      <c r="AH55" s="147">
        <v>0.0204193596874793</v>
      </c>
      <c r="AI55" s="220">
        <v>0.0321818360690374</v>
      </c>
      <c r="AJ55" t="s">
        <v>209</v>
      </c>
    </row>
    <row r="56" customFormat="1" spans="1:36">
      <c r="A56" s="166" t="s">
        <v>142</v>
      </c>
      <c r="B56" s="166">
        <v>0.0003701</v>
      </c>
      <c r="C56" s="147">
        <v>0.0038418</v>
      </c>
      <c r="D56" s="147">
        <v>0.0006962</v>
      </c>
      <c r="E56" s="147">
        <v>0.0002103</v>
      </c>
      <c r="F56" s="147">
        <v>0.0015372</v>
      </c>
      <c r="G56" s="147">
        <v>0.0019959</v>
      </c>
      <c r="H56" s="220">
        <v>0.0002992</v>
      </c>
      <c r="J56" s="166" t="s">
        <v>142</v>
      </c>
      <c r="K56" s="249">
        <f t="shared" si="2"/>
        <v>0.791438027683508</v>
      </c>
      <c r="L56" s="250">
        <f t="shared" si="3"/>
        <v>2.43592611244287</v>
      </c>
      <c r="M56" s="251">
        <f t="shared" si="4"/>
        <v>2.25947327408974</v>
      </c>
      <c r="N56" s="251">
        <f t="shared" si="5"/>
        <v>0.517319441141296</v>
      </c>
      <c r="O56" s="251">
        <f t="shared" si="6"/>
        <v>2.30667744710598</v>
      </c>
      <c r="P56" s="251">
        <f t="shared" si="7"/>
        <v>2.47079823260238</v>
      </c>
      <c r="Q56" s="250">
        <f t="shared" si="8"/>
        <v>0.330204129651851</v>
      </c>
      <c r="S56" s="166" t="s">
        <v>142</v>
      </c>
      <c r="T56" s="249">
        <f t="shared" si="9"/>
        <v>10.346700818638</v>
      </c>
      <c r="U56" s="250">
        <f t="shared" si="10"/>
        <v>0.00841433238301903</v>
      </c>
      <c r="V56" s="251">
        <f t="shared" si="11"/>
        <v>-7.53492583629486</v>
      </c>
      <c r="W56" s="251">
        <f t="shared" si="12"/>
        <v>-1.33173467689158</v>
      </c>
      <c r="X56" s="251">
        <f t="shared" si="13"/>
        <v>-3.9035961877446</v>
      </c>
      <c r="Y56" s="251">
        <f t="shared" si="14"/>
        <v>-1.35903520681367</v>
      </c>
      <c r="Z56" s="250">
        <f t="shared" si="15"/>
        <v>6.1894010334838</v>
      </c>
      <c r="AB56" s="166" t="s">
        <v>142</v>
      </c>
      <c r="AC56" s="147">
        <v>0.000467629791663234</v>
      </c>
      <c r="AD56" s="147">
        <v>0.00157714143313946</v>
      </c>
      <c r="AE56" s="147">
        <v>0.000308124910342422</v>
      </c>
      <c r="AF56" s="147">
        <v>0.000406518648392649</v>
      </c>
      <c r="AG56" s="147">
        <v>0.0006664130704224</v>
      </c>
      <c r="AH56" s="147">
        <v>0.000807795623966354</v>
      </c>
      <c r="AI56" s="220">
        <v>0.000906106172310625</v>
      </c>
      <c r="AJ56" t="s">
        <v>210</v>
      </c>
    </row>
    <row r="57" customFormat="1" spans="1:36">
      <c r="A57" s="166" t="s">
        <v>143</v>
      </c>
      <c r="B57" s="166">
        <v>0.0383301</v>
      </c>
      <c r="C57" s="147">
        <v>0.0179076</v>
      </c>
      <c r="D57" s="147">
        <v>0.0115182</v>
      </c>
      <c r="E57" s="147">
        <v>0.0150634</v>
      </c>
      <c r="F57" s="147">
        <v>0.0229628</v>
      </c>
      <c r="G57" s="147">
        <v>0.0263832</v>
      </c>
      <c r="H57" s="220">
        <v>0.036721</v>
      </c>
      <c r="J57" s="166" t="s">
        <v>143</v>
      </c>
      <c r="K57" s="249">
        <f t="shared" si="2"/>
        <v>1.51774955543397</v>
      </c>
      <c r="L57" s="250">
        <f t="shared" si="3"/>
        <v>1.79597312906779</v>
      </c>
      <c r="M57" s="251">
        <f t="shared" si="4"/>
        <v>1.80631195538387</v>
      </c>
      <c r="N57" s="251">
        <f t="shared" si="5"/>
        <v>1.652068957005</v>
      </c>
      <c r="O57" s="251">
        <f t="shared" si="6"/>
        <v>1.67979782145662</v>
      </c>
      <c r="P57" s="251">
        <f t="shared" si="7"/>
        <v>1.48916005798053</v>
      </c>
      <c r="Q57" s="250">
        <f t="shared" si="8"/>
        <v>1.21771955950371</v>
      </c>
      <c r="S57" s="166" t="s">
        <v>143</v>
      </c>
      <c r="T57" s="249">
        <f t="shared" si="9"/>
        <v>-1.29949266027315</v>
      </c>
      <c r="U57" s="250">
        <f t="shared" si="10"/>
        <v>-1.40141265798255</v>
      </c>
      <c r="V57" s="251">
        <f t="shared" si="11"/>
        <v>-2.04920976937234</v>
      </c>
      <c r="W57" s="251">
        <f t="shared" si="12"/>
        <v>-1.67801979104171</v>
      </c>
      <c r="X57" s="251">
        <f t="shared" si="13"/>
        <v>-1.74046391947513</v>
      </c>
      <c r="Y57" s="251">
        <f t="shared" si="14"/>
        <v>-1.42693675118335</v>
      </c>
      <c r="Z57" s="250">
        <f t="shared" si="15"/>
        <v>-1.02095654217236</v>
      </c>
      <c r="AB57" s="166" t="s">
        <v>143</v>
      </c>
      <c r="AC57" s="147">
        <v>0.0252545618364819</v>
      </c>
      <c r="AD57" s="147">
        <v>0.00997097323460237</v>
      </c>
      <c r="AE57" s="147">
        <v>0.00637663940919451</v>
      </c>
      <c r="AF57" s="147">
        <v>0.0091179002765769</v>
      </c>
      <c r="AG57" s="147">
        <v>0.0136699784382909</v>
      </c>
      <c r="AH57" s="147">
        <v>0.0177168329613799</v>
      </c>
      <c r="AI57" s="220">
        <v>0.0301555474849776</v>
      </c>
      <c r="AJ57" t="s">
        <v>211</v>
      </c>
    </row>
    <row r="58" customFormat="1" spans="1:36">
      <c r="A58" s="166" t="s">
        <v>144</v>
      </c>
      <c r="B58" s="166">
        <v>0.0005309</v>
      </c>
      <c r="C58" s="147">
        <v>0.0005912</v>
      </c>
      <c r="D58" s="147">
        <v>0.0002405</v>
      </c>
      <c r="E58" s="147">
        <v>0.0003772</v>
      </c>
      <c r="F58" s="147">
        <v>0.0006169</v>
      </c>
      <c r="G58" s="147">
        <v>0.0024549</v>
      </c>
      <c r="H58" s="220">
        <v>0.0003491</v>
      </c>
      <c r="J58" s="166" t="s">
        <v>144</v>
      </c>
      <c r="K58" s="249">
        <f t="shared" si="2"/>
        <v>0.917726320439942</v>
      </c>
      <c r="L58" s="250">
        <f t="shared" si="3"/>
        <v>2.37167097488619</v>
      </c>
      <c r="M58" s="251">
        <f t="shared" si="4"/>
        <v>1.40179707189673</v>
      </c>
      <c r="N58" s="251">
        <f t="shared" si="5"/>
        <v>2.2095986893933</v>
      </c>
      <c r="O58" s="251">
        <f t="shared" si="6"/>
        <v>2.23361249638366</v>
      </c>
      <c r="P58" s="251">
        <f t="shared" si="7"/>
        <v>2.90770425709903</v>
      </c>
      <c r="Q58" s="250">
        <f t="shared" si="8"/>
        <v>0.668007919124272</v>
      </c>
      <c r="S58" s="166" t="s">
        <v>144</v>
      </c>
      <c r="T58" s="249">
        <f t="shared" si="9"/>
        <v>8.08439718526552</v>
      </c>
      <c r="U58" s="250">
        <f t="shared" si="10"/>
        <v>13.1097506632762</v>
      </c>
      <c r="V58" s="251">
        <f t="shared" si="11"/>
        <v>-10.8818361647896</v>
      </c>
      <c r="W58" s="251">
        <f t="shared" si="12"/>
        <v>-4.14791363142542</v>
      </c>
      <c r="X58" s="251">
        <f t="shared" si="13"/>
        <v>-6.09452740834623</v>
      </c>
      <c r="Y58" s="251">
        <f t="shared" si="14"/>
        <v>-1.8426239415154</v>
      </c>
      <c r="Z58" s="250">
        <f t="shared" si="15"/>
        <v>10.6356479256901</v>
      </c>
      <c r="AB58" s="166" t="s">
        <v>144</v>
      </c>
      <c r="AC58" s="147">
        <v>0.000578494904390991</v>
      </c>
      <c r="AD58" s="147">
        <v>0.000249275724272153</v>
      </c>
      <c r="AE58" s="147">
        <v>0.000171565488915301</v>
      </c>
      <c r="AF58" s="147">
        <v>0.000170709731957512</v>
      </c>
      <c r="AG58" s="147">
        <v>0.000276189357374564</v>
      </c>
      <c r="AH58" s="147">
        <v>0.000844274308161318</v>
      </c>
      <c r="AI58" s="220">
        <v>0.000522598595025122</v>
      </c>
      <c r="AJ58" t="s">
        <v>212</v>
      </c>
    </row>
    <row r="59" customFormat="1" spans="1:36">
      <c r="A59" s="166" t="s">
        <v>145</v>
      </c>
      <c r="B59" s="166">
        <v>0.0034338</v>
      </c>
      <c r="C59" s="147">
        <v>0.0188479</v>
      </c>
      <c r="D59" s="147">
        <v>0.0204434</v>
      </c>
      <c r="E59" s="147">
        <v>0.0217405</v>
      </c>
      <c r="F59" s="147">
        <v>0.0226217</v>
      </c>
      <c r="G59" s="147">
        <v>0.0137326</v>
      </c>
      <c r="H59" s="220">
        <v>0.0035135</v>
      </c>
      <c r="J59" s="166" t="s">
        <v>145</v>
      </c>
      <c r="K59" s="249">
        <f t="shared" si="2"/>
        <v>0.265132385044509</v>
      </c>
      <c r="L59" s="250">
        <f t="shared" si="3"/>
        <v>1.00502938661243</v>
      </c>
      <c r="M59" s="251">
        <f t="shared" si="4"/>
        <v>1.19731164479588</v>
      </c>
      <c r="N59" s="251">
        <f t="shared" si="5"/>
        <v>1.07265995962643</v>
      </c>
      <c r="O59" s="251">
        <f t="shared" si="6"/>
        <v>1.07645003371552</v>
      </c>
      <c r="P59" s="251">
        <f t="shared" si="7"/>
        <v>0.813329444713619</v>
      </c>
      <c r="Q59" s="250">
        <f t="shared" si="8"/>
        <v>0.364633658622519</v>
      </c>
      <c r="S59" s="166" t="s">
        <v>145</v>
      </c>
      <c r="T59" s="249">
        <f t="shared" si="9"/>
        <v>0.133276228404353</v>
      </c>
      <c r="U59" s="250">
        <f t="shared" si="10"/>
        <v>-0.802925528787672</v>
      </c>
      <c r="V59" s="251">
        <f t="shared" si="11"/>
        <v>-1.2866121454166</v>
      </c>
      <c r="W59" s="251">
        <f t="shared" si="12"/>
        <v>-1.08706429006484</v>
      </c>
      <c r="X59" s="251">
        <f t="shared" si="13"/>
        <v>-1.12435313832775</v>
      </c>
      <c r="Y59" s="251">
        <f t="shared" si="14"/>
        <v>-0.763472141313687</v>
      </c>
      <c r="Z59" s="250">
        <f t="shared" si="15"/>
        <v>0.244258701668312</v>
      </c>
      <c r="AB59" s="166" t="s">
        <v>145</v>
      </c>
      <c r="AC59" s="147">
        <v>0.0129512658343248</v>
      </c>
      <c r="AD59" s="147">
        <v>0.0187535809908297</v>
      </c>
      <c r="AE59" s="147">
        <v>0.0170744184180094</v>
      </c>
      <c r="AF59" s="147">
        <v>0.0202678395934266</v>
      </c>
      <c r="AG59" s="147">
        <v>0.0210150952589207</v>
      </c>
      <c r="AH59" s="147">
        <v>0.0168844249882474</v>
      </c>
      <c r="AI59" s="220">
        <v>0.00963569850702481</v>
      </c>
      <c r="AJ59" t="s">
        <v>213</v>
      </c>
    </row>
    <row r="60" customFormat="1" spans="1:36">
      <c r="A60" s="166" t="s">
        <v>146</v>
      </c>
      <c r="B60" s="166">
        <v>0.0250872</v>
      </c>
      <c r="C60" s="147">
        <v>0.0087036</v>
      </c>
      <c r="D60" s="147">
        <v>0.0046611</v>
      </c>
      <c r="E60" s="147">
        <v>0.0053213</v>
      </c>
      <c r="F60" s="147">
        <v>0.0084084</v>
      </c>
      <c r="G60" s="147">
        <v>0.0140301</v>
      </c>
      <c r="H60" s="220">
        <v>0.0257634</v>
      </c>
      <c r="J60" s="166" t="s">
        <v>146</v>
      </c>
      <c r="K60" s="249">
        <f t="shared" si="2"/>
        <v>1.78150456669314</v>
      </c>
      <c r="L60" s="250">
        <f t="shared" si="3"/>
        <v>2.86543093577761</v>
      </c>
      <c r="M60" s="251">
        <f t="shared" si="4"/>
        <v>1.84268291594844</v>
      </c>
      <c r="N60" s="251">
        <f t="shared" si="5"/>
        <v>1.37033837363939</v>
      </c>
      <c r="O60" s="251">
        <f t="shared" si="6"/>
        <v>1.55879538112383</v>
      </c>
      <c r="P60" s="251">
        <f t="shared" si="7"/>
        <v>1.54194345643287</v>
      </c>
      <c r="Q60" s="250">
        <f t="shared" si="8"/>
        <v>1.52624442514362</v>
      </c>
      <c r="S60" s="166" t="s">
        <v>146</v>
      </c>
      <c r="T60" s="249">
        <f t="shared" si="9"/>
        <v>-1.40117314136299</v>
      </c>
      <c r="U60" s="250">
        <f t="shared" si="10"/>
        <v>-1.58905824983334</v>
      </c>
      <c r="V60" s="251">
        <f t="shared" si="11"/>
        <v>-2.47891642287525</v>
      </c>
      <c r="W60" s="251">
        <f t="shared" si="12"/>
        <v>-1.4531829544506</v>
      </c>
      <c r="X60" s="251">
        <f t="shared" si="13"/>
        <v>-1.75027557329934</v>
      </c>
      <c r="Y60" s="251">
        <f t="shared" si="14"/>
        <v>-1.43708822105929</v>
      </c>
      <c r="Z60" s="250">
        <f t="shared" si="15"/>
        <v>-1.17163228042108</v>
      </c>
      <c r="AB60" s="166" t="s">
        <v>146</v>
      </c>
      <c r="AC60" s="147">
        <v>0.0140820295771497</v>
      </c>
      <c r="AD60" s="147">
        <v>0.00303744888467817</v>
      </c>
      <c r="AE60" s="147">
        <v>0.00252951821480415</v>
      </c>
      <c r="AF60" s="147">
        <v>0.00388320147954956</v>
      </c>
      <c r="AG60" s="147">
        <v>0.00539416532908757</v>
      </c>
      <c r="AH60" s="147">
        <v>0.00909897178230986</v>
      </c>
      <c r="AI60" s="220">
        <v>0.0168802582178642</v>
      </c>
      <c r="AJ60" t="s">
        <v>214</v>
      </c>
    </row>
    <row r="61" customFormat="1" spans="1:36">
      <c r="A61" s="166" t="s">
        <v>147</v>
      </c>
      <c r="B61" s="166">
        <v>0.0469297</v>
      </c>
      <c r="C61" s="147">
        <v>0.0236595</v>
      </c>
      <c r="D61" s="147">
        <v>0.0110423</v>
      </c>
      <c r="E61" s="147">
        <v>0.0132498</v>
      </c>
      <c r="F61" s="147">
        <v>0.0114588</v>
      </c>
      <c r="G61" s="147">
        <v>0.0106969</v>
      </c>
      <c r="H61" s="220">
        <v>0.0514729</v>
      </c>
      <c r="J61" s="166" t="s">
        <v>147</v>
      </c>
      <c r="K61" s="249">
        <f t="shared" si="2"/>
        <v>2.40518096576341</v>
      </c>
      <c r="L61" s="250">
        <f t="shared" si="3"/>
        <v>1.61426575661524</v>
      </c>
      <c r="M61" s="251">
        <f t="shared" si="4"/>
        <v>1.43892256937552</v>
      </c>
      <c r="N61" s="251">
        <f t="shared" si="5"/>
        <v>1.45076514137469</v>
      </c>
      <c r="O61" s="251">
        <f t="shared" si="6"/>
        <v>1.30040581452763</v>
      </c>
      <c r="P61" s="251">
        <f t="shared" si="7"/>
        <v>0.909640344961375</v>
      </c>
      <c r="Q61" s="250">
        <f t="shared" si="8"/>
        <v>1.85857847665186</v>
      </c>
      <c r="S61" s="166" t="s">
        <v>147</v>
      </c>
      <c r="T61" s="249">
        <f t="shared" si="9"/>
        <v>-2.08472920858295</v>
      </c>
      <c r="U61" s="250">
        <f t="shared" si="10"/>
        <v>-1.34251986463492</v>
      </c>
      <c r="V61" s="251">
        <f t="shared" si="11"/>
        <v>-1.6437319996043</v>
      </c>
      <c r="W61" s="251">
        <f t="shared" si="12"/>
        <v>-1.48056889277207</v>
      </c>
      <c r="X61" s="251">
        <f t="shared" si="13"/>
        <v>-1.4166856173389</v>
      </c>
      <c r="Y61" s="251">
        <f t="shared" si="14"/>
        <v>-0.835106994088688</v>
      </c>
      <c r="Z61" s="250">
        <f t="shared" si="15"/>
        <v>-1.61199461720903</v>
      </c>
      <c r="AB61" s="166" t="s">
        <v>147</v>
      </c>
      <c r="AC61" s="147">
        <v>0.0195119205864431</v>
      </c>
      <c r="AD61" s="147">
        <v>0.0146565086343706</v>
      </c>
      <c r="AE61" s="147">
        <v>0.00767400570052371</v>
      </c>
      <c r="AF61" s="147">
        <v>0.00913297378198994</v>
      </c>
      <c r="AG61" s="147">
        <v>0.00881171083056286</v>
      </c>
      <c r="AH61" s="147">
        <v>0.0117594828101586</v>
      </c>
      <c r="AI61" s="220">
        <v>0.0276947681502941</v>
      </c>
      <c r="AJ61" t="s">
        <v>215</v>
      </c>
    </row>
    <row r="62" customFormat="1" spans="1:36">
      <c r="A62" s="166" t="s">
        <v>148</v>
      </c>
      <c r="B62" s="166">
        <v>0.0039533</v>
      </c>
      <c r="C62" s="147">
        <v>0.0065091</v>
      </c>
      <c r="D62" s="147">
        <v>0.0042766</v>
      </c>
      <c r="E62" s="147">
        <v>0.0054371</v>
      </c>
      <c r="F62" s="147">
        <v>0.0050985</v>
      </c>
      <c r="G62" s="147">
        <v>0.0045647</v>
      </c>
      <c r="H62" s="220">
        <v>0.0038885</v>
      </c>
      <c r="J62" s="166" t="s">
        <v>148</v>
      </c>
      <c r="K62" s="249">
        <f t="shared" si="2"/>
        <v>1.4336176331789</v>
      </c>
      <c r="L62" s="250">
        <f t="shared" si="3"/>
        <v>1.3176085845591</v>
      </c>
      <c r="M62" s="251">
        <f t="shared" si="4"/>
        <v>1.28788740005838</v>
      </c>
      <c r="N62" s="251">
        <f t="shared" si="5"/>
        <v>1.77741650599081</v>
      </c>
      <c r="O62" s="251">
        <f t="shared" si="6"/>
        <v>1.72377876737024</v>
      </c>
      <c r="P62" s="251">
        <f t="shared" si="7"/>
        <v>1.49882227244686</v>
      </c>
      <c r="Q62" s="250">
        <f t="shared" si="8"/>
        <v>1.07186723131913</v>
      </c>
      <c r="S62" s="166" t="s">
        <v>148</v>
      </c>
      <c r="T62" s="249">
        <f t="shared" si="9"/>
        <v>0.450146629327323</v>
      </c>
      <c r="U62" s="250">
        <f t="shared" si="10"/>
        <v>-0.539032329798965</v>
      </c>
      <c r="V62" s="251">
        <f t="shared" si="11"/>
        <v>-1.77449241396122</v>
      </c>
      <c r="W62" s="251">
        <f t="shared" si="12"/>
        <v>-1.88085350237595</v>
      </c>
      <c r="X62" s="251">
        <f t="shared" si="13"/>
        <v>-2.07906282324526</v>
      </c>
      <c r="Y62" s="251">
        <f t="shared" si="14"/>
        <v>-1.20320096188736</v>
      </c>
      <c r="Z62" s="250">
        <f t="shared" si="15"/>
        <v>0.550986016992618</v>
      </c>
      <c r="AB62" s="166" t="s">
        <v>148</v>
      </c>
      <c r="AC62" s="147">
        <v>0.00275756931869898</v>
      </c>
      <c r="AD62" s="147">
        <v>0.00494008621094258</v>
      </c>
      <c r="AE62" s="147">
        <v>0.00332063191223561</v>
      </c>
      <c r="AF62" s="147">
        <v>0.00305899038389379</v>
      </c>
      <c r="AG62" s="147">
        <v>0.00295774614266665</v>
      </c>
      <c r="AH62" s="147">
        <v>0.00304552453210347</v>
      </c>
      <c r="AI62" s="220">
        <v>0.0036277813952895</v>
      </c>
      <c r="AJ62" t="s">
        <v>216</v>
      </c>
    </row>
    <row r="63" customFormat="1" spans="1:36">
      <c r="A63" s="166" t="s">
        <v>149</v>
      </c>
      <c r="B63" s="166">
        <v>0.004432</v>
      </c>
      <c r="C63" s="147">
        <v>0.0007873</v>
      </c>
      <c r="D63" s="147">
        <v>0.0002561</v>
      </c>
      <c r="E63" s="147">
        <v>0.001024</v>
      </c>
      <c r="F63" s="147">
        <v>0.0018977</v>
      </c>
      <c r="G63" s="147">
        <v>0.0026413</v>
      </c>
      <c r="H63" s="220">
        <v>0.003797</v>
      </c>
      <c r="J63" s="166" t="s">
        <v>149</v>
      </c>
      <c r="K63" s="249">
        <f t="shared" si="2"/>
        <v>1.46498086821091</v>
      </c>
      <c r="L63" s="250">
        <f t="shared" si="3"/>
        <v>1.47821496404312</v>
      </c>
      <c r="M63" s="251">
        <f t="shared" si="4"/>
        <v>0.630743964007591</v>
      </c>
      <c r="N63" s="251">
        <f t="shared" si="5"/>
        <v>1.58026039394877</v>
      </c>
      <c r="O63" s="251">
        <f t="shared" si="6"/>
        <v>1.78831103254892</v>
      </c>
      <c r="P63" s="251">
        <f t="shared" si="7"/>
        <v>1.73202459754067</v>
      </c>
      <c r="Q63" s="250">
        <f t="shared" si="8"/>
        <v>0.987523991394057</v>
      </c>
      <c r="S63" s="166" t="s">
        <v>149</v>
      </c>
      <c r="T63" s="249">
        <f t="shared" si="9"/>
        <v>0</v>
      </c>
      <c r="U63" s="250">
        <f t="shared" si="10"/>
        <v>0</v>
      </c>
      <c r="V63" s="251">
        <f t="shared" si="11"/>
        <v>-4.636501737916</v>
      </c>
      <c r="W63" s="251">
        <f t="shared" si="12"/>
        <v>-2.09018078852898</v>
      </c>
      <c r="X63" s="251">
        <f t="shared" si="13"/>
        <v>-2.79061769367715</v>
      </c>
      <c r="Y63" s="251">
        <f t="shared" si="14"/>
        <v>-1.14313270617736</v>
      </c>
      <c r="Z63" s="250">
        <f t="shared" si="15"/>
        <v>0.543506642621122</v>
      </c>
      <c r="AB63" s="166" t="s">
        <v>149</v>
      </c>
      <c r="AC63" s="147">
        <v>0.00302529548076113</v>
      </c>
      <c r="AD63" s="147">
        <v>0.000532601833394127</v>
      </c>
      <c r="AE63" s="147">
        <v>0.000406028459428773</v>
      </c>
      <c r="AF63" s="147">
        <v>0.000647994472253535</v>
      </c>
      <c r="AG63" s="147">
        <v>0.00106116887133172</v>
      </c>
      <c r="AH63" s="147">
        <v>0.00152497834254226</v>
      </c>
      <c r="AI63" s="220">
        <v>0.00384496987727852</v>
      </c>
      <c r="AJ63" t="s">
        <v>217</v>
      </c>
    </row>
    <row r="64" customFormat="1" ht="15.15" spans="1:36">
      <c r="A64" s="218" t="s">
        <v>218</v>
      </c>
      <c r="B64" s="218">
        <v>-3.1e-6</v>
      </c>
      <c r="C64" s="252">
        <v>-2.93e-6</v>
      </c>
      <c r="D64" s="252">
        <v>-9.16e-6</v>
      </c>
      <c r="E64" s="252">
        <v>0</v>
      </c>
      <c r="F64" s="252">
        <v>3.05e-5</v>
      </c>
      <c r="G64" s="252">
        <v>-2.65e-6</v>
      </c>
      <c r="H64" s="224">
        <v>-5.03e-7</v>
      </c>
      <c r="J64" s="218" t="s">
        <v>218</v>
      </c>
      <c r="K64" s="253">
        <f t="shared" si="2"/>
        <v>-0.177904331971443</v>
      </c>
      <c r="L64" s="254">
        <f t="shared" si="3"/>
        <v>-0.538059047727788</v>
      </c>
      <c r="M64" s="255">
        <f t="shared" si="4"/>
        <v>-1.4857561483466</v>
      </c>
      <c r="N64" s="255">
        <f t="shared" si="5"/>
        <v>0</v>
      </c>
      <c r="O64" s="255">
        <f t="shared" si="6"/>
        <v>1.78294572250844</v>
      </c>
      <c r="P64" s="255">
        <f t="shared" si="7"/>
        <v>-0.0513277201091085</v>
      </c>
      <c r="Q64" s="254">
        <f t="shared" si="8"/>
        <v>-0.435254537634605</v>
      </c>
      <c r="S64" s="218" t="s">
        <v>218</v>
      </c>
      <c r="T64" s="253">
        <f t="shared" si="9"/>
        <v>0</v>
      </c>
      <c r="U64" s="254">
        <f t="shared" si="10"/>
        <v>0</v>
      </c>
      <c r="V64" s="255">
        <f t="shared" si="11"/>
        <v>-262.392702687107</v>
      </c>
      <c r="W64" s="255">
        <f t="shared" si="12"/>
        <v>0</v>
      </c>
      <c r="X64" s="255">
        <f t="shared" si="13"/>
        <v>-64.1677896565796</v>
      </c>
      <c r="Y64" s="255">
        <f t="shared" si="14"/>
        <v>17.4340957844839</v>
      </c>
      <c r="Z64" s="254">
        <f t="shared" si="15"/>
        <v>5113.90918598728</v>
      </c>
      <c r="AB64" s="218" t="s">
        <v>218</v>
      </c>
      <c r="AC64" s="252">
        <v>1.7425095643526e-5</v>
      </c>
      <c r="AD64" s="252">
        <v>5.44549898821204e-6</v>
      </c>
      <c r="AE64" s="252">
        <v>6.16521089964429e-6</v>
      </c>
      <c r="AF64" s="252">
        <v>0</v>
      </c>
      <c r="AG64" s="252">
        <v>1.71065218727407e-5</v>
      </c>
      <c r="AH64" s="252">
        <v>5.16290221807404e-5</v>
      </c>
      <c r="AI64" s="224">
        <v>1.15564561999413e-6</v>
      </c>
      <c r="AJ64" t="s">
        <v>219</v>
      </c>
    </row>
    <row r="65" customFormat="1" ht="15.15"/>
    <row r="66" ht="15.15" spans="1:35">
      <c r="A66" t="s">
        <v>39</v>
      </c>
      <c r="B66" s="241" t="s">
        <v>1</v>
      </c>
      <c r="C66" s="211" t="s">
        <v>2</v>
      </c>
      <c r="D66" s="211" t="s">
        <v>3</v>
      </c>
      <c r="E66" s="211" t="s">
        <v>4</v>
      </c>
      <c r="F66" s="211" t="s">
        <v>5</v>
      </c>
      <c r="G66" s="211" t="s">
        <v>6</v>
      </c>
      <c r="H66" s="242" t="s">
        <v>7</v>
      </c>
      <c r="J66" s="256" t="s">
        <v>33</v>
      </c>
      <c r="K66" s="159" t="s">
        <v>1</v>
      </c>
      <c r="L66" s="98" t="s">
        <v>2</v>
      </c>
      <c r="M66" s="98" t="s">
        <v>3</v>
      </c>
      <c r="N66" s="98" t="s">
        <v>4</v>
      </c>
      <c r="O66" s="98" t="s">
        <v>5</v>
      </c>
      <c r="P66" s="98" t="s">
        <v>6</v>
      </c>
      <c r="Q66" s="160" t="s">
        <v>7</v>
      </c>
      <c r="S66" s="256" t="s">
        <v>34</v>
      </c>
      <c r="T66" s="159" t="s">
        <v>1</v>
      </c>
      <c r="U66" s="98" t="s">
        <v>2</v>
      </c>
      <c r="V66" s="98" t="s">
        <v>3</v>
      </c>
      <c r="W66" s="98" t="s">
        <v>4</v>
      </c>
      <c r="X66" s="98" t="s">
        <v>5</v>
      </c>
      <c r="Y66" s="98" t="s">
        <v>6</v>
      </c>
      <c r="Z66" s="160" t="s">
        <v>7</v>
      </c>
      <c r="AC66" s="143"/>
      <c r="AD66" s="143"/>
      <c r="AE66" s="143"/>
      <c r="AF66" s="143"/>
      <c r="AG66" s="143"/>
      <c r="AH66" s="143"/>
      <c r="AI66" s="143"/>
    </row>
    <row r="67" spans="1:35">
      <c r="A67" s="163" t="s">
        <v>42</v>
      </c>
      <c r="B67" s="163">
        <v>2906.971</v>
      </c>
      <c r="C67" s="244">
        <v>2149.566</v>
      </c>
      <c r="D67" s="244">
        <v>643.0907</v>
      </c>
      <c r="E67" s="244">
        <v>1024.215</v>
      </c>
      <c r="F67" s="244">
        <v>1121.747</v>
      </c>
      <c r="G67" s="244">
        <v>1720.205</v>
      </c>
      <c r="H67" s="245">
        <v>2975.969</v>
      </c>
      <c r="J67" s="257" t="s">
        <v>42</v>
      </c>
      <c r="K67" s="214">
        <v>3352.04531340042</v>
      </c>
      <c r="L67" s="214">
        <v>2365.20129848221</v>
      </c>
      <c r="M67" s="214">
        <v>587.184672683076</v>
      </c>
      <c r="N67" s="214">
        <v>1008.5271213892</v>
      </c>
      <c r="O67" s="214">
        <v>1060.16200540017</v>
      </c>
      <c r="P67" s="214">
        <v>1785.21528675759</v>
      </c>
      <c r="Q67" s="213">
        <v>3732.916540963</v>
      </c>
      <c r="S67" s="257" t="s">
        <v>42</v>
      </c>
      <c r="T67" s="214">
        <f>Cmoyen!M3</f>
        <v>4580.11955452794</v>
      </c>
      <c r="U67" s="214">
        <f>Cmoyen!N3</f>
        <v>4202.31007155635</v>
      </c>
      <c r="V67" s="214">
        <f>Cmoyen!X26</f>
        <v>3186.95118644067</v>
      </c>
      <c r="W67" s="214">
        <f>Cmoyen!Y26</f>
        <v>3961.78831360947</v>
      </c>
      <c r="X67" s="214">
        <f>Cmoyen!Z26</f>
        <v>4322.80296150049</v>
      </c>
      <c r="Y67" s="214">
        <f>Cmoyen!AA26</f>
        <v>4762.47166283085</v>
      </c>
      <c r="Z67" s="213">
        <f>Cmoyen!AB26</f>
        <v>5262.42864404464</v>
      </c>
      <c r="AA67" s="147"/>
      <c r="AB67" s="147"/>
      <c r="AC67" s="147"/>
    </row>
    <row r="68" spans="1:35">
      <c r="A68" s="166" t="s">
        <v>44</v>
      </c>
      <c r="B68" s="166">
        <v>1214.453</v>
      </c>
      <c r="C68" s="147">
        <v>475.7017</v>
      </c>
      <c r="D68" s="147">
        <v>-13.73634</v>
      </c>
      <c r="E68" s="147">
        <v>269.2251</v>
      </c>
      <c r="F68" s="147">
        <v>383.5015</v>
      </c>
      <c r="G68" s="147">
        <v>545.6</v>
      </c>
      <c r="H68" s="220">
        <v>1715.997</v>
      </c>
      <c r="J68" s="258" t="s">
        <v>44</v>
      </c>
      <c r="K68" s="215">
        <v>1659.5273134004</v>
      </c>
      <c r="L68" s="215">
        <v>691.336998482202</v>
      </c>
      <c r="M68" s="215">
        <v>-69.6423673169242</v>
      </c>
      <c r="N68" s="215">
        <v>253.537221389206</v>
      </c>
      <c r="O68" s="215">
        <v>321.916505400173</v>
      </c>
      <c r="P68" s="215">
        <v>610.61028675759</v>
      </c>
      <c r="Q68" s="216">
        <v>2472.94454096298</v>
      </c>
      <c r="S68" s="258" t="s">
        <v>44</v>
      </c>
      <c r="T68" s="215">
        <f>Cmoyen!M4</f>
        <v>2756.80727967245</v>
      </c>
      <c r="U68" s="215">
        <f>Cmoyen!N4</f>
        <v>1622.84438497316</v>
      </c>
      <c r="V68" s="215">
        <f>Cmoyen!X27</f>
        <v>1050.44711864407</v>
      </c>
      <c r="W68" s="215">
        <f>Cmoyen!Y27</f>
        <v>1637.05250739645</v>
      </c>
      <c r="X68" s="215">
        <f>Cmoyen!Z27</f>
        <v>2048.30685060875</v>
      </c>
      <c r="Y68" s="215">
        <f>Cmoyen!AA27</f>
        <v>2503.44461680092</v>
      </c>
      <c r="Z68" s="216">
        <f>Cmoyen!AB27</f>
        <v>3610.78034342974</v>
      </c>
      <c r="AA68" s="147"/>
      <c r="AB68" s="147"/>
      <c r="AC68" s="147"/>
    </row>
    <row r="69" spans="1:35">
      <c r="A69" s="166" t="s">
        <v>46</v>
      </c>
      <c r="B69" s="166">
        <v>1944.006</v>
      </c>
      <c r="C69" s="147">
        <v>1698.933</v>
      </c>
      <c r="D69" s="147">
        <v>187.1326</v>
      </c>
      <c r="E69" s="147">
        <v>573.9122</v>
      </c>
      <c r="F69" s="147">
        <v>787.9914</v>
      </c>
      <c r="G69" s="147">
        <v>1272.589</v>
      </c>
      <c r="H69" s="220">
        <v>2536.133</v>
      </c>
      <c r="J69" s="258" t="s">
        <v>46</v>
      </c>
      <c r="K69" s="215">
        <v>2389.08031340042</v>
      </c>
      <c r="L69" s="215">
        <v>1914.56829848222</v>
      </c>
      <c r="M69" s="215">
        <v>131.226572683076</v>
      </c>
      <c r="N69" s="215">
        <v>558.224321389202</v>
      </c>
      <c r="O69" s="215">
        <v>726.406405400165</v>
      </c>
      <c r="P69" s="215">
        <v>1337.59928675759</v>
      </c>
      <c r="Q69" s="216">
        <v>3293.080540963</v>
      </c>
      <c r="S69" s="258" t="s">
        <v>46</v>
      </c>
      <c r="T69" s="215">
        <f>Cmoyen!M5</f>
        <v>2775.03733140655</v>
      </c>
      <c r="U69" s="215">
        <f>Cmoyen!N5</f>
        <v>3205.57520572451</v>
      </c>
      <c r="V69" s="215">
        <f>Cmoyen!X28</f>
        <v>2175.63898305085</v>
      </c>
      <c r="W69" s="215">
        <f>Cmoyen!Y28</f>
        <v>2634.30214497041</v>
      </c>
      <c r="X69" s="215">
        <f>Cmoyen!Z28</f>
        <v>2866.82685093781</v>
      </c>
      <c r="Y69" s="215">
        <f>Cmoyen!AA28</f>
        <v>3128.05566743383</v>
      </c>
      <c r="Z69" s="216">
        <f>Cmoyen!AB28</f>
        <v>3388.97371897062</v>
      </c>
      <c r="AA69" s="147"/>
      <c r="AB69" s="147"/>
      <c r="AC69" s="147"/>
    </row>
    <row r="70" spans="1:35">
      <c r="A70" s="166" t="s">
        <v>48</v>
      </c>
      <c r="B70" s="166">
        <v>3018.643</v>
      </c>
      <c r="C70" s="147">
        <v>1259.178</v>
      </c>
      <c r="D70" s="147">
        <v>-738.297</v>
      </c>
      <c r="E70" s="147">
        <v>-209.1653</v>
      </c>
      <c r="F70" s="147">
        <v>-85.84038</v>
      </c>
      <c r="G70" s="147">
        <v>341.1921</v>
      </c>
      <c r="H70" s="220">
        <v>4301.972</v>
      </c>
      <c r="J70" s="258" t="s">
        <v>48</v>
      </c>
      <c r="K70" s="215">
        <v>3463.71731340043</v>
      </c>
      <c r="L70" s="215">
        <v>1474.81329848221</v>
      </c>
      <c r="M70" s="215">
        <v>-794.203027316923</v>
      </c>
      <c r="N70" s="215">
        <v>-224.853178610796</v>
      </c>
      <c r="O70" s="215">
        <v>-147.42537459983</v>
      </c>
      <c r="P70" s="215">
        <v>406.202386757588</v>
      </c>
      <c r="Q70" s="216">
        <v>5058.91954096301</v>
      </c>
      <c r="S70" s="258" t="s">
        <v>48</v>
      </c>
      <c r="T70" s="215">
        <f>Cmoyen!M6</f>
        <v>6833.32424855492</v>
      </c>
      <c r="U70" s="215">
        <f>Cmoyen!N6</f>
        <v>6217.05760286225</v>
      </c>
      <c r="V70" s="215">
        <f>Cmoyen!X29</f>
        <v>3824.86940677966</v>
      </c>
      <c r="W70" s="215">
        <f>Cmoyen!Y29</f>
        <v>5112.71098372781</v>
      </c>
      <c r="X70" s="215">
        <f>Cmoyen!Z29</f>
        <v>5963.28950312603</v>
      </c>
      <c r="Y70" s="215">
        <f>Cmoyen!AA29</f>
        <v>7053.84004602993</v>
      </c>
      <c r="Z70" s="216">
        <f>Cmoyen!AB29</f>
        <v>9152.86053290823</v>
      </c>
      <c r="AA70" s="147"/>
      <c r="AB70" s="147"/>
      <c r="AC70" s="147"/>
    </row>
    <row r="71" spans="1:35">
      <c r="A71" s="166" t="s">
        <v>50</v>
      </c>
      <c r="B71" s="166">
        <v>100.5766</v>
      </c>
      <c r="C71" s="147">
        <v>104.1899</v>
      </c>
      <c r="D71" s="147">
        <v>-63.87506</v>
      </c>
      <c r="E71" s="147">
        <v>131.6355</v>
      </c>
      <c r="F71" s="147">
        <v>98.30963</v>
      </c>
      <c r="G71" s="147">
        <v>-18.8637</v>
      </c>
      <c r="H71" s="220">
        <v>169.2875</v>
      </c>
      <c r="J71" s="258" t="s">
        <v>50</v>
      </c>
      <c r="K71" s="215">
        <v>545.650913400423</v>
      </c>
      <c r="L71" s="215">
        <v>319.82519848221</v>
      </c>
      <c r="M71" s="215">
        <v>-119.781087316924</v>
      </c>
      <c r="N71" s="215">
        <v>115.947621389204</v>
      </c>
      <c r="O71" s="215">
        <v>36.72463540017</v>
      </c>
      <c r="P71" s="215">
        <v>46.1465867575877</v>
      </c>
      <c r="Q71" s="216">
        <v>926.235040962996</v>
      </c>
      <c r="S71" s="258" t="s">
        <v>50</v>
      </c>
      <c r="T71" s="215">
        <f>Cmoyen!M7</f>
        <v>1302.09828516378</v>
      </c>
      <c r="U71" s="215">
        <f>Cmoyen!N7</f>
        <v>748.735813953489</v>
      </c>
      <c r="V71" s="215">
        <f>Cmoyen!X30</f>
        <v>479.103983050847</v>
      </c>
      <c r="W71" s="215">
        <f>Cmoyen!Y30</f>
        <v>678.196153846154</v>
      </c>
      <c r="X71" s="215">
        <f>Cmoyen!Z30</f>
        <v>870.502073050346</v>
      </c>
      <c r="Y71" s="215">
        <f>Cmoyen!AA30</f>
        <v>1088.29672036824</v>
      </c>
      <c r="Z71" s="216">
        <f>Cmoyen!AB30</f>
        <v>1892.12261443862</v>
      </c>
      <c r="AA71" s="147"/>
      <c r="AB71" s="147"/>
      <c r="AC71" s="147"/>
    </row>
    <row r="72" spans="1:35">
      <c r="A72" s="166" t="s">
        <v>52</v>
      </c>
      <c r="B72" s="166">
        <v>1488.958</v>
      </c>
      <c r="C72" s="147">
        <v>928.7143</v>
      </c>
      <c r="D72" s="147">
        <v>-9.977374</v>
      </c>
      <c r="E72" s="147">
        <v>71.51242</v>
      </c>
      <c r="F72" s="147">
        <v>300.06</v>
      </c>
      <c r="G72" s="147">
        <v>481.7597</v>
      </c>
      <c r="H72" s="220">
        <v>1612.062</v>
      </c>
      <c r="J72" s="258" t="s">
        <v>52</v>
      </c>
      <c r="K72" s="215">
        <v>1934.03231340042</v>
      </c>
      <c r="L72" s="215">
        <v>1144.34959848221</v>
      </c>
      <c r="M72" s="215">
        <v>-65.8834013169242</v>
      </c>
      <c r="N72" s="215">
        <v>55.8245413892035</v>
      </c>
      <c r="O72" s="215">
        <v>238.47500540017</v>
      </c>
      <c r="P72" s="215">
        <v>546.769986757588</v>
      </c>
      <c r="Q72" s="216">
        <v>2369.009540963</v>
      </c>
      <c r="S72" s="258" t="s">
        <v>52</v>
      </c>
      <c r="T72" s="215">
        <f>Cmoyen!M8</f>
        <v>2136.18461913294</v>
      </c>
      <c r="U72" s="215">
        <f>Cmoyen!N8</f>
        <v>2462.22199828265</v>
      </c>
      <c r="V72" s="215">
        <f>Cmoyen!X31</f>
        <v>1723.86492067797</v>
      </c>
      <c r="W72" s="215">
        <f>Cmoyen!Y31</f>
        <v>2177.71112115385</v>
      </c>
      <c r="X72" s="215">
        <f>Cmoyen!Z31</f>
        <v>2242.10894965449</v>
      </c>
      <c r="Y72" s="215">
        <f>Cmoyen!AA31</f>
        <v>2385.66552485616</v>
      </c>
      <c r="Z72" s="216">
        <f>Cmoyen!AB31</f>
        <v>2476.47979280346</v>
      </c>
      <c r="AA72" s="147"/>
      <c r="AB72" s="147"/>
      <c r="AC72" s="147"/>
    </row>
    <row r="73" spans="1:35">
      <c r="A73" s="166" t="s">
        <v>54</v>
      </c>
      <c r="B73" s="166">
        <v>706.8188</v>
      </c>
      <c r="C73" s="147">
        <v>359.2602</v>
      </c>
      <c r="D73" s="147">
        <v>-40.66912</v>
      </c>
      <c r="E73" s="147">
        <v>177.7645</v>
      </c>
      <c r="F73" s="147">
        <v>199.1016</v>
      </c>
      <c r="G73" s="147">
        <v>335.1876</v>
      </c>
      <c r="H73" s="220">
        <v>753.9516</v>
      </c>
      <c r="J73" s="258" t="s">
        <v>54</v>
      </c>
      <c r="K73" s="215">
        <v>1151.89311340042</v>
      </c>
      <c r="L73" s="215">
        <v>574.89549848221</v>
      </c>
      <c r="M73" s="215">
        <v>-96.5751473169241</v>
      </c>
      <c r="N73" s="215">
        <v>162.076621389204</v>
      </c>
      <c r="O73" s="215">
        <v>137.51660540017</v>
      </c>
      <c r="P73" s="215">
        <v>400.197886757588</v>
      </c>
      <c r="Q73" s="216">
        <v>1510.899140963</v>
      </c>
      <c r="S73" s="258" t="s">
        <v>54</v>
      </c>
      <c r="T73" s="215">
        <f>Cmoyen!M9</f>
        <v>1066.69760134875</v>
      </c>
      <c r="U73" s="215">
        <f>Cmoyen!N9</f>
        <v>1102.38547406082</v>
      </c>
      <c r="V73" s="215">
        <f>Cmoyen!X32</f>
        <v>798.775169491525</v>
      </c>
      <c r="W73" s="215">
        <f>Cmoyen!Y32</f>
        <v>953.093000739645</v>
      </c>
      <c r="X73" s="215">
        <f>Cmoyen!Z32</f>
        <v>1053.85037841395</v>
      </c>
      <c r="Y73" s="215">
        <f>Cmoyen!AA32</f>
        <v>1158.31483084005</v>
      </c>
      <c r="Z73" s="216">
        <f>Cmoyen!AB32</f>
        <v>1262.45260214074</v>
      </c>
      <c r="AA73" s="147"/>
      <c r="AB73" s="147"/>
      <c r="AC73" s="147"/>
    </row>
    <row r="74" spans="1:35">
      <c r="A74" s="166" t="s">
        <v>56</v>
      </c>
      <c r="B74" s="166">
        <v>275.5761</v>
      </c>
      <c r="C74" s="147">
        <v>-292.7732</v>
      </c>
      <c r="D74" s="147">
        <v>-439.5074</v>
      </c>
      <c r="E74" s="147">
        <v>-572.9121</v>
      </c>
      <c r="F74" s="147">
        <v>-408.2883</v>
      </c>
      <c r="G74" s="147">
        <v>-375.5278</v>
      </c>
      <c r="H74" s="220">
        <v>888.9153</v>
      </c>
      <c r="J74" s="258" t="s">
        <v>56</v>
      </c>
      <c r="K74" s="215">
        <v>720.650413400423</v>
      </c>
      <c r="L74" s="215">
        <v>-77.1379015177904</v>
      </c>
      <c r="M74" s="215">
        <v>-495.413427316924</v>
      </c>
      <c r="N74" s="215">
        <v>-588.599978610796</v>
      </c>
      <c r="O74" s="215">
        <v>-469.87329459983</v>
      </c>
      <c r="P74" s="215">
        <v>-310.517513242412</v>
      </c>
      <c r="Q74" s="216">
        <v>1645.862840963</v>
      </c>
      <c r="S74" s="258" t="s">
        <v>56</v>
      </c>
      <c r="T74" s="215">
        <f>Cmoyen!M10</f>
        <v>2178.43330057803</v>
      </c>
      <c r="U74" s="215">
        <f>Cmoyen!N10</f>
        <v>1860.93920286225</v>
      </c>
      <c r="V74" s="215">
        <f>Cmoyen!X33</f>
        <v>817.215</v>
      </c>
      <c r="W74" s="215">
        <f>Cmoyen!Y33</f>
        <v>1308.5051035503</v>
      </c>
      <c r="X74" s="215">
        <f>Cmoyen!Z33</f>
        <v>1597.56735768345</v>
      </c>
      <c r="Y74" s="215">
        <f>Cmoyen!AA33</f>
        <v>2200.10632911392</v>
      </c>
      <c r="Z74" s="216">
        <f>Cmoyen!AB33</f>
        <v>3426.41443953541</v>
      </c>
      <c r="AA74" s="147"/>
      <c r="AB74" s="147"/>
      <c r="AC74" s="147"/>
    </row>
    <row r="75" spans="1:35">
      <c r="A75" s="166" t="s">
        <v>58</v>
      </c>
      <c r="B75" s="166">
        <v>422.4705</v>
      </c>
      <c r="C75" s="147">
        <v>481.2346</v>
      </c>
      <c r="D75" s="147">
        <v>195.8172</v>
      </c>
      <c r="E75" s="147">
        <v>213.9642</v>
      </c>
      <c r="F75" s="147">
        <v>289.5689</v>
      </c>
      <c r="G75" s="147">
        <v>157.3483</v>
      </c>
      <c r="H75" s="220">
        <v>611.2052</v>
      </c>
      <c r="J75" s="258" t="s">
        <v>58</v>
      </c>
      <c r="K75" s="215">
        <v>867.544813400423</v>
      </c>
      <c r="L75" s="215">
        <v>696.86989848221</v>
      </c>
      <c r="M75" s="215">
        <v>139.911172683076</v>
      </c>
      <c r="N75" s="215">
        <v>198.276321389204</v>
      </c>
      <c r="O75" s="215">
        <v>227.98390540017</v>
      </c>
      <c r="P75" s="215">
        <v>222.358586757588</v>
      </c>
      <c r="Q75" s="216">
        <v>1368.152740963</v>
      </c>
      <c r="S75" s="258" t="s">
        <v>58</v>
      </c>
      <c r="T75" s="215">
        <f>Cmoyen!M11</f>
        <v>849.7891522158</v>
      </c>
      <c r="U75" s="215">
        <f>Cmoyen!N11</f>
        <v>1079.26701252236</v>
      </c>
      <c r="V75" s="215">
        <f>Cmoyen!X34</f>
        <v>766.373813559322</v>
      </c>
      <c r="W75" s="215">
        <f>Cmoyen!Y34</f>
        <v>811.089275147929</v>
      </c>
      <c r="X75" s="215">
        <f>Cmoyen!Z34</f>
        <v>837.56044751563</v>
      </c>
      <c r="Y75" s="215">
        <f>Cmoyen!AA34</f>
        <v>915.160069044879</v>
      </c>
      <c r="Z75" s="216">
        <f>Cmoyen!AB34</f>
        <v>1167.30671828741</v>
      </c>
      <c r="AA75" s="147"/>
      <c r="AB75" s="147"/>
      <c r="AC75" s="147"/>
    </row>
    <row r="76" spans="1:35">
      <c r="A76" s="166" t="s">
        <v>60</v>
      </c>
      <c r="B76" s="166">
        <v>-20.78107</v>
      </c>
      <c r="C76" s="147">
        <v>-8.764707</v>
      </c>
      <c r="D76" s="147">
        <v>0.5566046</v>
      </c>
      <c r="E76" s="147">
        <v>-3.655258</v>
      </c>
      <c r="F76" s="147">
        <v>0.5168849</v>
      </c>
      <c r="G76" s="147">
        <v>-10.76127</v>
      </c>
      <c r="H76" s="220">
        <v>-30.17424</v>
      </c>
      <c r="J76" s="258" t="s">
        <v>60</v>
      </c>
      <c r="K76" s="215">
        <v>424.293243400423</v>
      </c>
      <c r="L76" s="215">
        <v>206.87059148221</v>
      </c>
      <c r="M76" s="215">
        <v>-55.3494227169241</v>
      </c>
      <c r="N76" s="215">
        <v>-19.3431366107964</v>
      </c>
      <c r="O76" s="215">
        <v>-61.06810969983</v>
      </c>
      <c r="P76" s="215">
        <v>54.2490167575877</v>
      </c>
      <c r="Q76" s="216">
        <v>726.773300962996</v>
      </c>
      <c r="S76" s="258" t="s">
        <v>60</v>
      </c>
      <c r="T76" s="215">
        <f>Cmoyen!M12</f>
        <v>29.337166628131</v>
      </c>
      <c r="U76" s="215">
        <f>Cmoyen!N12</f>
        <v>12.8260465116279</v>
      </c>
      <c r="V76" s="215">
        <f>Cmoyen!X35</f>
        <v>3.52542372881356</v>
      </c>
      <c r="W76" s="215">
        <f>Cmoyen!Y35</f>
        <v>11.0961538461538</v>
      </c>
      <c r="X76" s="215">
        <f>Cmoyen!Z35</f>
        <v>12.6192826587693</v>
      </c>
      <c r="Y76" s="215">
        <f>Cmoyen!AA35</f>
        <v>22.5218612197929</v>
      </c>
      <c r="Z76" s="216">
        <f>Cmoyen!AB35</f>
        <v>50.3888408107493</v>
      </c>
      <c r="AA76" s="147"/>
      <c r="AB76" s="147"/>
      <c r="AC76" s="147"/>
    </row>
    <row r="77" spans="1:35">
      <c r="A77" s="166" t="s">
        <v>62</v>
      </c>
      <c r="B77" s="166">
        <v>679.1948</v>
      </c>
      <c r="C77" s="147">
        <v>612.4882</v>
      </c>
      <c r="D77" s="147">
        <v>42.76633</v>
      </c>
      <c r="E77" s="147">
        <v>239.386</v>
      </c>
      <c r="F77" s="147">
        <v>230.7682</v>
      </c>
      <c r="G77" s="147">
        <v>379.433</v>
      </c>
      <c r="H77" s="220">
        <v>891.7504</v>
      </c>
      <c r="J77" s="258" t="s">
        <v>62</v>
      </c>
      <c r="K77" s="215">
        <v>1124.26911340042</v>
      </c>
      <c r="L77" s="215">
        <v>828.12349848221</v>
      </c>
      <c r="M77" s="215">
        <v>-13.1396973169241</v>
      </c>
      <c r="N77" s="215">
        <v>223.698121389204</v>
      </c>
      <c r="O77" s="215">
        <v>169.18320540017</v>
      </c>
      <c r="P77" s="215">
        <v>444.443286757588</v>
      </c>
      <c r="Q77" s="216">
        <v>1648.697940963</v>
      </c>
      <c r="S77" s="258" t="s">
        <v>62</v>
      </c>
      <c r="T77" s="215">
        <f>Cmoyen!M13</f>
        <v>990.705678034681</v>
      </c>
      <c r="U77" s="215">
        <f>Cmoyen!N13</f>
        <v>1287.87000275492</v>
      </c>
      <c r="V77" s="215">
        <f>Cmoyen!X36</f>
        <v>873.044216949152</v>
      </c>
      <c r="W77" s="215">
        <f>Cmoyen!Y36</f>
        <v>1030.99010029586</v>
      </c>
      <c r="X77" s="215">
        <f>Cmoyen!Z36</f>
        <v>1062.51513530767</v>
      </c>
      <c r="Y77" s="215">
        <f>Cmoyen!AA36</f>
        <v>1136.38938434983</v>
      </c>
      <c r="Z77" s="216">
        <f>Cmoyen!AB36</f>
        <v>1242.41942017764</v>
      </c>
      <c r="AA77" s="147"/>
      <c r="AB77" s="147"/>
      <c r="AC77" s="147"/>
    </row>
    <row r="78" spans="1:35">
      <c r="A78" s="166" t="s">
        <v>64</v>
      </c>
      <c r="B78" s="166">
        <v>546.4423</v>
      </c>
      <c r="C78" s="147">
        <v>426.7361</v>
      </c>
      <c r="D78" s="147">
        <v>-76.2706</v>
      </c>
      <c r="E78" s="147">
        <v>96.40201</v>
      </c>
      <c r="F78" s="147">
        <v>146.6403</v>
      </c>
      <c r="G78" s="147">
        <v>273.6118</v>
      </c>
      <c r="H78" s="220">
        <v>712.7592</v>
      </c>
      <c r="J78" s="258" t="s">
        <v>64</v>
      </c>
      <c r="K78" s="215">
        <v>991.516613400423</v>
      </c>
      <c r="L78" s="215">
        <v>642.37139848221</v>
      </c>
      <c r="M78" s="215">
        <v>-132.176627316924</v>
      </c>
      <c r="N78" s="215">
        <v>80.7141313892036</v>
      </c>
      <c r="O78" s="215">
        <v>85.05530540017</v>
      </c>
      <c r="P78" s="215">
        <v>338.622086757588</v>
      </c>
      <c r="Q78" s="216">
        <v>1469.706740963</v>
      </c>
      <c r="S78" s="258" t="s">
        <v>64</v>
      </c>
      <c r="T78" s="215">
        <f>Cmoyen!M14</f>
        <v>855.829605279385</v>
      </c>
      <c r="U78" s="215">
        <f>Cmoyen!N14</f>
        <v>1098.68318314848</v>
      </c>
      <c r="V78" s="215">
        <f>Cmoyen!X37</f>
        <v>702.890466101695</v>
      </c>
      <c r="W78" s="215">
        <f>Cmoyen!Y37</f>
        <v>863.940433431953</v>
      </c>
      <c r="X78" s="215">
        <f>Cmoyen!Z37</f>
        <v>934.088010134913</v>
      </c>
      <c r="Y78" s="215">
        <f>Cmoyen!AA37</f>
        <v>980.445620655928</v>
      </c>
      <c r="Z78" s="216">
        <f>Cmoyen!AB37</f>
        <v>1089.38998506035</v>
      </c>
      <c r="AA78" s="147"/>
      <c r="AB78" s="147"/>
      <c r="AC78" s="147"/>
    </row>
    <row r="79" spans="1:35">
      <c r="A79" s="166" t="s">
        <v>66</v>
      </c>
      <c r="B79" s="166">
        <v>-39.33593</v>
      </c>
      <c r="C79" s="147">
        <v>-95.96141</v>
      </c>
      <c r="D79" s="147">
        <v>-51.76254</v>
      </c>
      <c r="E79" s="147">
        <v>-38.30746</v>
      </c>
      <c r="F79" s="147">
        <v>-43.5567</v>
      </c>
      <c r="G79" s="147">
        <v>-93.7424</v>
      </c>
      <c r="H79" s="220">
        <v>64.99392</v>
      </c>
      <c r="J79" s="258" t="s">
        <v>66</v>
      </c>
      <c r="K79" s="215">
        <v>405.738383400423</v>
      </c>
      <c r="L79" s="215">
        <v>119.67388848221</v>
      </c>
      <c r="M79" s="215">
        <v>-107.668567316924</v>
      </c>
      <c r="N79" s="215">
        <v>-53.9953386107964</v>
      </c>
      <c r="O79" s="215">
        <v>-105.14169459983</v>
      </c>
      <c r="P79" s="215">
        <v>-28.7321132424123</v>
      </c>
      <c r="Q79" s="216">
        <v>821.941460962996</v>
      </c>
      <c r="S79" s="258" t="s">
        <v>66</v>
      </c>
      <c r="T79" s="215">
        <f>Cmoyen!M15</f>
        <v>338.118015414258</v>
      </c>
      <c r="U79" s="215">
        <f>Cmoyen!N15</f>
        <v>160.391395348837</v>
      </c>
      <c r="V79" s="215">
        <f>Cmoyen!X38</f>
        <v>71.5416949152542</v>
      </c>
      <c r="W79" s="215">
        <f>Cmoyen!Y38</f>
        <v>99.4009615384616</v>
      </c>
      <c r="X79" s="215">
        <f>Cmoyen!Z38</f>
        <v>161.159591971043</v>
      </c>
      <c r="Y79" s="215">
        <f>Cmoyen!AA38</f>
        <v>275.097382048331</v>
      </c>
      <c r="Z79" s="216">
        <f>Cmoyen!AB38</f>
        <v>574.500523798679</v>
      </c>
      <c r="AA79" s="147"/>
      <c r="AB79" s="147"/>
      <c r="AC79" s="147"/>
    </row>
    <row r="80" spans="1:35">
      <c r="A80" s="166" t="s">
        <v>68</v>
      </c>
      <c r="B80" s="166">
        <v>-3.439938</v>
      </c>
      <c r="C80" s="147">
        <v>1.767233</v>
      </c>
      <c r="D80" s="147">
        <v>0</v>
      </c>
      <c r="E80" s="147">
        <v>2.88549</v>
      </c>
      <c r="F80" s="147">
        <v>11.01313</v>
      </c>
      <c r="G80" s="147">
        <v>0</v>
      </c>
      <c r="H80" s="220">
        <v>9.249908</v>
      </c>
      <c r="J80" s="258" t="s">
        <v>68</v>
      </c>
      <c r="K80" s="215">
        <v>441.634375400423</v>
      </c>
      <c r="L80" s="215">
        <v>217.40253148221</v>
      </c>
      <c r="M80" s="215">
        <v>-55.906027316924</v>
      </c>
      <c r="N80" s="215">
        <v>-12.8023886107964</v>
      </c>
      <c r="O80" s="215">
        <v>-50.57186459983</v>
      </c>
      <c r="P80" s="215">
        <v>65.0102867575877</v>
      </c>
      <c r="Q80" s="216">
        <v>766.197448962996</v>
      </c>
      <c r="S80" s="258" t="s">
        <v>68</v>
      </c>
      <c r="T80" s="215">
        <f>Cmoyen!M16</f>
        <v>9.26857418111753</v>
      </c>
      <c r="U80" s="215">
        <f>Cmoyen!N16</f>
        <v>3.13023255813953</v>
      </c>
      <c r="V80" s="215">
        <f>Cmoyen!X39</f>
        <v>0</v>
      </c>
      <c r="W80" s="215">
        <f>Cmoyen!Y39</f>
        <v>1.00961538461538</v>
      </c>
      <c r="X80" s="215">
        <f>Cmoyen!Z39</f>
        <v>4.00394866732478</v>
      </c>
      <c r="Y80" s="215">
        <f>Cmoyen!AA39</f>
        <v>0</v>
      </c>
      <c r="Z80" s="216">
        <f>Cmoyen!AB39</f>
        <v>22.5023457071282</v>
      </c>
      <c r="AA80" s="147"/>
      <c r="AB80" s="147"/>
      <c r="AC80" s="147"/>
    </row>
    <row r="81" spans="1:29">
      <c r="A81" s="166" t="s">
        <v>70</v>
      </c>
      <c r="B81" s="166">
        <v>-119.7314</v>
      </c>
      <c r="C81" s="147">
        <v>-180.5</v>
      </c>
      <c r="D81" s="147">
        <v>-281.2643</v>
      </c>
      <c r="E81" s="147">
        <v>-421.5099</v>
      </c>
      <c r="F81" s="147">
        <v>-386.5439</v>
      </c>
      <c r="G81" s="147">
        <v>-391.7471</v>
      </c>
      <c r="H81" s="220">
        <v>288.5633</v>
      </c>
      <c r="J81" s="258" t="s">
        <v>70</v>
      </c>
      <c r="K81" s="215">
        <v>325.342913400423</v>
      </c>
      <c r="L81" s="215">
        <v>35.1352984822096</v>
      </c>
      <c r="M81" s="215">
        <v>-337.170327316924</v>
      </c>
      <c r="N81" s="215">
        <v>-437.197778610796</v>
      </c>
      <c r="O81" s="215">
        <v>-448.12889459983</v>
      </c>
      <c r="P81" s="215">
        <v>-326.736813242412</v>
      </c>
      <c r="Q81" s="216">
        <v>1045.510840963</v>
      </c>
      <c r="S81" s="258" t="s">
        <v>70</v>
      </c>
      <c r="T81" s="215">
        <f>Cmoyen!M17</f>
        <v>2096.01117148362</v>
      </c>
      <c r="U81" s="215">
        <f>Cmoyen!N17</f>
        <v>1195.2191627907</v>
      </c>
      <c r="V81" s="215">
        <f>Cmoyen!X40</f>
        <v>540.58186440678</v>
      </c>
      <c r="W81" s="215">
        <f>Cmoyen!Y40</f>
        <v>892.577810650888</v>
      </c>
      <c r="X81" s="215">
        <f>Cmoyen!Z40</f>
        <v>1321.5488384337</v>
      </c>
      <c r="Y81" s="215">
        <f>Cmoyen!AA40</f>
        <v>1773.82075949367</v>
      </c>
      <c r="Z81" s="216">
        <f>Cmoyen!AB40</f>
        <v>3317.37180596675</v>
      </c>
      <c r="AA81" s="147"/>
      <c r="AB81" s="147"/>
      <c r="AC81" s="147"/>
    </row>
    <row r="82" spans="1:29">
      <c r="A82" s="166" t="s">
        <v>72</v>
      </c>
      <c r="B82" s="166">
        <v>59.31717</v>
      </c>
      <c r="C82" s="147">
        <v>2.285649</v>
      </c>
      <c r="D82" s="147">
        <v>-24.69075</v>
      </c>
      <c r="E82" s="147">
        <v>9.591589</v>
      </c>
      <c r="F82" s="147">
        <v>2.485093</v>
      </c>
      <c r="G82" s="147">
        <v>12.12116</v>
      </c>
      <c r="H82" s="220">
        <v>35.83405</v>
      </c>
      <c r="J82" s="258" t="s">
        <v>72</v>
      </c>
      <c r="K82" s="215">
        <v>504.391483400423</v>
      </c>
      <c r="L82" s="215">
        <v>217.92094748221</v>
      </c>
      <c r="M82" s="215">
        <v>-80.5967773169241</v>
      </c>
      <c r="N82" s="215">
        <v>-6.09628961079644</v>
      </c>
      <c r="O82" s="215">
        <v>-59.09990159983</v>
      </c>
      <c r="P82" s="215">
        <v>77.1314467575877</v>
      </c>
      <c r="Q82" s="216">
        <v>792.781590962996</v>
      </c>
      <c r="S82" s="258" t="s">
        <v>72</v>
      </c>
      <c r="T82" s="215">
        <f>Cmoyen!M18</f>
        <v>57.8141811175337</v>
      </c>
      <c r="U82" s="215">
        <f>Cmoyen!N18</f>
        <v>29.9932021466905</v>
      </c>
      <c r="V82" s="215">
        <f>Cmoyen!X41</f>
        <v>34.9703389830509</v>
      </c>
      <c r="W82" s="215">
        <f>Cmoyen!Y41</f>
        <v>51.2043639053255</v>
      </c>
      <c r="X82" s="215">
        <f>Cmoyen!Z41</f>
        <v>60.6735768344851</v>
      </c>
      <c r="Y82" s="215">
        <f>Cmoyen!AA41</f>
        <v>50.8922899884925</v>
      </c>
      <c r="Z82" s="216">
        <f>Cmoyen!AB41</f>
        <v>42.245046686404</v>
      </c>
      <c r="AA82" s="147"/>
      <c r="AB82" s="147"/>
      <c r="AC82" s="147"/>
    </row>
    <row r="83" spans="1:29">
      <c r="A83" s="166" t="s">
        <v>74</v>
      </c>
      <c r="B83" s="166">
        <v>4.604633</v>
      </c>
      <c r="C83" s="147">
        <v>-5.981277</v>
      </c>
      <c r="D83" s="147">
        <v>0</v>
      </c>
      <c r="E83" s="147">
        <v>0</v>
      </c>
      <c r="F83" s="147">
        <v>-44.92446</v>
      </c>
      <c r="G83" s="147">
        <v>-57.02883</v>
      </c>
      <c r="H83" s="220">
        <v>29.77156</v>
      </c>
      <c r="J83" s="258" t="s">
        <v>74</v>
      </c>
      <c r="K83" s="215">
        <v>449.678946400423</v>
      </c>
      <c r="L83" s="215">
        <v>209.65402148221</v>
      </c>
      <c r="M83" s="215">
        <v>-55.906027316924</v>
      </c>
      <c r="N83" s="215">
        <v>-15.6878786107965</v>
      </c>
      <c r="O83" s="215">
        <v>-106.50945459983</v>
      </c>
      <c r="P83" s="215">
        <v>7.98145675758773</v>
      </c>
      <c r="Q83" s="216">
        <v>786.719100962996</v>
      </c>
      <c r="S83" s="258" t="s">
        <v>74</v>
      </c>
      <c r="T83" s="215">
        <f>Cmoyen!M19</f>
        <v>10.1589595375723</v>
      </c>
      <c r="U83" s="215">
        <f>Cmoyen!N19</f>
        <v>14.7374955277281</v>
      </c>
      <c r="V83" s="215">
        <f>Cmoyen!X42</f>
        <v>0</v>
      </c>
      <c r="W83" s="215">
        <f>Cmoyen!Y42</f>
        <v>0</v>
      </c>
      <c r="X83" s="215">
        <f>Cmoyen!Z42</f>
        <v>9.15518262586377</v>
      </c>
      <c r="Y83" s="215">
        <f>Cmoyen!AA42</f>
        <v>22.7848101265823</v>
      </c>
      <c r="Z83" s="216">
        <f>Cmoyen!AB42</f>
        <v>18.4035527214757</v>
      </c>
      <c r="AA83" s="147"/>
      <c r="AB83" s="147"/>
      <c r="AC83" s="147"/>
    </row>
    <row r="84" spans="1:29">
      <c r="A84" s="166" t="s">
        <v>76</v>
      </c>
      <c r="B84" s="166">
        <v>-1021.258</v>
      </c>
      <c r="C84" s="147">
        <v>-248.4137</v>
      </c>
      <c r="D84" s="147">
        <v>-375.6748</v>
      </c>
      <c r="E84" s="147">
        <v>-274.5078</v>
      </c>
      <c r="F84" s="147">
        <v>-316.4673</v>
      </c>
      <c r="G84" s="147">
        <v>-259.8979</v>
      </c>
      <c r="H84" s="220">
        <v>-1650.248</v>
      </c>
      <c r="J84" s="258" t="s">
        <v>76</v>
      </c>
      <c r="K84" s="215">
        <v>-576.183686599577</v>
      </c>
      <c r="L84" s="215">
        <v>-32.7784015177904</v>
      </c>
      <c r="M84" s="215">
        <v>-431.580827316924</v>
      </c>
      <c r="N84" s="215">
        <v>-290.195678610797</v>
      </c>
      <c r="O84" s="215">
        <v>-378.05229459983</v>
      </c>
      <c r="P84" s="215">
        <v>-194.887613242412</v>
      </c>
      <c r="Q84" s="216">
        <v>-893.300459037004</v>
      </c>
      <c r="S84" s="258" t="s">
        <v>76</v>
      </c>
      <c r="T84" s="215">
        <f>Cmoyen!M20</f>
        <v>1214.35502890173</v>
      </c>
      <c r="U84" s="215">
        <f>Cmoyen!N20</f>
        <v>733.194060822898</v>
      </c>
      <c r="V84" s="215">
        <f>Cmoyen!X43</f>
        <v>295.187457627119</v>
      </c>
      <c r="W84" s="215">
        <f>Cmoyen!Y43</f>
        <v>476.877218934911</v>
      </c>
      <c r="X84" s="215">
        <f>Cmoyen!Z43</f>
        <v>732.918196775255</v>
      </c>
      <c r="Y84" s="215">
        <f>Cmoyen!AA43</f>
        <v>1005.79850402762</v>
      </c>
      <c r="Z84" s="216">
        <f>Cmoyen!AB43</f>
        <v>2048.26864040082</v>
      </c>
      <c r="AA84" s="147"/>
      <c r="AB84" s="147"/>
      <c r="AC84" s="147"/>
    </row>
    <row r="85" spans="1:29">
      <c r="A85" s="166" t="s">
        <v>78</v>
      </c>
      <c r="B85" s="166">
        <v>144.4684</v>
      </c>
      <c r="C85" s="147">
        <v>59.93852</v>
      </c>
      <c r="D85" s="147">
        <v>0.19924</v>
      </c>
      <c r="E85" s="147">
        <v>-35.87961</v>
      </c>
      <c r="F85" s="147">
        <v>-86.70763</v>
      </c>
      <c r="G85" s="147">
        <v>-124.2592</v>
      </c>
      <c r="H85" s="220">
        <v>31.61464</v>
      </c>
      <c r="J85" s="258" t="s">
        <v>78</v>
      </c>
      <c r="K85" s="215">
        <v>589.542713400423</v>
      </c>
      <c r="L85" s="215">
        <v>275.57381848221</v>
      </c>
      <c r="M85" s="215">
        <v>-55.7067873169241</v>
      </c>
      <c r="N85" s="215">
        <v>-51.5674886107964</v>
      </c>
      <c r="O85" s="215">
        <v>-148.29262459983</v>
      </c>
      <c r="P85" s="215">
        <v>-59.2489132424123</v>
      </c>
      <c r="Q85" s="216">
        <v>788.562180962996</v>
      </c>
      <c r="S85" s="258" t="s">
        <v>78</v>
      </c>
      <c r="T85" s="215">
        <f>Cmoyen!M21</f>
        <v>388.951676300578</v>
      </c>
      <c r="U85" s="215">
        <f>Cmoyen!N21</f>
        <v>289.459033989267</v>
      </c>
      <c r="V85" s="215">
        <f>Cmoyen!X44</f>
        <v>230.25186440678</v>
      </c>
      <c r="W85" s="215">
        <f>Cmoyen!Y44</f>
        <v>323.442603550296</v>
      </c>
      <c r="X85" s="215">
        <f>Cmoyen!Z44</f>
        <v>349.222507403751</v>
      </c>
      <c r="Y85" s="215">
        <f>Cmoyen!AA44</f>
        <v>376.420598388953</v>
      </c>
      <c r="Z85" s="216">
        <f>Cmoyen!AB44</f>
        <v>425.344112958324</v>
      </c>
      <c r="AA85" s="147"/>
      <c r="AB85" s="147"/>
      <c r="AC85" s="147"/>
    </row>
    <row r="86" spans="1:29">
      <c r="A86" s="166" t="s">
        <v>80</v>
      </c>
      <c r="B86" s="166">
        <v>-5.191549</v>
      </c>
      <c r="C86" s="147">
        <v>-12.87791</v>
      </c>
      <c r="D86" s="147">
        <v>-20.99927</v>
      </c>
      <c r="E86" s="147">
        <v>-21.20094</v>
      </c>
      <c r="F86" s="147">
        <v>-21.1688</v>
      </c>
      <c r="G86" s="147">
        <v>-10.904</v>
      </c>
      <c r="H86" s="220">
        <v>-3.907202</v>
      </c>
      <c r="J86" s="258" t="s">
        <v>80</v>
      </c>
      <c r="K86" s="215">
        <v>439.882764400423</v>
      </c>
      <c r="L86" s="215">
        <v>202.75738848221</v>
      </c>
      <c r="M86" s="215">
        <v>-76.9052973169241</v>
      </c>
      <c r="N86" s="215">
        <v>-36.8888186107964</v>
      </c>
      <c r="O86" s="215">
        <v>-82.75379459983</v>
      </c>
      <c r="P86" s="215">
        <v>54.1062867575877</v>
      </c>
      <c r="Q86" s="216">
        <v>753.040338962996</v>
      </c>
      <c r="S86" s="258" t="s">
        <v>80</v>
      </c>
      <c r="T86" s="215">
        <f>Cmoyen!M22</f>
        <v>60.4907514450867</v>
      </c>
      <c r="U86" s="215">
        <f>Cmoyen!N22</f>
        <v>52.1128443649374</v>
      </c>
      <c r="V86" s="215">
        <f>Cmoyen!X45</f>
        <v>22.2805084745763</v>
      </c>
      <c r="W86" s="215">
        <f>Cmoyen!Y45</f>
        <v>33.4566568047337</v>
      </c>
      <c r="X86" s="215">
        <f>Cmoyen!Z45</f>
        <v>51.3004277722935</v>
      </c>
      <c r="Y86" s="215">
        <f>Cmoyen!AA45</f>
        <v>58.728998849252</v>
      </c>
      <c r="Z86" s="216">
        <f>Cmoyen!AB45</f>
        <v>94.7647460715099</v>
      </c>
      <c r="AA86" s="147"/>
      <c r="AB86" s="147"/>
      <c r="AC86" s="147"/>
    </row>
    <row r="87" spans="1:29">
      <c r="A87" s="166" t="s">
        <v>82</v>
      </c>
      <c r="B87" s="166">
        <v>-1.123197</v>
      </c>
      <c r="C87" s="147">
        <v>-33.84904</v>
      </c>
      <c r="D87" s="147">
        <v>-82.29091</v>
      </c>
      <c r="E87" s="147">
        <v>-85.89074</v>
      </c>
      <c r="F87" s="147">
        <v>-46.11844</v>
      </c>
      <c r="G87" s="147">
        <v>-21.13553</v>
      </c>
      <c r="H87" s="220">
        <v>3.285136</v>
      </c>
      <c r="J87" s="258" t="s">
        <v>82</v>
      </c>
      <c r="K87" s="215">
        <v>443.951116400423</v>
      </c>
      <c r="L87" s="215">
        <v>181.78625848221</v>
      </c>
      <c r="M87" s="215">
        <v>-138.196937316924</v>
      </c>
      <c r="N87" s="215">
        <v>-101.578618610796</v>
      </c>
      <c r="O87" s="215">
        <v>-107.70343459983</v>
      </c>
      <c r="P87" s="215">
        <v>43.8747567575877</v>
      </c>
      <c r="Q87" s="216">
        <v>760.232676962996</v>
      </c>
      <c r="S87" s="258" t="s">
        <v>82</v>
      </c>
      <c r="T87" s="215">
        <f>Cmoyen!M23</f>
        <v>334.884238921002</v>
      </c>
      <c r="U87" s="215">
        <f>Cmoyen!N23</f>
        <v>243.301967799642</v>
      </c>
      <c r="V87" s="215">
        <f>Cmoyen!X46</f>
        <v>126.707627118644</v>
      </c>
      <c r="W87" s="215">
        <f>Cmoyen!Y46</f>
        <v>192.540680473373</v>
      </c>
      <c r="X87" s="215">
        <f>Cmoyen!Z46</f>
        <v>245.682790391576</v>
      </c>
      <c r="Y87" s="215">
        <f>Cmoyen!AA46</f>
        <v>303.192865362486</v>
      </c>
      <c r="Z87" s="216">
        <f>Cmoyen!AB46</f>
        <v>504.661352767023</v>
      </c>
      <c r="AA87" s="147"/>
      <c r="AB87" s="147"/>
      <c r="AC87" s="147"/>
    </row>
    <row r="88" spans="1:29">
      <c r="A88" s="166" t="s">
        <v>84</v>
      </c>
      <c r="B88" s="166">
        <v>-66.88526</v>
      </c>
      <c r="C88" s="147">
        <v>-9.110584</v>
      </c>
      <c r="D88" s="147">
        <v>-7.973568</v>
      </c>
      <c r="E88" s="147">
        <v>-4.540765</v>
      </c>
      <c r="F88" s="147">
        <v>-3.110723</v>
      </c>
      <c r="G88" s="147">
        <v>-8.055892</v>
      </c>
      <c r="H88" s="220">
        <v>-115.4311</v>
      </c>
      <c r="J88" s="258" t="s">
        <v>84</v>
      </c>
      <c r="K88" s="215">
        <v>378.189053400423</v>
      </c>
      <c r="L88" s="215">
        <v>206.52471448221</v>
      </c>
      <c r="M88" s="215">
        <v>-63.8795953169241</v>
      </c>
      <c r="N88" s="215">
        <v>-20.2286436107964</v>
      </c>
      <c r="O88" s="215">
        <v>-64.69571759983</v>
      </c>
      <c r="P88" s="215">
        <v>56.9543947575877</v>
      </c>
      <c r="Q88" s="216">
        <v>641.516440962996</v>
      </c>
      <c r="S88" s="258" t="s">
        <v>84</v>
      </c>
      <c r="T88" s="215">
        <f>Cmoyen!M24</f>
        <v>53.9206936416185</v>
      </c>
      <c r="U88" s="215">
        <f>Cmoyen!N24</f>
        <v>18.1581395348837</v>
      </c>
      <c r="V88" s="215">
        <f>Cmoyen!X47</f>
        <v>8.11347457627119</v>
      </c>
      <c r="W88" s="215">
        <f>Cmoyen!Y47</f>
        <v>12.505325443787</v>
      </c>
      <c r="X88" s="215">
        <f>Cmoyen!Z47</f>
        <v>25.1732148733136</v>
      </c>
      <c r="Y88" s="215">
        <f>Cmoyen!AA47</f>
        <v>37.475086306099</v>
      </c>
      <c r="Z88" s="216">
        <f>Cmoyen!AB47</f>
        <v>91.4310635390572</v>
      </c>
      <c r="AA88" s="147"/>
      <c r="AB88" s="147"/>
      <c r="AC88" s="147"/>
    </row>
    <row r="89" spans="1:29">
      <c r="A89" s="166" t="s">
        <v>86</v>
      </c>
      <c r="B89" s="166">
        <v>19.08594</v>
      </c>
      <c r="C89" s="147">
        <v>-5.792168</v>
      </c>
      <c r="D89" s="147">
        <v>-17.29083</v>
      </c>
      <c r="E89" s="147">
        <v>-66.60861</v>
      </c>
      <c r="F89" s="147">
        <v>-37.43205</v>
      </c>
      <c r="G89" s="147">
        <v>-68.40091</v>
      </c>
      <c r="H89" s="220">
        <v>12.10295</v>
      </c>
      <c r="J89" s="258" t="s">
        <v>86</v>
      </c>
      <c r="K89" s="215">
        <v>464.160253400423</v>
      </c>
      <c r="L89" s="215">
        <v>209.84313048221</v>
      </c>
      <c r="M89" s="215">
        <v>-73.1968573169241</v>
      </c>
      <c r="N89" s="215">
        <v>-82.2964886107964</v>
      </c>
      <c r="O89" s="215">
        <v>-99.01704459983</v>
      </c>
      <c r="P89" s="215">
        <v>-3.39062324241226</v>
      </c>
      <c r="Q89" s="216">
        <v>769.050490962996</v>
      </c>
      <c r="S89" s="258" t="s">
        <v>86</v>
      </c>
      <c r="T89" s="215">
        <f>Cmoyen!M25</f>
        <v>74.4725626204239</v>
      </c>
      <c r="U89" s="215">
        <f>Cmoyen!N25</f>
        <v>58.0805008944544</v>
      </c>
      <c r="V89" s="215">
        <f>Cmoyen!X48</f>
        <v>41.3525423728814</v>
      </c>
      <c r="W89" s="215">
        <f>Cmoyen!Y48</f>
        <v>56.9600591715976</v>
      </c>
      <c r="X89" s="215">
        <f>Cmoyen!Z48</f>
        <v>57.1668311944719</v>
      </c>
      <c r="Y89" s="215">
        <f>Cmoyen!AA48</f>
        <v>80.3255466052934</v>
      </c>
      <c r="Z89" s="216">
        <f>Cmoyen!AB48</f>
        <v>89.5335003416078</v>
      </c>
      <c r="AA89" s="147"/>
      <c r="AB89" s="147"/>
      <c r="AC89" s="147"/>
    </row>
    <row r="90" spans="1:29">
      <c r="A90" s="166" t="s">
        <v>88</v>
      </c>
      <c r="B90" s="166">
        <v>-124.9173</v>
      </c>
      <c r="C90" s="147">
        <v>-40.91073</v>
      </c>
      <c r="D90" s="147">
        <v>-15.02993</v>
      </c>
      <c r="E90" s="147">
        <v>-5.298066</v>
      </c>
      <c r="F90" s="147">
        <v>-21.70658</v>
      </c>
      <c r="G90" s="147">
        <v>-64.9389</v>
      </c>
      <c r="H90" s="220">
        <v>9.6664</v>
      </c>
      <c r="J90" s="258" t="s">
        <v>88</v>
      </c>
      <c r="K90" s="215">
        <v>320.157013400423</v>
      </c>
      <c r="L90" s="215">
        <v>174.72456848221</v>
      </c>
      <c r="M90" s="215">
        <v>-70.9359573169241</v>
      </c>
      <c r="N90" s="215">
        <v>-20.9859446107964</v>
      </c>
      <c r="O90" s="215">
        <v>-83.29157459983</v>
      </c>
      <c r="P90" s="215">
        <v>0.0713867575877316</v>
      </c>
      <c r="Q90" s="216">
        <v>766.613940962996</v>
      </c>
      <c r="S90" s="258" t="s">
        <v>88</v>
      </c>
      <c r="T90" s="215">
        <f>Cmoyen!M26</f>
        <v>153.400077071291</v>
      </c>
      <c r="U90" s="215">
        <f>Cmoyen!N26</f>
        <v>32.573023255814</v>
      </c>
      <c r="V90" s="215">
        <f>Cmoyen!X49</f>
        <v>9.87627118644068</v>
      </c>
      <c r="W90" s="215">
        <f>Cmoyen!Y49</f>
        <v>21.3971893491124</v>
      </c>
      <c r="X90" s="215">
        <f>Cmoyen!Z49</f>
        <v>52.1270154656137</v>
      </c>
      <c r="Y90" s="215">
        <f>Cmoyen!AA49</f>
        <v>90.6626006904488</v>
      </c>
      <c r="Z90" s="216">
        <f>Cmoyen!AB49</f>
        <v>277.761967661125</v>
      </c>
      <c r="AA90" s="147"/>
      <c r="AB90" s="147"/>
      <c r="AC90" s="147"/>
    </row>
    <row r="91" spans="1:29">
      <c r="A91" s="166" t="s">
        <v>90</v>
      </c>
      <c r="B91" s="166">
        <v>-89.86565</v>
      </c>
      <c r="C91" s="147">
        <v>-74.86068</v>
      </c>
      <c r="D91" s="147">
        <v>-118.5713</v>
      </c>
      <c r="E91" s="147">
        <v>-92.49033</v>
      </c>
      <c r="F91" s="147">
        <v>9.515</v>
      </c>
      <c r="G91" s="147">
        <v>-116.786</v>
      </c>
      <c r="H91" s="220">
        <v>9.9297</v>
      </c>
      <c r="J91" s="258" t="s">
        <v>90</v>
      </c>
      <c r="K91" s="215">
        <v>355.208663400423</v>
      </c>
      <c r="L91" s="215">
        <v>140.77461848221</v>
      </c>
      <c r="M91" s="215">
        <v>-174.477327316924</v>
      </c>
      <c r="N91" s="215">
        <v>-108.178208610796</v>
      </c>
      <c r="O91" s="215">
        <v>-52.06999459983</v>
      </c>
      <c r="P91" s="215">
        <v>-51.7757132424123</v>
      </c>
      <c r="Q91" s="216">
        <v>766.877240962996</v>
      </c>
      <c r="S91" s="258" t="s">
        <v>90</v>
      </c>
      <c r="T91" s="215">
        <f>Cmoyen!M27</f>
        <v>497.717842003853</v>
      </c>
      <c r="U91" s="215">
        <f>Cmoyen!N27</f>
        <v>327.63542039356</v>
      </c>
      <c r="V91" s="215">
        <f>Cmoyen!X50</f>
        <v>161.848305084746</v>
      </c>
      <c r="W91" s="215">
        <f>Cmoyen!Y50</f>
        <v>255.981065088757</v>
      </c>
      <c r="X91" s="215">
        <f>Cmoyen!Z50</f>
        <v>347.848502796973</v>
      </c>
      <c r="Y91" s="215">
        <f>Cmoyen!AA50</f>
        <v>448.536823935558</v>
      </c>
      <c r="Z91" s="216">
        <f>Cmoyen!AB50</f>
        <v>753.229970393988</v>
      </c>
      <c r="AA91" s="147"/>
      <c r="AB91" s="147"/>
      <c r="AC91" s="147"/>
    </row>
    <row r="92" spans="1:29">
      <c r="A92" s="166" t="s">
        <v>92</v>
      </c>
      <c r="B92" s="166">
        <v>3297.615</v>
      </c>
      <c r="C92" s="147">
        <v>1887.395</v>
      </c>
      <c r="D92" s="147">
        <v>2568.024</v>
      </c>
      <c r="E92" s="147">
        <v>4273.433</v>
      </c>
      <c r="F92" s="147">
        <v>4645.08</v>
      </c>
      <c r="G92" s="147">
        <v>5878.428</v>
      </c>
      <c r="H92" s="220">
        <v>2726.846</v>
      </c>
      <c r="J92" s="258" t="s">
        <v>92</v>
      </c>
      <c r="K92" s="215">
        <v>3742.68931340042</v>
      </c>
      <c r="L92" s="215">
        <v>2103.03029848221</v>
      </c>
      <c r="M92" s="215">
        <v>2512.11797268308</v>
      </c>
      <c r="N92" s="215">
        <v>4257.7451213892</v>
      </c>
      <c r="O92" s="215">
        <v>4583.49500540017</v>
      </c>
      <c r="P92" s="215">
        <v>5943.43828675759</v>
      </c>
      <c r="Q92" s="216">
        <v>3483.793540963</v>
      </c>
      <c r="S92" s="258" t="s">
        <v>92</v>
      </c>
      <c r="T92" s="215">
        <f>Cmoyen!M28</f>
        <v>14042.1309248555</v>
      </c>
      <c r="U92" s="215">
        <f>Cmoyen!N28</f>
        <v>4974.65370304114</v>
      </c>
      <c r="V92" s="215">
        <f>Cmoyen!X51</f>
        <v>4771.74601694915</v>
      </c>
      <c r="W92" s="215">
        <f>Cmoyen!Y51</f>
        <v>6544.53394970414</v>
      </c>
      <c r="X92" s="215">
        <f>Cmoyen!Z51</f>
        <v>8364.47864429089</v>
      </c>
      <c r="Y92" s="215">
        <f>Cmoyen!AA51</f>
        <v>10550.6776179517</v>
      </c>
      <c r="Z92" s="216">
        <f>Cmoyen!AB51</f>
        <v>18791.6389888408</v>
      </c>
      <c r="AA92" s="147"/>
      <c r="AB92" s="147"/>
      <c r="AC92" s="147"/>
    </row>
    <row r="93" spans="1:29">
      <c r="A93" s="166" t="s">
        <v>94</v>
      </c>
      <c r="B93" s="166">
        <v>-501.3305</v>
      </c>
      <c r="C93" s="147">
        <v>-1935.234</v>
      </c>
      <c r="D93" s="147">
        <v>-180.2573</v>
      </c>
      <c r="E93" s="147">
        <v>-713.0576</v>
      </c>
      <c r="F93" s="147">
        <v>-1112.469</v>
      </c>
      <c r="G93" s="147">
        <v>-1161.798</v>
      </c>
      <c r="H93" s="220">
        <v>168.2832</v>
      </c>
      <c r="J93" s="258" t="s">
        <v>94</v>
      </c>
      <c r="K93" s="215">
        <v>-56.2561865995769</v>
      </c>
      <c r="L93" s="215">
        <v>-1719.59870151779</v>
      </c>
      <c r="M93" s="215">
        <v>-236.163327316924</v>
      </c>
      <c r="N93" s="215">
        <v>-728.745478610796</v>
      </c>
      <c r="O93" s="215">
        <v>-1174.05399459983</v>
      </c>
      <c r="P93" s="215">
        <v>-1096.78771324241</v>
      </c>
      <c r="Q93" s="216">
        <v>925.230740962996</v>
      </c>
      <c r="S93" s="258" t="s">
        <v>94</v>
      </c>
      <c r="T93" s="215">
        <f>Cmoyen!M29</f>
        <v>1705.99653179191</v>
      </c>
      <c r="U93" s="215">
        <f>Cmoyen!N29</f>
        <v>1643.52987477639</v>
      </c>
      <c r="V93" s="215">
        <f>Cmoyen!X52</f>
        <v>319.356779661017</v>
      </c>
      <c r="W93" s="215">
        <f>Cmoyen!Y52</f>
        <v>702.319526627219</v>
      </c>
      <c r="X93" s="215">
        <f>Cmoyen!Z52</f>
        <v>1062.87693320171</v>
      </c>
      <c r="Y93" s="215">
        <f>Cmoyen!AA52</f>
        <v>1673.5581127733</v>
      </c>
      <c r="Z93" s="216">
        <f>Cmoyen!AB52</f>
        <v>3460.59007059895</v>
      </c>
      <c r="AA93" s="147"/>
      <c r="AB93" s="147"/>
      <c r="AC93" s="147"/>
    </row>
    <row r="94" spans="1:29">
      <c r="A94" s="166" t="s">
        <v>96</v>
      </c>
      <c r="B94" s="166">
        <v>3459.793</v>
      </c>
      <c r="C94" s="147">
        <v>2830.345</v>
      </c>
      <c r="D94" s="147">
        <v>1798.195</v>
      </c>
      <c r="E94" s="147">
        <v>1599.773</v>
      </c>
      <c r="F94" s="147">
        <v>1785.186</v>
      </c>
      <c r="G94" s="147">
        <v>2217.787</v>
      </c>
      <c r="H94" s="220">
        <v>3531.792</v>
      </c>
      <c r="J94" s="258" t="s">
        <v>96</v>
      </c>
      <c r="K94" s="215">
        <v>3904.86731340042</v>
      </c>
      <c r="L94" s="215">
        <v>3045.98029848221</v>
      </c>
      <c r="M94" s="215">
        <v>1742.28897268308</v>
      </c>
      <c r="N94" s="215">
        <v>1584.0851213892</v>
      </c>
      <c r="O94" s="215">
        <v>1723.60100540017</v>
      </c>
      <c r="P94" s="215">
        <v>2282.79728675759</v>
      </c>
      <c r="Q94" s="216">
        <v>4288.739540963</v>
      </c>
      <c r="S94" s="258" t="s">
        <v>96</v>
      </c>
      <c r="T94" s="215">
        <f>Cmoyen!M30</f>
        <v>4867.18063583815</v>
      </c>
      <c r="U94" s="215">
        <f>Cmoyen!N30</f>
        <v>4547.10259391771</v>
      </c>
      <c r="V94" s="215">
        <f>Cmoyen!X53</f>
        <v>3904.04088983051</v>
      </c>
      <c r="W94" s="215">
        <f>Cmoyen!Y53</f>
        <v>4334.56656804734</v>
      </c>
      <c r="X94" s="215">
        <f>Cmoyen!Z53</f>
        <v>4630.38696939783</v>
      </c>
      <c r="Y94" s="215">
        <f>Cmoyen!AA53</f>
        <v>4889.51611047181</v>
      </c>
      <c r="Z94" s="216">
        <f>Cmoyen!AB53</f>
        <v>5451.54406741061</v>
      </c>
      <c r="AA94" s="147"/>
      <c r="AB94" s="147"/>
      <c r="AC94" s="147"/>
    </row>
    <row r="95" spans="1:29">
      <c r="A95" s="166" t="s">
        <v>98</v>
      </c>
      <c r="B95" s="166">
        <v>0.0166376</v>
      </c>
      <c r="C95" s="147">
        <v>5.776567</v>
      </c>
      <c r="D95" s="147">
        <v>7.239983</v>
      </c>
      <c r="E95" s="147">
        <v>3.302705</v>
      </c>
      <c r="F95" s="147">
        <v>0.0602655</v>
      </c>
      <c r="G95" s="147">
        <v>-0.871316</v>
      </c>
      <c r="H95" s="220">
        <v>0.2535509</v>
      </c>
      <c r="J95" s="258" t="s">
        <v>98</v>
      </c>
      <c r="K95" s="215">
        <v>445.090951000423</v>
      </c>
      <c r="L95" s="215">
        <v>221.41186548221</v>
      </c>
      <c r="M95" s="215">
        <v>-48.6660443169241</v>
      </c>
      <c r="N95" s="215">
        <v>-12.3851736107964</v>
      </c>
      <c r="O95" s="215">
        <v>-61.52472909983</v>
      </c>
      <c r="P95" s="215">
        <v>64.1389707575877</v>
      </c>
      <c r="Q95" s="216">
        <v>757.201091862996</v>
      </c>
      <c r="S95" s="258" t="s">
        <v>98</v>
      </c>
      <c r="T95" s="215">
        <f>Cmoyen!M31</f>
        <v>0.783622350674374</v>
      </c>
      <c r="U95" s="215">
        <f>Cmoyen!N31</f>
        <v>3.16100178890877</v>
      </c>
      <c r="V95" s="215">
        <f>Cmoyen!X54</f>
        <v>5.1271186440678</v>
      </c>
      <c r="W95" s="215">
        <f>Cmoyen!Y54</f>
        <v>2.04955621301775</v>
      </c>
      <c r="X95" s="215">
        <f>Cmoyen!Z54</f>
        <v>0.0612043435340573</v>
      </c>
      <c r="Y95" s="215">
        <f>Cmoyen!AA54</f>
        <v>0.952243958573073</v>
      </c>
      <c r="Z95" s="216">
        <f>Cmoyen!AB54</f>
        <v>1.06262810293783</v>
      </c>
      <c r="AA95" s="147"/>
      <c r="AB95" s="147"/>
      <c r="AC95" s="147"/>
    </row>
    <row r="96" spans="1:29">
      <c r="A96" s="166" t="s">
        <v>100</v>
      </c>
      <c r="B96" s="166">
        <v>-262.9726</v>
      </c>
      <c r="C96" s="147">
        <v>-485.5707</v>
      </c>
      <c r="D96" s="147">
        <v>-80.38798</v>
      </c>
      <c r="E96" s="147">
        <v>-74.91676</v>
      </c>
      <c r="F96" s="147">
        <v>-228.0473</v>
      </c>
      <c r="G96" s="147">
        <v>-354.326</v>
      </c>
      <c r="H96" s="220">
        <v>28.22667</v>
      </c>
      <c r="J96" s="258" t="s">
        <v>100</v>
      </c>
      <c r="K96" s="215">
        <v>182.101713400423</v>
      </c>
      <c r="L96" s="215">
        <v>-269.93540151779</v>
      </c>
      <c r="M96" s="215">
        <v>-136.294007316924</v>
      </c>
      <c r="N96" s="215">
        <v>-90.6046386107964</v>
      </c>
      <c r="O96" s="215">
        <v>-289.63229459983</v>
      </c>
      <c r="P96" s="215">
        <v>-289.315713242412</v>
      </c>
      <c r="Q96" s="216">
        <v>785.174210962996</v>
      </c>
      <c r="S96" s="258" t="s">
        <v>100</v>
      </c>
      <c r="T96" s="215">
        <f>Cmoyen!M32</f>
        <v>786.01880539499</v>
      </c>
      <c r="U96" s="215">
        <f>Cmoyen!N32</f>
        <v>452.547066189624</v>
      </c>
      <c r="V96" s="215">
        <f>Cmoyen!X55</f>
        <v>123.319491525424</v>
      </c>
      <c r="W96" s="215">
        <f>Cmoyen!Y55</f>
        <v>215.635687869823</v>
      </c>
      <c r="X96" s="215">
        <f>Cmoyen!Z55</f>
        <v>350.284929253044</v>
      </c>
      <c r="Y96" s="215">
        <f>Cmoyen!AA55</f>
        <v>603.539700805524</v>
      </c>
      <c r="Z96" s="216">
        <f>Cmoyen!AB55</f>
        <v>1514.93520838078</v>
      </c>
      <c r="AA96" s="147"/>
      <c r="AB96" s="147"/>
      <c r="AC96" s="147"/>
    </row>
    <row r="97" spans="1:29">
      <c r="A97" s="166" t="s">
        <v>102</v>
      </c>
      <c r="B97" s="166">
        <v>45.19842</v>
      </c>
      <c r="C97" s="147">
        <v>-23.61438</v>
      </c>
      <c r="D97" s="147">
        <v>-69.37018</v>
      </c>
      <c r="E97" s="147">
        <v>-50.66779</v>
      </c>
      <c r="F97" s="147">
        <v>-11.44052</v>
      </c>
      <c r="G97" s="147">
        <v>-22.87344</v>
      </c>
      <c r="H97" s="220">
        <v>131.2316</v>
      </c>
      <c r="J97" s="258" t="s">
        <v>102</v>
      </c>
      <c r="K97" s="215">
        <v>490.272733400423</v>
      </c>
      <c r="L97" s="215">
        <v>192.02091848221</v>
      </c>
      <c r="M97" s="215">
        <v>-125.276207316924</v>
      </c>
      <c r="N97" s="215">
        <v>-66.3556686107964</v>
      </c>
      <c r="O97" s="215">
        <v>-73.02551459983</v>
      </c>
      <c r="P97" s="215">
        <v>42.1368467575877</v>
      </c>
      <c r="Q97" s="216">
        <v>888.179140962996</v>
      </c>
      <c r="S97" s="258" t="s">
        <v>102</v>
      </c>
      <c r="T97" s="215">
        <f>Cmoyen!M33</f>
        <v>305.734633911368</v>
      </c>
      <c r="U97" s="215">
        <f>Cmoyen!N33</f>
        <v>292.683470483005</v>
      </c>
      <c r="V97" s="215">
        <f>Cmoyen!X56</f>
        <v>128.404491525424</v>
      </c>
      <c r="W97" s="215">
        <f>Cmoyen!Y56</f>
        <v>193.765384615385</v>
      </c>
      <c r="X97" s="215">
        <f>Cmoyen!Z56</f>
        <v>252.882560052649</v>
      </c>
      <c r="Y97" s="215">
        <f>Cmoyen!AA56</f>
        <v>312.645943613349</v>
      </c>
      <c r="Z97" s="216">
        <f>Cmoyen!AB56</f>
        <v>484.4870189023</v>
      </c>
      <c r="AA97" s="147"/>
      <c r="AB97" s="147"/>
      <c r="AC97" s="147"/>
    </row>
    <row r="98" spans="1:29">
      <c r="A98" s="166" t="s">
        <v>104</v>
      </c>
      <c r="B98" s="166">
        <v>74.5744</v>
      </c>
      <c r="C98" s="147">
        <v>-5.150714</v>
      </c>
      <c r="D98" s="147">
        <v>22.96591</v>
      </c>
      <c r="E98" s="147">
        <v>61.46701</v>
      </c>
      <c r="F98" s="147">
        <v>73.42618</v>
      </c>
      <c r="G98" s="147">
        <v>69.87995</v>
      </c>
      <c r="H98" s="220">
        <v>199.9285</v>
      </c>
      <c r="J98" s="258" t="s">
        <v>104</v>
      </c>
      <c r="K98" s="215">
        <v>519.648713400423</v>
      </c>
      <c r="L98" s="215">
        <v>210.48458448221</v>
      </c>
      <c r="M98" s="215">
        <v>-32.9401173169241</v>
      </c>
      <c r="N98" s="215">
        <v>45.7791313892036</v>
      </c>
      <c r="O98" s="215">
        <v>11.84118540017</v>
      </c>
      <c r="P98" s="215">
        <v>134.890236757588</v>
      </c>
      <c r="Q98" s="216">
        <v>956.876040962996</v>
      </c>
      <c r="S98" s="258" t="s">
        <v>104</v>
      </c>
      <c r="T98" s="215">
        <f>Cmoyen!M34</f>
        <v>482.412090558767</v>
      </c>
      <c r="U98" s="215">
        <f>Cmoyen!N34</f>
        <v>281.003023255814</v>
      </c>
      <c r="V98" s="215">
        <f>Cmoyen!X57</f>
        <v>150.347881355932</v>
      </c>
      <c r="W98" s="215">
        <f>Cmoyen!Y57</f>
        <v>249.98298816568</v>
      </c>
      <c r="X98" s="215">
        <f>Cmoyen!Z57</f>
        <v>294.41707798618</v>
      </c>
      <c r="Y98" s="215">
        <f>Cmoyen!AA57</f>
        <v>390.85080552359</v>
      </c>
      <c r="Z98" s="216">
        <f>Cmoyen!AB57</f>
        <v>750.202345707128</v>
      </c>
      <c r="AA98" s="147"/>
      <c r="AB98" s="147"/>
      <c r="AC98" s="147"/>
    </row>
    <row r="99" spans="1:29">
      <c r="A99" s="166" t="s">
        <v>106</v>
      </c>
      <c r="B99" s="166">
        <v>-3.927424</v>
      </c>
      <c r="C99" s="147">
        <v>50.68126</v>
      </c>
      <c r="D99" s="147">
        <v>67.57244</v>
      </c>
      <c r="E99" s="147">
        <v>49.78467</v>
      </c>
      <c r="F99" s="147">
        <v>21.2686</v>
      </c>
      <c r="G99" s="147">
        <v>29.30116</v>
      </c>
      <c r="H99" s="220">
        <v>-4.223274</v>
      </c>
      <c r="J99" s="258" t="s">
        <v>106</v>
      </c>
      <c r="K99" s="215">
        <v>441.146889400423</v>
      </c>
      <c r="L99" s="215">
        <v>266.31655848221</v>
      </c>
      <c r="M99" s="215">
        <v>11.6664126830759</v>
      </c>
      <c r="N99" s="215">
        <v>34.0967913892036</v>
      </c>
      <c r="O99" s="215">
        <v>-40.31639459983</v>
      </c>
      <c r="P99" s="215">
        <v>94.3114467575877</v>
      </c>
      <c r="Q99" s="216">
        <v>752.724266962996</v>
      </c>
      <c r="S99" s="258" t="s">
        <v>106</v>
      </c>
      <c r="T99" s="215">
        <f>Cmoyen!M35</f>
        <v>66.936859344894</v>
      </c>
      <c r="U99" s="215">
        <f>Cmoyen!N35</f>
        <v>99.9932915921288</v>
      </c>
      <c r="V99" s="215">
        <f>Cmoyen!X58</f>
        <v>69.4327542372881</v>
      </c>
      <c r="W99" s="215">
        <f>Cmoyen!Y58</f>
        <v>66.9255547337278</v>
      </c>
      <c r="X99" s="215">
        <f>Cmoyen!Z58</f>
        <v>66.9031260282988</v>
      </c>
      <c r="Y99" s="215">
        <f>Cmoyen!AA58</f>
        <v>63.671001150748</v>
      </c>
      <c r="Z99" s="216">
        <f>Cmoyen!AB58</f>
        <v>110.293805511273</v>
      </c>
      <c r="AA99" s="147"/>
      <c r="AB99" s="147"/>
      <c r="AC99" s="147"/>
    </row>
    <row r="100" spans="1:29">
      <c r="A100" s="166" t="s">
        <v>108</v>
      </c>
      <c r="B100" s="166">
        <v>1.74586</v>
      </c>
      <c r="C100" s="147">
        <v>-3.072986</v>
      </c>
      <c r="D100" s="147">
        <v>-1.746548</v>
      </c>
      <c r="E100" s="147">
        <v>-0.1859497</v>
      </c>
      <c r="F100" s="147">
        <v>-1.866927</v>
      </c>
      <c r="G100" s="147">
        <v>4.900852</v>
      </c>
      <c r="H100" s="220">
        <v>3.96661</v>
      </c>
      <c r="J100" s="258" t="s">
        <v>108</v>
      </c>
      <c r="K100" s="215">
        <v>446.820173400423</v>
      </c>
      <c r="L100" s="215">
        <v>212.56231248221</v>
      </c>
      <c r="M100" s="215">
        <v>-57.6525753169241</v>
      </c>
      <c r="N100" s="215">
        <v>-15.8738283107964</v>
      </c>
      <c r="O100" s="215">
        <v>-63.45192159983</v>
      </c>
      <c r="P100" s="215">
        <v>69.9111387575877</v>
      </c>
      <c r="Q100" s="216">
        <v>760.914150962996</v>
      </c>
      <c r="S100" s="258" t="s">
        <v>108</v>
      </c>
      <c r="T100" s="215">
        <f>Cmoyen!M36</f>
        <v>3.20818882466281</v>
      </c>
      <c r="U100" s="215">
        <f>Cmoyen!N36</f>
        <v>5.75803220035778</v>
      </c>
      <c r="V100" s="215">
        <f>Cmoyen!X59</f>
        <v>1.41991525423729</v>
      </c>
      <c r="W100" s="215">
        <f>Cmoyen!Y59</f>
        <v>1.91235207100592</v>
      </c>
      <c r="X100" s="215">
        <f>Cmoyen!Z59</f>
        <v>2.08358012504113</v>
      </c>
      <c r="Y100" s="215">
        <f>Cmoyen!AA59</f>
        <v>7.03866513233602</v>
      </c>
      <c r="Z100" s="216">
        <f>Cmoyen!AB59</f>
        <v>5.95946253700752</v>
      </c>
      <c r="AA100" s="147"/>
      <c r="AB100" s="147"/>
      <c r="AC100" s="147"/>
    </row>
    <row r="101" spans="1:29">
      <c r="A101" s="166" t="s">
        <v>110</v>
      </c>
      <c r="B101" s="166">
        <v>359.1585</v>
      </c>
      <c r="C101" s="147">
        <v>63.15411</v>
      </c>
      <c r="D101" s="147">
        <v>-30.2173</v>
      </c>
      <c r="E101" s="147">
        <v>-54.49686</v>
      </c>
      <c r="F101" s="147">
        <v>-40.57907</v>
      </c>
      <c r="G101" s="147">
        <v>53.8107</v>
      </c>
      <c r="H101" s="220">
        <v>534.3395</v>
      </c>
      <c r="J101" s="258" t="s">
        <v>110</v>
      </c>
      <c r="K101" s="215">
        <v>804.232813400423</v>
      </c>
      <c r="L101" s="215">
        <v>278.78940848221</v>
      </c>
      <c r="M101" s="215">
        <v>-86.1233273169241</v>
      </c>
      <c r="N101" s="215">
        <v>-70.1847386107964</v>
      </c>
      <c r="O101" s="215">
        <v>-102.16406459983</v>
      </c>
      <c r="P101" s="215">
        <v>118.820986757588</v>
      </c>
      <c r="Q101" s="216">
        <v>1291.287040963</v>
      </c>
      <c r="S101" s="258" t="s">
        <v>110</v>
      </c>
      <c r="T101" s="215">
        <f>Cmoyen!M37</f>
        <v>892.911078998073</v>
      </c>
      <c r="U101" s="215">
        <f>Cmoyen!N37</f>
        <v>775.754203935599</v>
      </c>
      <c r="V101" s="215">
        <f>Cmoyen!X60</f>
        <v>477.405338983051</v>
      </c>
      <c r="W101" s="215">
        <f>Cmoyen!Y60</f>
        <v>655.921819526627</v>
      </c>
      <c r="X101" s="215">
        <f>Cmoyen!Z60</f>
        <v>726.01511023363</v>
      </c>
      <c r="Y101" s="215">
        <f>Cmoyen!AA60</f>
        <v>876.039838895282</v>
      </c>
      <c r="Z101" s="216">
        <f>Cmoyen!AB60</f>
        <v>1241.88553860168</v>
      </c>
      <c r="AA101" s="147"/>
      <c r="AB101" s="147"/>
      <c r="AC101" s="147"/>
    </row>
    <row r="102" spans="1:29">
      <c r="A102" s="166" t="s">
        <v>112</v>
      </c>
      <c r="B102" s="166">
        <v>-30.13917</v>
      </c>
      <c r="C102" s="147">
        <v>-15.63747</v>
      </c>
      <c r="D102" s="147">
        <v>0.0670058</v>
      </c>
      <c r="E102" s="147">
        <v>-0.1595669</v>
      </c>
      <c r="F102" s="147">
        <v>-0.3707708</v>
      </c>
      <c r="G102" s="147">
        <v>-1.737062</v>
      </c>
      <c r="H102" s="220">
        <v>-56.63669</v>
      </c>
      <c r="J102" s="258" t="s">
        <v>112</v>
      </c>
      <c r="K102" s="215">
        <v>414.935143400423</v>
      </c>
      <c r="L102" s="215">
        <v>199.99782848221</v>
      </c>
      <c r="M102" s="215">
        <v>-55.8390215169241</v>
      </c>
      <c r="N102" s="215">
        <v>-15.8474455107964</v>
      </c>
      <c r="O102" s="215">
        <v>-61.95576539983</v>
      </c>
      <c r="P102" s="215">
        <v>63.2732247575877</v>
      </c>
      <c r="Q102" s="216">
        <v>700.310850962996</v>
      </c>
      <c r="S102" s="258" t="s">
        <v>112</v>
      </c>
      <c r="T102" s="215">
        <f>Cmoyen!M38</f>
        <v>4.79055876685934</v>
      </c>
      <c r="U102" s="215">
        <f>Cmoyen!N38</f>
        <v>4.01914132379249</v>
      </c>
      <c r="V102" s="215">
        <f>Cmoyen!X61</f>
        <v>0.134745762711864</v>
      </c>
      <c r="W102" s="215">
        <f>Cmoyen!Y61</f>
        <v>0.445266272189349</v>
      </c>
      <c r="X102" s="215">
        <f>Cmoyen!Z61</f>
        <v>0.402435011516946</v>
      </c>
      <c r="Y102" s="215">
        <f>Cmoyen!AA61</f>
        <v>1.59062140391254</v>
      </c>
      <c r="Z102" s="216">
        <f>Cmoyen!AB61</f>
        <v>14.5568207697563</v>
      </c>
      <c r="AA102" s="147"/>
      <c r="AB102" s="147"/>
      <c r="AC102" s="147"/>
    </row>
    <row r="103" spans="1:29">
      <c r="A103" s="166" t="s">
        <v>114</v>
      </c>
      <c r="B103" s="166">
        <v>611.3324</v>
      </c>
      <c r="C103" s="147">
        <v>-80.09503</v>
      </c>
      <c r="D103" s="147">
        <v>-220.5599</v>
      </c>
      <c r="E103" s="147">
        <v>-161.2408</v>
      </c>
      <c r="F103" s="147">
        <v>-107.4149</v>
      </c>
      <c r="G103" s="147">
        <v>-77.78107</v>
      </c>
      <c r="H103" s="220">
        <v>329.4135</v>
      </c>
      <c r="J103" s="258" t="s">
        <v>114</v>
      </c>
      <c r="K103" s="215">
        <v>1056.40671340042</v>
      </c>
      <c r="L103" s="215">
        <v>135.54026848221</v>
      </c>
      <c r="M103" s="215">
        <v>-276.465927316924</v>
      </c>
      <c r="N103" s="215">
        <v>-176.928678610796</v>
      </c>
      <c r="O103" s="215">
        <v>-168.99989459983</v>
      </c>
      <c r="P103" s="215">
        <v>-12.7707832424123</v>
      </c>
      <c r="Q103" s="216">
        <v>1086.361040963</v>
      </c>
      <c r="S103" s="258" t="s">
        <v>114</v>
      </c>
      <c r="T103" s="215">
        <f>Cmoyen!M39</f>
        <v>2477.36201926782</v>
      </c>
      <c r="U103" s="215">
        <f>Cmoyen!N39</f>
        <v>1081.63647584973</v>
      </c>
      <c r="V103" s="215">
        <f>Cmoyen!X62</f>
        <v>838.432474576271</v>
      </c>
      <c r="W103" s="215">
        <f>Cmoyen!Y62</f>
        <v>1343.22650887574</v>
      </c>
      <c r="X103" s="215">
        <f>Cmoyen!Z62</f>
        <v>1704.55713326752</v>
      </c>
      <c r="Y103" s="215">
        <f>Cmoyen!AA62</f>
        <v>2082.1960552359</v>
      </c>
      <c r="Z103" s="216">
        <f>Cmoyen!AB62</f>
        <v>3127.46935185607</v>
      </c>
      <c r="AA103" s="147"/>
      <c r="AB103" s="147"/>
      <c r="AC103" s="147"/>
    </row>
    <row r="104" spans="1:29">
      <c r="A104" s="166" t="s">
        <v>116</v>
      </c>
      <c r="B104" s="166">
        <v>-922.6378</v>
      </c>
      <c r="C104" s="147">
        <v>-1257.383</v>
      </c>
      <c r="D104" s="147">
        <v>-737.8073</v>
      </c>
      <c r="E104" s="147">
        <v>-1349.158</v>
      </c>
      <c r="F104" s="147">
        <v>-640.7588</v>
      </c>
      <c r="G104" s="147">
        <v>-1110.125</v>
      </c>
      <c r="H104" s="220">
        <v>-7.834994</v>
      </c>
      <c r="J104" s="258" t="s">
        <v>116</v>
      </c>
      <c r="K104" s="215">
        <v>-477.563486599577</v>
      </c>
      <c r="L104" s="215">
        <v>-1041.74770151779</v>
      </c>
      <c r="M104" s="215">
        <v>-793.713327316924</v>
      </c>
      <c r="N104" s="215">
        <v>-1364.8458786108</v>
      </c>
      <c r="O104" s="215">
        <v>-702.34379459983</v>
      </c>
      <c r="P104" s="215">
        <v>-1045.11471324241</v>
      </c>
      <c r="Q104" s="216">
        <v>749.112546962996</v>
      </c>
      <c r="S104" s="258" t="s">
        <v>116</v>
      </c>
      <c r="T104" s="215">
        <f>Cmoyen!M40</f>
        <v>5517.57235067437</v>
      </c>
      <c r="U104" s="215">
        <f>Cmoyen!N40</f>
        <v>3197.2259391771</v>
      </c>
      <c r="V104" s="215">
        <f>Cmoyen!X63</f>
        <v>1385.58305084746</v>
      </c>
      <c r="W104" s="215">
        <f>Cmoyen!Y63</f>
        <v>2381.40384615385</v>
      </c>
      <c r="X104" s="215">
        <f>Cmoyen!Z63</f>
        <v>3094.25468904245</v>
      </c>
      <c r="Y104" s="215">
        <f>Cmoyen!AA63</f>
        <v>4471.13434982739</v>
      </c>
      <c r="Z104" s="216">
        <f>Cmoyen!AB63</f>
        <v>9221.24777954908</v>
      </c>
      <c r="AA104" s="147"/>
      <c r="AB104" s="147"/>
      <c r="AC104" s="147"/>
    </row>
    <row r="105" spans="1:29">
      <c r="A105" s="166" t="s">
        <v>118</v>
      </c>
      <c r="B105" s="166">
        <v>-4.390773</v>
      </c>
      <c r="C105" s="147">
        <v>-3.269624</v>
      </c>
      <c r="D105" s="147">
        <v>1.448545</v>
      </c>
      <c r="E105" s="147">
        <v>1.845453</v>
      </c>
      <c r="F105" s="147">
        <v>0.6548794</v>
      </c>
      <c r="G105" s="147">
        <v>0.5638428</v>
      </c>
      <c r="H105" s="220">
        <v>-4.505776</v>
      </c>
      <c r="J105" s="258" t="s">
        <v>118</v>
      </c>
      <c r="K105" s="215">
        <v>440.683540400423</v>
      </c>
      <c r="L105" s="215">
        <v>212.36567448221</v>
      </c>
      <c r="M105" s="215">
        <v>-54.4574823169241</v>
      </c>
      <c r="N105" s="215">
        <v>-13.8424256107964</v>
      </c>
      <c r="O105" s="215">
        <v>-60.93011519983</v>
      </c>
      <c r="P105" s="215">
        <v>65.5741295575877</v>
      </c>
      <c r="Q105" s="216">
        <v>752.441764962996</v>
      </c>
      <c r="S105" s="258" t="s">
        <v>118</v>
      </c>
      <c r="T105" s="215">
        <f>Cmoyen!M41</f>
        <v>4.37832369942197</v>
      </c>
      <c r="U105" s="215">
        <f>Cmoyen!N41</f>
        <v>1.99606440071556</v>
      </c>
      <c r="V105" s="215">
        <f>Cmoyen!X64</f>
        <v>1.03898305084746</v>
      </c>
      <c r="W105" s="215">
        <f>Cmoyen!Y64</f>
        <v>1.13572485207101</v>
      </c>
      <c r="X105" s="215">
        <f>Cmoyen!Z64</f>
        <v>1.3030602171767</v>
      </c>
      <c r="Y105" s="215">
        <f>Cmoyen!AA64</f>
        <v>0.838032220943613</v>
      </c>
      <c r="Z105" s="216">
        <f>Cmoyen!AB64</f>
        <v>10.0680938282851</v>
      </c>
      <c r="AA105" s="147"/>
      <c r="AB105" s="147"/>
      <c r="AC105" s="147"/>
    </row>
    <row r="106" spans="1:29">
      <c r="A106" s="166" t="s">
        <v>120</v>
      </c>
      <c r="B106" s="166">
        <v>-7162.77</v>
      </c>
      <c r="C106" s="147">
        <v>-4455.037</v>
      </c>
      <c r="D106" s="147">
        <v>-516.2594</v>
      </c>
      <c r="E106" s="147">
        <v>-2055.338</v>
      </c>
      <c r="F106" s="147">
        <v>-2373.109</v>
      </c>
      <c r="G106" s="147">
        <v>-4591.17</v>
      </c>
      <c r="H106" s="220">
        <v>-9169.299</v>
      </c>
      <c r="J106" s="258" t="s">
        <v>120</v>
      </c>
      <c r="K106" s="215">
        <v>-6717.69568659958</v>
      </c>
      <c r="L106" s="215">
        <v>-4239.40170151779</v>
      </c>
      <c r="M106" s="215">
        <v>-572.165427316924</v>
      </c>
      <c r="N106" s="215">
        <v>-2071.0258786108</v>
      </c>
      <c r="O106" s="215">
        <v>-2434.69399459983</v>
      </c>
      <c r="P106" s="215">
        <v>-4526.15971324241</v>
      </c>
      <c r="Q106" s="216">
        <v>-8412.35145903701</v>
      </c>
      <c r="S106" s="258" t="s">
        <v>120</v>
      </c>
      <c r="T106" s="215">
        <f>Cmoyen!M42</f>
        <v>4634.12412331407</v>
      </c>
      <c r="U106" s="215">
        <f>Cmoyen!N42</f>
        <v>2282.10505366726</v>
      </c>
      <c r="V106" s="215">
        <f>Cmoyen!X65</f>
        <v>374.989216101695</v>
      </c>
      <c r="W106" s="215">
        <f>Cmoyen!Y65</f>
        <v>849.205399408284</v>
      </c>
      <c r="X106" s="215">
        <f>Cmoyen!Z65</f>
        <v>1344.08532411978</v>
      </c>
      <c r="Y106" s="215">
        <f>Cmoyen!AA65</f>
        <v>2372.86544879171</v>
      </c>
      <c r="Z106" s="216">
        <f>Cmoyen!AB65</f>
        <v>10326.8490321111</v>
      </c>
      <c r="AA106" s="147"/>
      <c r="AB106" s="147"/>
      <c r="AC106" s="147"/>
    </row>
    <row r="107" spans="1:29">
      <c r="A107" s="166" t="s">
        <v>122</v>
      </c>
      <c r="B107" s="166">
        <v>835.0412</v>
      </c>
      <c r="C107" s="147">
        <v>262.4906</v>
      </c>
      <c r="D107" s="147">
        <v>-108.6622</v>
      </c>
      <c r="E107" s="147">
        <v>-289.5353</v>
      </c>
      <c r="F107" s="147">
        <v>19.39736</v>
      </c>
      <c r="G107" s="147">
        <v>81.33633</v>
      </c>
      <c r="H107" s="220">
        <v>1268.343</v>
      </c>
      <c r="J107" s="258" t="s">
        <v>122</v>
      </c>
      <c r="K107" s="215">
        <v>1280.11551340042</v>
      </c>
      <c r="L107" s="215">
        <v>478.12589848221</v>
      </c>
      <c r="M107" s="215">
        <v>-164.568227316924</v>
      </c>
      <c r="N107" s="215">
        <v>-305.223178610796</v>
      </c>
      <c r="O107" s="215">
        <v>-42.18763459983</v>
      </c>
      <c r="P107" s="215">
        <v>146.346616757588</v>
      </c>
      <c r="Q107" s="216">
        <v>2025.290540963</v>
      </c>
      <c r="S107" s="258" t="s">
        <v>122</v>
      </c>
      <c r="T107" s="215">
        <f>Cmoyen!M43</f>
        <v>1427.4470327553</v>
      </c>
      <c r="U107" s="215">
        <f>Cmoyen!N43</f>
        <v>1302.05760286225</v>
      </c>
      <c r="V107" s="215">
        <f>Cmoyen!X66</f>
        <v>697.236525423729</v>
      </c>
      <c r="W107" s="215">
        <f>Cmoyen!Y66</f>
        <v>1078.41397928994</v>
      </c>
      <c r="X107" s="215">
        <f>Cmoyen!Z66</f>
        <v>1339.35807831524</v>
      </c>
      <c r="Y107" s="215">
        <f>Cmoyen!AA66</f>
        <v>1526.69706559264</v>
      </c>
      <c r="Z107" s="216">
        <f>Cmoyen!AB66</f>
        <v>1857.61430198133</v>
      </c>
      <c r="AA107" s="147"/>
      <c r="AB107" s="147"/>
      <c r="AC107" s="147"/>
    </row>
    <row r="108" spans="1:29">
      <c r="A108" s="166" t="s">
        <v>124</v>
      </c>
      <c r="B108" s="166">
        <v>-261.8471</v>
      </c>
      <c r="C108" s="147">
        <v>-214.6449</v>
      </c>
      <c r="D108" s="147">
        <v>-175.0738</v>
      </c>
      <c r="E108" s="147">
        <v>-440.5718</v>
      </c>
      <c r="F108" s="147">
        <v>-346.9669</v>
      </c>
      <c r="G108" s="147">
        <v>-380.3192</v>
      </c>
      <c r="H108" s="220">
        <v>-46.1847</v>
      </c>
      <c r="J108" s="258" t="s">
        <v>124</v>
      </c>
      <c r="K108" s="215">
        <v>183.227213400423</v>
      </c>
      <c r="L108" s="215">
        <v>0.990398482209599</v>
      </c>
      <c r="M108" s="215">
        <v>-230.979827316924</v>
      </c>
      <c r="N108" s="215">
        <v>-456.259678610796</v>
      </c>
      <c r="O108" s="215">
        <v>-408.55189459983</v>
      </c>
      <c r="P108" s="215">
        <v>-315.308913242412</v>
      </c>
      <c r="Q108" s="216">
        <v>710.762840962996</v>
      </c>
      <c r="S108" s="258" t="s">
        <v>124</v>
      </c>
      <c r="T108" s="215">
        <f>Cmoyen!M44</f>
        <v>2119.38650289017</v>
      </c>
      <c r="U108" s="215">
        <f>Cmoyen!N44</f>
        <v>834.395241502683</v>
      </c>
      <c r="V108" s="215">
        <f>Cmoyen!X67</f>
        <v>486.013898305085</v>
      </c>
      <c r="W108" s="215">
        <f>Cmoyen!Y67</f>
        <v>812.843786982248</v>
      </c>
      <c r="X108" s="215">
        <f>Cmoyen!Z67</f>
        <v>1088.0962816716</v>
      </c>
      <c r="Y108" s="215">
        <f>Cmoyen!AA67</f>
        <v>1573.30175489068</v>
      </c>
      <c r="Z108" s="216">
        <f>Cmoyen!AB67</f>
        <v>3312.01489410157</v>
      </c>
      <c r="AA108" s="147"/>
      <c r="AB108" s="147"/>
      <c r="AC108" s="147"/>
    </row>
    <row r="109" spans="1:29">
      <c r="A109" s="166" t="s">
        <v>126</v>
      </c>
      <c r="B109" s="166">
        <v>-215.3204</v>
      </c>
      <c r="C109" s="147">
        <v>-84.74997</v>
      </c>
      <c r="D109" s="147">
        <v>6.757618</v>
      </c>
      <c r="E109" s="147">
        <v>-11.74637</v>
      </c>
      <c r="F109" s="147">
        <v>-85.20443</v>
      </c>
      <c r="G109" s="147">
        <v>-49.36636</v>
      </c>
      <c r="H109" s="220">
        <v>-165.3639</v>
      </c>
      <c r="J109" s="258" t="s">
        <v>126</v>
      </c>
      <c r="K109" s="215">
        <v>229.753913400423</v>
      </c>
      <c r="L109" s="215">
        <v>130.88532848221</v>
      </c>
      <c r="M109" s="215">
        <v>-49.1484093169241</v>
      </c>
      <c r="N109" s="215">
        <v>-27.4342486107964</v>
      </c>
      <c r="O109" s="215">
        <v>-146.78942459983</v>
      </c>
      <c r="P109" s="215">
        <v>15.6439267575877</v>
      </c>
      <c r="Q109" s="216">
        <v>591.583640962996</v>
      </c>
      <c r="S109" s="258" t="s">
        <v>126</v>
      </c>
      <c r="T109" s="215">
        <f>Cmoyen!M45</f>
        <v>484.801936416185</v>
      </c>
      <c r="U109" s="215">
        <f>Cmoyen!N45</f>
        <v>140.304203935599</v>
      </c>
      <c r="V109" s="215">
        <f>Cmoyen!X68</f>
        <v>67.9031779661017</v>
      </c>
      <c r="W109" s="215">
        <f>Cmoyen!Y68</f>
        <v>107.99149408284</v>
      </c>
      <c r="X109" s="215">
        <f>Cmoyen!Z68</f>
        <v>176.66929911155</v>
      </c>
      <c r="Y109" s="215">
        <f>Cmoyen!AA68</f>
        <v>312.2166283084</v>
      </c>
      <c r="Z109" s="216">
        <f>Cmoyen!AB68</f>
        <v>852.225256205876</v>
      </c>
      <c r="AA109" s="147"/>
      <c r="AB109" s="147"/>
      <c r="AC109" s="147"/>
    </row>
    <row r="110" spans="1:29">
      <c r="A110" s="166" t="s">
        <v>128</v>
      </c>
      <c r="B110" s="166">
        <v>-49.6385</v>
      </c>
      <c r="C110" s="147">
        <v>-40.63186</v>
      </c>
      <c r="D110" s="147">
        <v>-24.67373</v>
      </c>
      <c r="E110" s="147">
        <v>-53.77737</v>
      </c>
      <c r="F110" s="147">
        <v>-9.029986</v>
      </c>
      <c r="G110" s="147">
        <v>-52.16663</v>
      </c>
      <c r="H110" s="220">
        <v>-38.00296</v>
      </c>
      <c r="J110" s="258" t="s">
        <v>128</v>
      </c>
      <c r="K110" s="215">
        <v>395.435813400423</v>
      </c>
      <c r="L110" s="215">
        <v>175.00343848221</v>
      </c>
      <c r="M110" s="215">
        <v>-80.5797573169241</v>
      </c>
      <c r="N110" s="215">
        <v>-69.4652486107964</v>
      </c>
      <c r="O110" s="215">
        <v>-70.61498059983</v>
      </c>
      <c r="P110" s="215">
        <v>12.8436567575877</v>
      </c>
      <c r="Q110" s="216">
        <v>718.944580962996</v>
      </c>
      <c r="S110" s="258" t="s">
        <v>128</v>
      </c>
      <c r="T110" s="215">
        <f>Cmoyen!M46</f>
        <v>81.823429672447</v>
      </c>
      <c r="U110" s="215">
        <f>Cmoyen!N46</f>
        <v>97.6569051878354</v>
      </c>
      <c r="V110" s="215">
        <f>Cmoyen!X69</f>
        <v>23.4088983050847</v>
      </c>
      <c r="W110" s="215">
        <f>Cmoyen!Y69</f>
        <v>51.8664940828402</v>
      </c>
      <c r="X110" s="215">
        <f>Cmoyen!Z69</f>
        <v>60.2749917736097</v>
      </c>
      <c r="Y110" s="215">
        <f>Cmoyen!AA69</f>
        <v>86.9745684695052</v>
      </c>
      <c r="Z110" s="216">
        <f>Cmoyen!AB69</f>
        <v>162.659530858574</v>
      </c>
      <c r="AA110" s="147"/>
      <c r="AB110" s="147"/>
      <c r="AC110" s="147"/>
    </row>
    <row r="111" spans="1:29">
      <c r="A111" s="166" t="s">
        <v>130</v>
      </c>
      <c r="B111" s="166">
        <v>-246.5833</v>
      </c>
      <c r="C111" s="147">
        <v>-16.90911</v>
      </c>
      <c r="D111" s="147">
        <v>-8.940687</v>
      </c>
      <c r="E111" s="147">
        <v>0.7925242</v>
      </c>
      <c r="F111" s="147">
        <v>-26.50266</v>
      </c>
      <c r="G111" s="147">
        <v>-68.51256</v>
      </c>
      <c r="H111" s="220">
        <v>-332.6365</v>
      </c>
      <c r="J111" s="258" t="s">
        <v>130</v>
      </c>
      <c r="K111" s="215">
        <v>198.491013400423</v>
      </c>
      <c r="L111" s="215">
        <v>198.72618848221</v>
      </c>
      <c r="M111" s="215">
        <v>-64.8467143169241</v>
      </c>
      <c r="N111" s="215">
        <v>-14.8953544107964</v>
      </c>
      <c r="O111" s="215">
        <v>-88.08765459983</v>
      </c>
      <c r="P111" s="215">
        <v>-3.50227324241227</v>
      </c>
      <c r="Q111" s="216">
        <v>424.311040962996</v>
      </c>
      <c r="S111" s="258" t="s">
        <v>130</v>
      </c>
      <c r="T111" s="215">
        <f>Cmoyen!M47</f>
        <v>201.840366088632</v>
      </c>
      <c r="U111" s="215">
        <f>Cmoyen!N47</f>
        <v>37.1768157423971</v>
      </c>
      <c r="V111" s="215">
        <f>Cmoyen!X70</f>
        <v>12.1084745762712</v>
      </c>
      <c r="W111" s="215">
        <f>Cmoyen!Y70</f>
        <v>33.1176035502959</v>
      </c>
      <c r="X111" s="215">
        <f>Cmoyen!Z70</f>
        <v>58.0623889437315</v>
      </c>
      <c r="Y111" s="215">
        <f>Cmoyen!AA70</f>
        <v>97.3482738780207</v>
      </c>
      <c r="Z111" s="216">
        <f>Cmoyen!AB70</f>
        <v>380.314552493737</v>
      </c>
      <c r="AA111" s="147"/>
      <c r="AB111" s="147"/>
      <c r="AC111" s="147"/>
    </row>
    <row r="112" spans="1:29">
      <c r="A112" s="166" t="s">
        <v>132</v>
      </c>
      <c r="B112" s="166">
        <v>-2192.993</v>
      </c>
      <c r="C112" s="147">
        <v>-718.2699</v>
      </c>
      <c r="D112" s="147">
        <v>-23.96227</v>
      </c>
      <c r="E112" s="147">
        <v>-72.80726</v>
      </c>
      <c r="F112" s="147">
        <v>-204.1072</v>
      </c>
      <c r="G112" s="147">
        <v>-260.8926</v>
      </c>
      <c r="H112" s="220">
        <v>-3353.485</v>
      </c>
      <c r="J112" s="258" t="s">
        <v>132</v>
      </c>
      <c r="K112" s="215">
        <v>-1747.91868659958</v>
      </c>
      <c r="L112" s="215">
        <v>-502.63460151779</v>
      </c>
      <c r="M112" s="215">
        <v>-79.8682973169241</v>
      </c>
      <c r="N112" s="215">
        <v>-88.4951386107964</v>
      </c>
      <c r="O112" s="215">
        <v>-265.69219459983</v>
      </c>
      <c r="P112" s="215">
        <v>-195.882313242412</v>
      </c>
      <c r="Q112" s="216">
        <v>-2596.537459037</v>
      </c>
      <c r="S112" s="258" t="s">
        <v>132</v>
      </c>
      <c r="T112" s="215">
        <f>Cmoyen!M48</f>
        <v>1104.60536608863</v>
      </c>
      <c r="U112" s="215">
        <f>Cmoyen!N48</f>
        <v>325.536493738819</v>
      </c>
      <c r="V112" s="215">
        <f>Cmoyen!X71</f>
        <v>51.6097457627119</v>
      </c>
      <c r="W112" s="215">
        <f>Cmoyen!Y71</f>
        <v>143.70525147929</v>
      </c>
      <c r="X112" s="215">
        <f>Cmoyen!Z71</f>
        <v>228.771240539651</v>
      </c>
      <c r="Y112" s="215">
        <f>Cmoyen!AA71</f>
        <v>458.078538550058</v>
      </c>
      <c r="Z112" s="216">
        <f>Cmoyen!AB71</f>
        <v>2388.44406741061</v>
      </c>
      <c r="AA112" s="147"/>
      <c r="AB112" s="147"/>
      <c r="AC112" s="147"/>
    </row>
    <row r="113" spans="1:29">
      <c r="A113" s="166" t="s">
        <v>134</v>
      </c>
      <c r="B113" s="166">
        <v>-2683.608</v>
      </c>
      <c r="C113" s="147">
        <v>-68.92798</v>
      </c>
      <c r="D113" s="147">
        <v>-71.28866</v>
      </c>
      <c r="E113" s="147">
        <v>-76.14363</v>
      </c>
      <c r="F113" s="147">
        <v>-672.052</v>
      </c>
      <c r="G113" s="147">
        <v>-1242.268</v>
      </c>
      <c r="H113" s="220">
        <v>-4441.181</v>
      </c>
      <c r="J113" s="258" t="s">
        <v>134</v>
      </c>
      <c r="K113" s="215">
        <v>-2238.53368659958</v>
      </c>
      <c r="L113" s="215">
        <v>146.70731848221</v>
      </c>
      <c r="M113" s="215">
        <v>-127.194687316924</v>
      </c>
      <c r="N113" s="215">
        <v>-91.8315086107964</v>
      </c>
      <c r="O113" s="215">
        <v>-733.63699459983</v>
      </c>
      <c r="P113" s="215">
        <v>-1177.25771324241</v>
      </c>
      <c r="Q113" s="216">
        <v>-3684.233459037</v>
      </c>
      <c r="S113" s="258" t="s">
        <v>134</v>
      </c>
      <c r="T113" s="215">
        <f>Cmoyen!M49</f>
        <v>3331.19300578035</v>
      </c>
      <c r="U113" s="215">
        <f>Cmoyen!N49</f>
        <v>887.773106738223</v>
      </c>
      <c r="V113" s="215">
        <f>Cmoyen!X72</f>
        <v>820.865572033898</v>
      </c>
      <c r="W113" s="215">
        <f>Cmoyen!Y72</f>
        <v>1083.4826183432</v>
      </c>
      <c r="X113" s="215">
        <f>Cmoyen!Z72</f>
        <v>1450.67357683449</v>
      </c>
      <c r="Y113" s="215">
        <f>Cmoyen!AA72</f>
        <v>1972.58119485999</v>
      </c>
      <c r="Z113" s="216">
        <f>Cmoyen!AB72</f>
        <v>5330.9419456464</v>
      </c>
      <c r="AA113" s="147"/>
      <c r="AB113" s="147"/>
      <c r="AC113" s="147"/>
    </row>
    <row r="114" spans="1:29">
      <c r="A114" s="166" t="s">
        <v>136</v>
      </c>
      <c r="B114" s="166">
        <v>-15.00921</v>
      </c>
      <c r="C114" s="147">
        <v>2.600756</v>
      </c>
      <c r="D114" s="147">
        <v>6.647721</v>
      </c>
      <c r="E114" s="147">
        <v>-3.065566</v>
      </c>
      <c r="F114" s="147">
        <v>-3.819966</v>
      </c>
      <c r="G114" s="147">
        <v>-78.49381</v>
      </c>
      <c r="H114" s="220">
        <v>-31.05188</v>
      </c>
      <c r="J114" s="258" t="s">
        <v>136</v>
      </c>
      <c r="K114" s="215">
        <v>430.065103400423</v>
      </c>
      <c r="L114" s="215">
        <v>218.23605448221</v>
      </c>
      <c r="M114" s="215">
        <v>-49.2583063169241</v>
      </c>
      <c r="N114" s="215">
        <v>-18.7534446107964</v>
      </c>
      <c r="O114" s="215">
        <v>-65.40496059983</v>
      </c>
      <c r="P114" s="215">
        <v>-13.4835232424123</v>
      </c>
      <c r="Q114" s="216">
        <v>725.895660962996</v>
      </c>
      <c r="S114" s="258" t="s">
        <v>136</v>
      </c>
      <c r="T114" s="215">
        <f>Cmoyen!M50</f>
        <v>170.817654142582</v>
      </c>
      <c r="U114" s="215">
        <f>Cmoyen!N50</f>
        <v>22.9999105545617</v>
      </c>
      <c r="V114" s="215">
        <f>Cmoyen!X73</f>
        <v>40.0166666666667</v>
      </c>
      <c r="W114" s="215">
        <f>Cmoyen!Y73</f>
        <v>45.7072855029586</v>
      </c>
      <c r="X114" s="215">
        <f>Cmoyen!Z73</f>
        <v>66.1351321706702</v>
      </c>
      <c r="Y114" s="215">
        <f>Cmoyen!AA73</f>
        <v>132.685030686613</v>
      </c>
      <c r="Z114" s="216">
        <f>Cmoyen!AB73</f>
        <v>232.618329158126</v>
      </c>
      <c r="AA114" s="147"/>
      <c r="AB114" s="147"/>
      <c r="AC114" s="147"/>
    </row>
    <row r="115" spans="1:29">
      <c r="A115" s="166" t="s">
        <v>203</v>
      </c>
      <c r="B115" s="166">
        <v>-241.7971</v>
      </c>
      <c r="C115" s="147">
        <v>-2.231824</v>
      </c>
      <c r="D115" s="147">
        <v>-16.84152</v>
      </c>
      <c r="E115" s="147">
        <v>-5.14292</v>
      </c>
      <c r="F115" s="147">
        <v>-12.17755</v>
      </c>
      <c r="G115" s="147">
        <v>-26.31478</v>
      </c>
      <c r="H115" s="220">
        <v>-363.4522</v>
      </c>
      <c r="J115" s="258" t="s">
        <v>203</v>
      </c>
      <c r="K115" s="215">
        <v>203.277213400423</v>
      </c>
      <c r="L115" s="215">
        <v>213.40347448221</v>
      </c>
      <c r="M115" s="215">
        <v>-72.7475473169241</v>
      </c>
      <c r="N115" s="215">
        <v>-20.8307986107964</v>
      </c>
      <c r="O115" s="215">
        <v>-73.76254459983</v>
      </c>
      <c r="P115" s="215">
        <v>38.6955067575877</v>
      </c>
      <c r="Q115" s="216">
        <v>393.495340962996</v>
      </c>
      <c r="S115" s="258" t="s">
        <v>203</v>
      </c>
      <c r="T115" s="215">
        <f>Cmoyen!M51</f>
        <v>139.3704238921</v>
      </c>
      <c r="U115" s="215">
        <f>Cmoyen!N51</f>
        <v>4.77728085867621</v>
      </c>
      <c r="V115" s="215">
        <f>Cmoyen!X74</f>
        <v>6.25805084745763</v>
      </c>
      <c r="W115" s="215">
        <f>Cmoyen!Y74</f>
        <v>7.45192307692308</v>
      </c>
      <c r="X115" s="215">
        <f>Cmoyen!Z74</f>
        <v>21.6485686080948</v>
      </c>
      <c r="Y115" s="215">
        <f>Cmoyen!AA74</f>
        <v>55.7422324510932</v>
      </c>
      <c r="Z115" s="216">
        <f>Cmoyen!AB74</f>
        <v>268.481211569119</v>
      </c>
      <c r="AA115" s="147"/>
      <c r="AB115" s="147"/>
      <c r="AC115" s="147"/>
    </row>
    <row r="116" spans="1:29">
      <c r="A116" s="166" t="s">
        <v>137</v>
      </c>
      <c r="B116" s="166">
        <v>-227.8862</v>
      </c>
      <c r="C116" s="147">
        <v>-73.9127</v>
      </c>
      <c r="D116" s="147">
        <v>-1.289447</v>
      </c>
      <c r="E116" s="147">
        <v>-3.494332</v>
      </c>
      <c r="F116" s="147">
        <v>-55.40936</v>
      </c>
      <c r="G116" s="147">
        <v>-32.58575</v>
      </c>
      <c r="H116" s="220">
        <v>-321.9904</v>
      </c>
      <c r="J116" s="258" t="s">
        <v>137</v>
      </c>
      <c r="K116" s="215">
        <v>217.188113400423</v>
      </c>
      <c r="L116" s="215">
        <v>141.72259848221</v>
      </c>
      <c r="M116" s="215">
        <v>-57.1954743169241</v>
      </c>
      <c r="N116" s="215">
        <v>-19.1822106107964</v>
      </c>
      <c r="O116" s="215">
        <v>-116.99435459983</v>
      </c>
      <c r="P116" s="215">
        <v>32.4245367575877</v>
      </c>
      <c r="Q116" s="216">
        <v>434.957140962996</v>
      </c>
      <c r="S116" s="258" t="s">
        <v>137</v>
      </c>
      <c r="T116" s="215">
        <f>Cmoyen!M52</f>
        <v>109.111705202312</v>
      </c>
      <c r="U116" s="215">
        <f>Cmoyen!N52</f>
        <v>50.5503577817531</v>
      </c>
      <c r="V116" s="215">
        <f>Cmoyen!X75</f>
        <v>2.97309322033898</v>
      </c>
      <c r="W116" s="215">
        <f>Cmoyen!Y75</f>
        <v>6.47855029585799</v>
      </c>
      <c r="X116" s="215">
        <f>Cmoyen!Z75</f>
        <v>28.5360315893386</v>
      </c>
      <c r="Y116" s="215">
        <f>Cmoyen!AA75</f>
        <v>57.1349252013809</v>
      </c>
      <c r="Z116" s="216">
        <f>Cmoyen!AB75</f>
        <v>251.71931222956</v>
      </c>
      <c r="AA116" s="147"/>
      <c r="AB116" s="147"/>
      <c r="AC116" s="147"/>
    </row>
    <row r="117" spans="1:29">
      <c r="A117" s="166" t="s">
        <v>138</v>
      </c>
      <c r="B117" s="166">
        <v>-36.90321</v>
      </c>
      <c r="C117" s="147">
        <v>-0.9005067</v>
      </c>
      <c r="D117" s="147">
        <v>2.775936</v>
      </c>
      <c r="E117" s="147">
        <v>-50.46018</v>
      </c>
      <c r="F117" s="147">
        <v>4.881265</v>
      </c>
      <c r="G117" s="147">
        <v>-6.19235</v>
      </c>
      <c r="H117" s="220">
        <v>-52.21053</v>
      </c>
      <c r="J117" s="258" t="s">
        <v>138</v>
      </c>
      <c r="K117" s="215">
        <v>408.171103400423</v>
      </c>
      <c r="L117" s="215">
        <v>214.73479178221</v>
      </c>
      <c r="M117" s="215">
        <v>-53.1300913169241</v>
      </c>
      <c r="N117" s="215">
        <v>-66.1480586107965</v>
      </c>
      <c r="O117" s="215">
        <v>-56.70372959983</v>
      </c>
      <c r="P117" s="215">
        <v>58.8179367575877</v>
      </c>
      <c r="Q117" s="216">
        <v>704.737010962996</v>
      </c>
      <c r="S117" s="258" t="s">
        <v>138</v>
      </c>
      <c r="T117" s="215">
        <f>Cmoyen!M53</f>
        <v>21.6290173410405</v>
      </c>
      <c r="U117" s="215">
        <f>Cmoyen!N53</f>
        <v>7.35187835420394</v>
      </c>
      <c r="V117" s="215">
        <f>Cmoyen!X76</f>
        <v>1.14661016949153</v>
      </c>
      <c r="W117" s="215">
        <f>Cmoyen!Y76</f>
        <v>10.5081360946746</v>
      </c>
      <c r="X117" s="215">
        <f>Cmoyen!Z76</f>
        <v>6.7502467917078</v>
      </c>
      <c r="Y117" s="215">
        <f>Cmoyen!AA76</f>
        <v>6.60414269275029</v>
      </c>
      <c r="Z117" s="216">
        <f>Cmoyen!AB76</f>
        <v>43.5017535868823</v>
      </c>
      <c r="AA117" s="147"/>
      <c r="AB117" s="147"/>
      <c r="AC117" s="147"/>
    </row>
    <row r="118" spans="1:29">
      <c r="A118" s="166" t="s">
        <v>139</v>
      </c>
      <c r="B118" s="166">
        <v>-75.05555</v>
      </c>
      <c r="C118" s="147">
        <v>-28.83664</v>
      </c>
      <c r="D118" s="147">
        <v>-3.71767</v>
      </c>
      <c r="E118" s="147">
        <v>-2.413106</v>
      </c>
      <c r="F118" s="147">
        <v>-17.02262</v>
      </c>
      <c r="G118" s="147">
        <v>-23.07733</v>
      </c>
      <c r="H118" s="220">
        <v>-109.6337</v>
      </c>
      <c r="J118" s="258" t="s">
        <v>139</v>
      </c>
      <c r="K118" s="215">
        <v>370.018763400423</v>
      </c>
      <c r="L118" s="215">
        <v>186.79865848221</v>
      </c>
      <c r="M118" s="215">
        <v>-59.6236973169241</v>
      </c>
      <c r="N118" s="215">
        <v>-18.1009846107964</v>
      </c>
      <c r="O118" s="215">
        <v>-78.60761459983</v>
      </c>
      <c r="P118" s="215">
        <v>41.9329567575877</v>
      </c>
      <c r="Q118" s="216">
        <v>647.313840962996</v>
      </c>
      <c r="S118" s="258" t="s">
        <v>139</v>
      </c>
      <c r="T118" s="215">
        <f>Cmoyen!M54</f>
        <v>60.2682080924856</v>
      </c>
      <c r="U118" s="215">
        <f>Cmoyen!N54</f>
        <v>21.6085867620751</v>
      </c>
      <c r="V118" s="215">
        <f>Cmoyen!X77</f>
        <v>4.3271186440678</v>
      </c>
      <c r="W118" s="215">
        <f>Cmoyen!Y77</f>
        <v>9.11760355029586</v>
      </c>
      <c r="X118" s="215">
        <f>Cmoyen!Z77</f>
        <v>23.0148075024679</v>
      </c>
      <c r="Y118" s="215">
        <f>Cmoyen!AA77</f>
        <v>39.3296892980437</v>
      </c>
      <c r="Z118" s="216">
        <f>Cmoyen!AB77</f>
        <v>114.975631974493</v>
      </c>
      <c r="AA118" s="147"/>
      <c r="AB118" s="147"/>
      <c r="AC118" s="147"/>
    </row>
    <row r="119" spans="1:29">
      <c r="A119" s="166" t="s">
        <v>140</v>
      </c>
      <c r="B119" s="166">
        <v>-18.22359</v>
      </c>
      <c r="C119" s="147">
        <v>0.8489951</v>
      </c>
      <c r="D119" s="147">
        <v>-0.0584485</v>
      </c>
      <c r="E119" s="147">
        <v>2.832916</v>
      </c>
      <c r="F119" s="147">
        <v>-2.987456</v>
      </c>
      <c r="G119" s="147">
        <v>4.86674</v>
      </c>
      <c r="H119" s="220">
        <v>-27.77445</v>
      </c>
      <c r="J119" s="258" t="s">
        <v>140</v>
      </c>
      <c r="K119" s="215">
        <v>426.850723400423</v>
      </c>
      <c r="L119" s="215">
        <v>216.48429358221</v>
      </c>
      <c r="M119" s="215">
        <v>-55.9644758169241</v>
      </c>
      <c r="N119" s="215">
        <v>-12.8549626107964</v>
      </c>
      <c r="O119" s="215">
        <v>-64.57245059983</v>
      </c>
      <c r="P119" s="215">
        <v>69.8770267575877</v>
      </c>
      <c r="Q119" s="216">
        <v>729.173090962996</v>
      </c>
      <c r="S119" s="258" t="s">
        <v>140</v>
      </c>
      <c r="T119" s="215">
        <f>Cmoyen!M55</f>
        <v>18.6609826589595</v>
      </c>
      <c r="U119" s="215">
        <f>Cmoyen!N55</f>
        <v>10.2128801431127</v>
      </c>
      <c r="V119" s="215">
        <f>Cmoyen!X78</f>
        <v>4.83533898305085</v>
      </c>
      <c r="W119" s="215">
        <f>Cmoyen!Y78</f>
        <v>7.68417159763314</v>
      </c>
      <c r="X119" s="215">
        <f>Cmoyen!Z78</f>
        <v>8.7502467917078</v>
      </c>
      <c r="Y119" s="215">
        <f>Cmoyen!AA78</f>
        <v>13.2189873417722</v>
      </c>
      <c r="Z119" s="216">
        <f>Cmoyen!AB78</f>
        <v>33.2635846048736</v>
      </c>
      <c r="AA119" s="147"/>
      <c r="AB119" s="147"/>
      <c r="AC119" s="147"/>
    </row>
    <row r="120" spans="1:29">
      <c r="A120" s="166" t="s">
        <v>141</v>
      </c>
      <c r="B120" s="166">
        <v>-1776.363</v>
      </c>
      <c r="C120" s="147">
        <v>-1624.729</v>
      </c>
      <c r="D120" s="147">
        <v>-363.5204</v>
      </c>
      <c r="E120" s="147">
        <v>-757.7508</v>
      </c>
      <c r="F120" s="147">
        <v>-1320.776</v>
      </c>
      <c r="G120" s="147">
        <v>-1627.594</v>
      </c>
      <c r="H120" s="220">
        <v>-1775.694</v>
      </c>
      <c r="J120" s="258" t="s">
        <v>141</v>
      </c>
      <c r="K120" s="215">
        <v>-1331.28868659958</v>
      </c>
      <c r="L120" s="215">
        <v>-1409.09370151779</v>
      </c>
      <c r="M120" s="215">
        <v>-419.426427316924</v>
      </c>
      <c r="N120" s="215">
        <v>-773.438678610796</v>
      </c>
      <c r="O120" s="215">
        <v>-1382.36099459983</v>
      </c>
      <c r="P120" s="215">
        <v>-1562.58371324241</v>
      </c>
      <c r="Q120" s="216">
        <v>-1018.746459037</v>
      </c>
      <c r="S120" s="258" t="s">
        <v>141</v>
      </c>
      <c r="T120" s="215">
        <f>Cmoyen!M56</f>
        <v>1994.96454720617</v>
      </c>
      <c r="U120" s="215">
        <f>Cmoyen!N56</f>
        <v>1402.40474060823</v>
      </c>
      <c r="V120" s="215">
        <f>Cmoyen!X79</f>
        <v>348.324788135593</v>
      </c>
      <c r="W120" s="215">
        <f>Cmoyen!Y79</f>
        <v>627.614275147929</v>
      </c>
      <c r="X120" s="215">
        <f>Cmoyen!Z79</f>
        <v>916.639190523198</v>
      </c>
      <c r="Y120" s="215">
        <f>Cmoyen!AA79</f>
        <v>1479.14859033372</v>
      </c>
      <c r="Z120" s="216">
        <f>Cmoyen!AB79</f>
        <v>4122.26645411068</v>
      </c>
      <c r="AA120" s="147"/>
      <c r="AB120" s="147"/>
      <c r="AC120" s="147"/>
    </row>
    <row r="121" spans="1:29">
      <c r="A121" s="166" t="s">
        <v>142</v>
      </c>
      <c r="B121" s="166">
        <v>8.332975</v>
      </c>
      <c r="C121" s="147">
        <v>-126.4731</v>
      </c>
      <c r="D121" s="147">
        <v>-13.33763</v>
      </c>
      <c r="E121" s="147">
        <v>9.297207</v>
      </c>
      <c r="F121" s="147">
        <v>-50.24973</v>
      </c>
      <c r="G121" s="147">
        <v>-86.06144</v>
      </c>
      <c r="H121" s="220">
        <v>77.7459</v>
      </c>
      <c r="J121" s="258" t="s">
        <v>142</v>
      </c>
      <c r="K121" s="215">
        <v>453.407288400423</v>
      </c>
      <c r="L121" s="215">
        <v>89.1621984822096</v>
      </c>
      <c r="M121" s="215">
        <v>-69.2436573169241</v>
      </c>
      <c r="N121" s="215">
        <v>-6.39067161079643</v>
      </c>
      <c r="O121" s="215">
        <v>-111.83472459983</v>
      </c>
      <c r="P121" s="215">
        <v>-21.0511532424123</v>
      </c>
      <c r="Q121" s="216">
        <v>834.693440962996</v>
      </c>
      <c r="S121" s="258" t="s">
        <v>142</v>
      </c>
      <c r="T121" s="215">
        <f>Cmoyen!M57</f>
        <v>39.9446050096339</v>
      </c>
      <c r="U121" s="215">
        <f>Cmoyen!N57</f>
        <v>88.0785330948122</v>
      </c>
      <c r="V121" s="215">
        <f>Cmoyen!X80</f>
        <v>10.5885593220339</v>
      </c>
      <c r="W121" s="215">
        <f>Cmoyen!Y80</f>
        <v>19.2603550295858</v>
      </c>
      <c r="X121" s="215">
        <f>Cmoyen!Z80</f>
        <v>38.4567291872326</v>
      </c>
      <c r="Y121" s="215">
        <f>Cmoyen!AA80</f>
        <v>58.5155350978136</v>
      </c>
      <c r="Z121" s="216">
        <f>Cmoyen!AB80</f>
        <v>116.065816442724</v>
      </c>
      <c r="AA121" s="147"/>
      <c r="AB121" s="147"/>
      <c r="AC121" s="147"/>
    </row>
    <row r="122" spans="1:29">
      <c r="A122" s="166" t="s">
        <v>143</v>
      </c>
      <c r="B122" s="166">
        <v>-1116.899</v>
      </c>
      <c r="C122" s="147">
        <v>-443.2371</v>
      </c>
      <c r="D122" s="147">
        <v>-176.6864</v>
      </c>
      <c r="E122" s="147">
        <v>-281.6928</v>
      </c>
      <c r="F122" s="147">
        <v>-536.2612</v>
      </c>
      <c r="G122" s="147">
        <v>-627.7807</v>
      </c>
      <c r="H122" s="220">
        <v>-840.9825</v>
      </c>
      <c r="J122" s="258" t="s">
        <v>143</v>
      </c>
      <c r="K122" s="215">
        <v>-671.824686599577</v>
      </c>
      <c r="L122" s="215">
        <v>-227.60180151779</v>
      </c>
      <c r="M122" s="215">
        <v>-232.592427316924</v>
      </c>
      <c r="N122" s="215">
        <v>-297.380678610796</v>
      </c>
      <c r="O122" s="215">
        <v>-597.84619459983</v>
      </c>
      <c r="P122" s="215">
        <v>-562.770413242412</v>
      </c>
      <c r="Q122" s="216">
        <v>-84.0349590370039</v>
      </c>
      <c r="S122" s="258" t="s">
        <v>143</v>
      </c>
      <c r="T122" s="215">
        <f>Cmoyen!M58</f>
        <v>2157.22675337187</v>
      </c>
      <c r="U122" s="215">
        <f>Cmoyen!N58</f>
        <v>556.848407871199</v>
      </c>
      <c r="V122" s="215">
        <f>Cmoyen!X81</f>
        <v>219.130042372881</v>
      </c>
      <c r="W122" s="215">
        <f>Cmoyen!Y81</f>
        <v>431.994933431953</v>
      </c>
      <c r="X122" s="215">
        <f>Cmoyen!Z81</f>
        <v>788.854063836788</v>
      </c>
      <c r="Y122" s="215">
        <f>Cmoyen!AA81</f>
        <v>1283.38150172612</v>
      </c>
      <c r="Z122" s="216">
        <f>Cmoyen!AB81</f>
        <v>3862.71316328854</v>
      </c>
      <c r="AA122" s="147"/>
      <c r="AB122" s="147"/>
      <c r="AC122" s="147"/>
    </row>
    <row r="123" spans="1:29">
      <c r="A123" s="166" t="s">
        <v>144</v>
      </c>
      <c r="B123" s="166">
        <v>4.066209</v>
      </c>
      <c r="C123" s="147">
        <v>-19.0932</v>
      </c>
      <c r="D123" s="147">
        <v>-2.368949</v>
      </c>
      <c r="E123" s="147">
        <v>-9.78211</v>
      </c>
      <c r="F123" s="147">
        <v>-19.66207</v>
      </c>
      <c r="G123" s="147">
        <v>-116.6703</v>
      </c>
      <c r="H123" s="220">
        <v>22.22868</v>
      </c>
      <c r="J123" s="258" t="s">
        <v>144</v>
      </c>
      <c r="K123" s="215">
        <v>449.140522400423</v>
      </c>
      <c r="L123" s="215">
        <v>196.54209848221</v>
      </c>
      <c r="M123" s="215">
        <v>-58.2749763169241</v>
      </c>
      <c r="N123" s="215">
        <v>-25.4699886107964</v>
      </c>
      <c r="O123" s="215">
        <v>-81.24706459983</v>
      </c>
      <c r="P123" s="215">
        <v>-51.6600132424123</v>
      </c>
      <c r="Q123" s="216">
        <v>779.176220962996</v>
      </c>
      <c r="S123" s="258" t="s">
        <v>144</v>
      </c>
      <c r="T123" s="215">
        <f>Cmoyen!M59</f>
        <v>49.4146242774566</v>
      </c>
      <c r="U123" s="215">
        <f>Cmoyen!N59</f>
        <v>13.9212880143113</v>
      </c>
      <c r="V123" s="215">
        <f>Cmoyen!X82</f>
        <v>5.89576271186441</v>
      </c>
      <c r="W123" s="215">
        <f>Cmoyen!Y82</f>
        <v>8.08801775147929</v>
      </c>
      <c r="X123" s="215">
        <f>Cmoyen!Z82</f>
        <v>15.9380717341231</v>
      </c>
      <c r="Y123" s="215">
        <f>Cmoyen!AA82</f>
        <v>61.157997698504</v>
      </c>
      <c r="Z123" s="216">
        <f>Cmoyen!AB82</f>
        <v>66.9411979048053</v>
      </c>
      <c r="AA123" s="147"/>
      <c r="AB123" s="147"/>
      <c r="AC123" s="147"/>
    </row>
    <row r="124" spans="1:29">
      <c r="A124" s="166" t="s">
        <v>145</v>
      </c>
      <c r="B124" s="166">
        <v>812.9754</v>
      </c>
      <c r="C124" s="147">
        <v>-5.26827</v>
      </c>
      <c r="D124" s="147">
        <v>-115.7745</v>
      </c>
      <c r="E124" s="147">
        <v>-69.77495</v>
      </c>
      <c r="F124" s="147">
        <v>-92.71086</v>
      </c>
      <c r="G124" s="147">
        <v>228.311</v>
      </c>
      <c r="H124" s="220">
        <v>784.2124</v>
      </c>
      <c r="J124" s="258" t="s">
        <v>145</v>
      </c>
      <c r="K124" s="215">
        <v>1258.04971340042</v>
      </c>
      <c r="L124" s="215">
        <v>210.36702848221</v>
      </c>
      <c r="M124" s="215">
        <v>-171.680527316924</v>
      </c>
      <c r="N124" s="215">
        <v>-85.4628286107964</v>
      </c>
      <c r="O124" s="215">
        <v>-154.29585459983</v>
      </c>
      <c r="P124" s="215">
        <v>293.321286757588</v>
      </c>
      <c r="Q124" s="216">
        <v>1541.159940963</v>
      </c>
      <c r="S124" s="258" t="s">
        <v>145</v>
      </c>
      <c r="T124" s="215">
        <f>Cmoyen!M60</f>
        <v>1106.28793834297</v>
      </c>
      <c r="U124" s="215">
        <f>Cmoyen!N60</f>
        <v>1047.33023255814</v>
      </c>
      <c r="V124" s="215">
        <f>Cmoyen!X83</f>
        <v>586.753898305085</v>
      </c>
      <c r="W124" s="215">
        <f>Cmoyen!Y83</f>
        <v>960.265384615385</v>
      </c>
      <c r="X124" s="215">
        <f>Cmoyen!Z83</f>
        <v>1212.71905231984</v>
      </c>
      <c r="Y124" s="215">
        <f>Cmoyen!AA83</f>
        <v>1223.0830840046</v>
      </c>
      <c r="Z124" s="216">
        <f>Cmoyen!AB83</f>
        <v>1234.26508767934</v>
      </c>
      <c r="AA124" s="147"/>
      <c r="AB124" s="147"/>
      <c r="AC124" s="147"/>
    </row>
    <row r="125" spans="1:29">
      <c r="A125" s="166" t="s">
        <v>146</v>
      </c>
      <c r="B125" s="166">
        <v>-940.0539</v>
      </c>
      <c r="C125" s="147">
        <v>-316.4359</v>
      </c>
      <c r="D125" s="147">
        <v>-73.25174</v>
      </c>
      <c r="E125" s="147">
        <v>-68.13537</v>
      </c>
      <c r="F125" s="147">
        <v>-173.9422</v>
      </c>
      <c r="G125" s="147">
        <v>-357.2017</v>
      </c>
      <c r="H125" s="220">
        <v>-1137.872</v>
      </c>
      <c r="J125" s="258" t="s">
        <v>146</v>
      </c>
      <c r="K125" s="215">
        <v>-494.979586599577</v>
      </c>
      <c r="L125" s="215">
        <v>-100.80060151779</v>
      </c>
      <c r="M125" s="215">
        <v>-129.157767316924</v>
      </c>
      <c r="N125" s="215">
        <v>-83.8232486107964</v>
      </c>
      <c r="O125" s="215">
        <v>-235.52719459983</v>
      </c>
      <c r="P125" s="215">
        <v>-292.191413242412</v>
      </c>
      <c r="Q125" s="216">
        <v>-380.924459037004</v>
      </c>
      <c r="S125" s="258" t="s">
        <v>146</v>
      </c>
      <c r="T125" s="215">
        <f>Cmoyen!M61</f>
        <v>1202.87697495183</v>
      </c>
      <c r="U125" s="215">
        <f>Cmoyen!N61</f>
        <v>169.632245080501</v>
      </c>
      <c r="V125" s="215">
        <f>Cmoyen!X84</f>
        <v>86.9256355932203</v>
      </c>
      <c r="W125" s="215">
        <f>Cmoyen!Y84</f>
        <v>183.981323964497</v>
      </c>
      <c r="X125" s="215">
        <f>Cmoyen!Z84</f>
        <v>311.28134254689</v>
      </c>
      <c r="Y125" s="215">
        <f>Cmoyen!AA84</f>
        <v>659.116225546605</v>
      </c>
      <c r="Z125" s="216">
        <f>Cmoyen!AB84</f>
        <v>2162.24214301981</v>
      </c>
      <c r="AA125" s="147"/>
      <c r="AB125" s="147"/>
      <c r="AC125" s="147"/>
    </row>
    <row r="126" spans="1:29">
      <c r="A126" s="166" t="s">
        <v>147</v>
      </c>
      <c r="B126" s="166">
        <v>-2342.009</v>
      </c>
      <c r="C126" s="147">
        <v>-502.789</v>
      </c>
      <c r="D126" s="147">
        <v>-115.7502</v>
      </c>
      <c r="E126" s="147">
        <v>-195.0509</v>
      </c>
      <c r="F126" s="147">
        <v>-152.7548</v>
      </c>
      <c r="G126" s="147">
        <v>76.97089</v>
      </c>
      <c r="H126" s="220">
        <v>-3045.816</v>
      </c>
      <c r="J126" s="258" t="s">
        <v>147</v>
      </c>
      <c r="K126" s="215">
        <v>-1896.93468659958</v>
      </c>
      <c r="L126" s="215">
        <v>-287.15370151779</v>
      </c>
      <c r="M126" s="215">
        <v>-171.656227316924</v>
      </c>
      <c r="N126" s="215">
        <v>-210.738778610796</v>
      </c>
      <c r="O126" s="215">
        <v>-214.33979459983</v>
      </c>
      <c r="P126" s="215">
        <v>141.981176757588</v>
      </c>
      <c r="Q126" s="216">
        <v>-2288.868459037</v>
      </c>
      <c r="S126" s="258" t="s">
        <v>147</v>
      </c>
      <c r="T126" s="215">
        <f>Cmoyen!M62</f>
        <v>1666.69441233141</v>
      </c>
      <c r="U126" s="215">
        <f>Cmoyen!N62</f>
        <v>818.521252236136</v>
      </c>
      <c r="V126" s="215">
        <f>Cmoyen!X85</f>
        <v>263.713389830508</v>
      </c>
      <c r="W126" s="215">
        <f>Cmoyen!Y85</f>
        <v>432.709097633136</v>
      </c>
      <c r="X126" s="215">
        <f>Cmoyen!Z85</f>
        <v>508.49779532741</v>
      </c>
      <c r="Y126" s="215">
        <f>Cmoyen!AA85</f>
        <v>851.839758342923</v>
      </c>
      <c r="Z126" s="216">
        <f>Cmoyen!AB85</f>
        <v>3547.5046686404</v>
      </c>
      <c r="AA126" s="147"/>
      <c r="AB126" s="147"/>
      <c r="AC126" s="147"/>
    </row>
    <row r="127" spans="1:29">
      <c r="A127" s="166" t="s">
        <v>148</v>
      </c>
      <c r="B127" s="166">
        <v>-102.1371</v>
      </c>
      <c r="C127" s="147">
        <v>-87.62629</v>
      </c>
      <c r="D127" s="147">
        <v>-32.85233</v>
      </c>
      <c r="E127" s="147">
        <v>-112.6732</v>
      </c>
      <c r="F127" s="147">
        <v>-123.5363</v>
      </c>
      <c r="G127" s="147">
        <v>-110.0447</v>
      </c>
      <c r="H127" s="220">
        <v>-33.40132</v>
      </c>
      <c r="J127" s="258" t="s">
        <v>148</v>
      </c>
      <c r="K127" s="215">
        <v>342.937213400423</v>
      </c>
      <c r="L127" s="215">
        <v>128.00900848221</v>
      </c>
      <c r="M127" s="215">
        <v>-88.7583573169241</v>
      </c>
      <c r="N127" s="215">
        <v>-128.361078610796</v>
      </c>
      <c r="O127" s="215">
        <v>-185.12129459983</v>
      </c>
      <c r="P127" s="215">
        <v>-45.0344132424123</v>
      </c>
      <c r="Q127" s="216">
        <v>723.546220962996</v>
      </c>
      <c r="S127" s="258" t="s">
        <v>148</v>
      </c>
      <c r="T127" s="215">
        <f>Cmoyen!M63</f>
        <v>235.549614643545</v>
      </c>
      <c r="U127" s="215">
        <f>Cmoyen!N63</f>
        <v>275.888729874776</v>
      </c>
      <c r="V127" s="215">
        <f>Cmoyen!X86</f>
        <v>114.11186440678</v>
      </c>
      <c r="W127" s="215">
        <f>Cmoyen!Y86</f>
        <v>144.931213017751</v>
      </c>
      <c r="X127" s="215">
        <f>Cmoyen!Z86</f>
        <v>170.682790391576</v>
      </c>
      <c r="Y127" s="215">
        <f>Cmoyen!AA86</f>
        <v>220.61334867664</v>
      </c>
      <c r="Z127" s="216">
        <f>Cmoyen!AB86</f>
        <v>464.693236164883</v>
      </c>
      <c r="AA127" s="147"/>
      <c r="AB127" s="147"/>
      <c r="AC127" s="147"/>
    </row>
    <row r="128" spans="1:29">
      <c r="A128" s="166" t="s">
        <v>149</v>
      </c>
      <c r="B128" s="166">
        <v>-120.163</v>
      </c>
      <c r="C128" s="147">
        <v>0.22565</v>
      </c>
      <c r="D128" s="147">
        <v>5.153044</v>
      </c>
      <c r="E128" s="147">
        <v>-17.81627</v>
      </c>
      <c r="F128" s="147">
        <v>-48.2754</v>
      </c>
      <c r="G128" s="147">
        <v>-80.86363</v>
      </c>
      <c r="H128" s="220">
        <v>6.147869</v>
      </c>
      <c r="J128" s="258" t="s">
        <v>149</v>
      </c>
      <c r="K128" s="215">
        <v>324.911313400423</v>
      </c>
      <c r="L128" s="215">
        <v>215.86094848221</v>
      </c>
      <c r="M128" s="215">
        <v>-50.7529833169241</v>
      </c>
      <c r="N128" s="215">
        <v>-33.5041486107965</v>
      </c>
      <c r="O128" s="215">
        <v>-109.86039459983</v>
      </c>
      <c r="P128" s="215">
        <v>-15.8533432424123</v>
      </c>
      <c r="Q128" s="216">
        <v>763.095409962996</v>
      </c>
      <c r="S128" s="258" t="s">
        <v>149</v>
      </c>
      <c r="T128" s="215">
        <f>Cmoyen!M64</f>
        <v>0</v>
      </c>
      <c r="U128" s="215">
        <f>Cmoyen!N64</f>
        <v>0</v>
      </c>
      <c r="V128" s="215">
        <f>Cmoyen!X87</f>
        <v>13.9529661016949</v>
      </c>
      <c r="W128" s="215">
        <f>Cmoyen!Y87</f>
        <v>30.7011834319527</v>
      </c>
      <c r="X128" s="215">
        <f>Cmoyen!Z87</f>
        <v>61.2369200394867</v>
      </c>
      <c r="Y128" s="215">
        <f>Cmoyen!AA87</f>
        <v>110.467203682394</v>
      </c>
      <c r="Z128" s="216">
        <f>Cmoyen!AB87</f>
        <v>492.51355044409</v>
      </c>
      <c r="AA128" s="147"/>
      <c r="AB128" s="147"/>
      <c r="AC128" s="147"/>
    </row>
    <row r="129" ht="15.15" spans="1:29">
      <c r="A129" s="218" t="s">
        <v>218</v>
      </c>
      <c r="B129" s="218">
        <v>1.752837</v>
      </c>
      <c r="C129" s="252">
        <v>0.4679539</v>
      </c>
      <c r="D129" s="252">
        <v>0.5267247</v>
      </c>
      <c r="E129" s="252">
        <v>0</v>
      </c>
      <c r="F129" s="252">
        <v>-0.7740541</v>
      </c>
      <c r="G129" s="252">
        <v>3.931776</v>
      </c>
      <c r="H129" s="224">
        <v>0.2123995</v>
      </c>
      <c r="J129" s="259" t="s">
        <v>218</v>
      </c>
      <c r="K129" s="222">
        <v>446.827150400423</v>
      </c>
      <c r="L129" s="222">
        <v>216.10325238221</v>
      </c>
      <c r="M129" s="222">
        <v>-55.3793026169242</v>
      </c>
      <c r="N129" s="222">
        <v>-15.6878786107965</v>
      </c>
      <c r="O129" s="222">
        <v>-62.35904869983</v>
      </c>
      <c r="P129" s="222">
        <v>68.9420627575875</v>
      </c>
      <c r="Q129" s="219">
        <v>757.159940462996</v>
      </c>
      <c r="S129" s="259" t="s">
        <v>218</v>
      </c>
      <c r="T129" s="222">
        <f>Cmoyen!M65</f>
        <v>0</v>
      </c>
      <c r="U129" s="222">
        <f>Cmoyen!N65</f>
        <v>0</v>
      </c>
      <c r="V129" s="222">
        <f>Cmoyen!X88</f>
        <v>0.211864406779661</v>
      </c>
      <c r="W129" s="222">
        <f>Cmoyen!Y88</f>
        <v>0</v>
      </c>
      <c r="X129" s="222">
        <f>Cmoyen!Z88</f>
        <v>0.987166831194472</v>
      </c>
      <c r="Y129" s="222">
        <f>Cmoyen!AA88</f>
        <v>3.73993095512083</v>
      </c>
      <c r="Z129" s="219">
        <f>Cmoyen!AB88</f>
        <v>0.14803006148941</v>
      </c>
      <c r="AA129" s="147"/>
      <c r="AB129" s="147"/>
      <c r="AC129" s="147"/>
    </row>
  </sheetData>
  <conditionalFormatting sqref="AB1">
    <cfRule type="cellIs" dxfId="0" priority="5" operator="equal">
      <formula>0</formula>
    </cfRule>
  </conditionalFormatting>
  <conditionalFormatting sqref="J66:Q66">
    <cfRule type="cellIs" dxfId="0" priority="4" operator="equal">
      <formula>0</formula>
    </cfRule>
  </conditionalFormatting>
  <conditionalFormatting sqref="S66:Z66">
    <cfRule type="cellIs" dxfId="0" priority="3" operator="equal">
      <formula>0</formula>
    </cfRule>
  </conditionalFormatting>
  <conditionalFormatting sqref="$A1:$XFD1048576">
    <cfRule type="cellIs" dxfId="0" priority="1" operator="equal">
      <formula>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workbookViewId="0">
      <selection activeCell="G2" sqref="G2:G21"/>
    </sheetView>
  </sheetViews>
  <sheetFormatPr defaultColWidth="11" defaultRowHeight="14.4"/>
  <cols>
    <col min="1" max="1" width="8.57407407407407" style="206" customWidth="1"/>
    <col min="2" max="2" width="9.57407407407407" style="206" customWidth="1"/>
    <col min="3" max="3" width="10" style="81" customWidth="1"/>
    <col min="4" max="4" width="11.4259259259259" style="81"/>
    <col min="5" max="5" width="9.42592592592593" style="81" customWidth="1"/>
    <col min="6" max="7" width="12" style="81" customWidth="1"/>
    <col min="8" max="8" width="11.4259259259259" style="81"/>
    <col min="9" max="9" width="9.71296296296296" style="206" customWidth="1"/>
    <col min="10" max="11" width="8.71296296296296" style="206" customWidth="1"/>
    <col min="12" max="12" width="11.4259259259259" style="81"/>
    <col min="13" max="13" width="11.712962962963" style="81" customWidth="1"/>
    <col min="14" max="14" width="8" style="81" customWidth="1"/>
    <col min="15" max="15" width="7.57407407407407" style="81" customWidth="1"/>
    <col min="16" max="16" width="19" style="81" customWidth="1"/>
    <col min="17" max="16384" width="11.4259259259259" style="81"/>
  </cols>
  <sheetData>
    <row r="1" ht="29.55" spans="1:15">
      <c r="A1" s="225" t="s">
        <v>220</v>
      </c>
      <c r="B1" s="159">
        <v>2007</v>
      </c>
      <c r="C1" s="160">
        <v>2014</v>
      </c>
      <c r="E1" s="225" t="s">
        <v>10</v>
      </c>
      <c r="F1" s="159">
        <v>2007</v>
      </c>
      <c r="G1" s="160">
        <v>2014</v>
      </c>
      <c r="I1" s="225" t="s">
        <v>221</v>
      </c>
      <c r="J1" s="159">
        <v>2007</v>
      </c>
      <c r="K1" s="160">
        <v>2014</v>
      </c>
      <c r="L1" s="144"/>
      <c r="M1" s="225" t="s">
        <v>222</v>
      </c>
      <c r="N1" s="159">
        <v>2007</v>
      </c>
      <c r="O1" s="160">
        <v>2014</v>
      </c>
    </row>
    <row r="2" spans="1:15">
      <c r="A2" s="226" t="s">
        <v>12</v>
      </c>
      <c r="B2" s="227">
        <v>0.0897521</v>
      </c>
      <c r="C2" s="228">
        <v>0.052092</v>
      </c>
      <c r="E2" s="226" t="s">
        <v>12</v>
      </c>
      <c r="F2" s="227">
        <v>0.145167607559868</v>
      </c>
      <c r="G2" s="228">
        <v>0.130187886607672</v>
      </c>
      <c r="I2" s="226" t="s">
        <v>12</v>
      </c>
      <c r="J2" s="227">
        <f>B2/F2</f>
        <v>0.618265338312376</v>
      </c>
      <c r="K2" s="228">
        <f>C2/G2</f>
        <v>0.40012939265987</v>
      </c>
      <c r="M2" s="226" t="s">
        <v>12</v>
      </c>
      <c r="N2" s="227">
        <f>((1-B2)*(J24/N24))-1</f>
        <v>-0.65922936781599</v>
      </c>
      <c r="O2" s="228">
        <f>((1-C2)*(K24/O24))-1</f>
        <v>-0.439173640050531</v>
      </c>
    </row>
    <row r="3" spans="1:15">
      <c r="A3" s="229" t="s">
        <v>13</v>
      </c>
      <c r="B3" s="230">
        <v>0.0123094</v>
      </c>
      <c r="C3" s="231">
        <v>0.0131777</v>
      </c>
      <c r="E3" s="229" t="s">
        <v>13</v>
      </c>
      <c r="F3" s="230">
        <v>0.0140203632777492</v>
      </c>
      <c r="G3" s="231">
        <v>0.014061240220143</v>
      </c>
      <c r="I3" s="229" t="s">
        <v>13</v>
      </c>
      <c r="J3" s="230">
        <f t="shared" ref="J3:J21" si="0">B3/F3</f>
        <v>0.877965838412718</v>
      </c>
      <c r="K3" s="231">
        <f t="shared" ref="K3:K21" si="1">C3/G3</f>
        <v>0.937164844187972</v>
      </c>
      <c r="M3" s="229" t="s">
        <v>13</v>
      </c>
      <c r="N3" s="230">
        <f t="shared" ref="N3:O3" si="2">((1-B3)*(J25/N25))-1</f>
        <v>-0.954766597606162</v>
      </c>
      <c r="O3" s="231">
        <f t="shared" si="2"/>
        <v>-1.0131318392006</v>
      </c>
    </row>
    <row r="4" spans="1:15">
      <c r="A4" s="229" t="s">
        <v>14</v>
      </c>
      <c r="B4" s="230">
        <v>0.0002209</v>
      </c>
      <c r="C4" s="231">
        <v>6.31e-5</v>
      </c>
      <c r="E4" s="229" t="s">
        <v>14</v>
      </c>
      <c r="F4" s="230">
        <v>0.000706147898535842</v>
      </c>
      <c r="G4" s="231">
        <v>0.000601349063038035</v>
      </c>
      <c r="I4" s="229" t="s">
        <v>14</v>
      </c>
      <c r="J4" s="230">
        <f t="shared" si="0"/>
        <v>0.312823985539041</v>
      </c>
      <c r="K4" s="231">
        <f t="shared" si="1"/>
        <v>0.104930736370016</v>
      </c>
      <c r="M4" s="229" t="s">
        <v>14</v>
      </c>
      <c r="N4" s="230">
        <f t="shared" ref="N4:O4" si="3">((1-B4)*(J26/N26))-1</f>
        <v>-1.82628677392878</v>
      </c>
      <c r="O4" s="231">
        <f t="shared" si="3"/>
        <v>-1.88533688164402</v>
      </c>
    </row>
    <row r="5" spans="1:15">
      <c r="A5" s="229" t="s">
        <v>15</v>
      </c>
      <c r="B5" s="230">
        <v>0.1128563</v>
      </c>
      <c r="C5" s="231">
        <v>0.1114682</v>
      </c>
      <c r="E5" s="229" t="s">
        <v>15</v>
      </c>
      <c r="F5" s="230">
        <v>0.25791694588488</v>
      </c>
      <c r="G5" s="231">
        <v>0.227248912670371</v>
      </c>
      <c r="I5" s="229" t="s">
        <v>15</v>
      </c>
      <c r="J5" s="230">
        <f t="shared" si="0"/>
        <v>0.437568379281185</v>
      </c>
      <c r="K5" s="231">
        <f t="shared" si="1"/>
        <v>0.490511477877507</v>
      </c>
      <c r="M5" s="229" t="s">
        <v>15</v>
      </c>
      <c r="N5" s="230">
        <f t="shared" ref="N5:O5" si="4">((1-B5)*(J27/N27))-1</f>
        <v>-0.504718869768233</v>
      </c>
      <c r="O5" s="231">
        <f t="shared" si="4"/>
        <v>-0.551489516317134</v>
      </c>
    </row>
    <row r="6" spans="1:15">
      <c r="A6" s="229" t="s">
        <v>16</v>
      </c>
      <c r="B6" s="230">
        <v>0.0448868</v>
      </c>
      <c r="C6" s="231">
        <v>0.0510683</v>
      </c>
      <c r="E6" s="229" t="s">
        <v>16</v>
      </c>
      <c r="F6" s="230">
        <v>0.0393092018204408</v>
      </c>
      <c r="G6" s="231">
        <v>0.0373087124359789</v>
      </c>
      <c r="I6" s="229" t="s">
        <v>16</v>
      </c>
      <c r="J6" s="230">
        <f t="shared" si="0"/>
        <v>1.14189039515574</v>
      </c>
      <c r="K6" s="231">
        <f t="shared" si="1"/>
        <v>1.36880360284833</v>
      </c>
      <c r="M6" s="229" t="s">
        <v>16</v>
      </c>
      <c r="N6" s="230">
        <f t="shared" ref="N6:O6" si="5">((1-B6)*(J28/N28))-1</f>
        <v>-1.16149362622057</v>
      </c>
      <c r="O6" s="231">
        <f t="shared" si="5"/>
        <v>-1.3772023611052</v>
      </c>
    </row>
    <row r="7" spans="1:15">
      <c r="A7" s="229" t="s">
        <v>17</v>
      </c>
      <c r="B7" s="230">
        <v>0.0288466</v>
      </c>
      <c r="C7" s="231">
        <v>0.0450162</v>
      </c>
      <c r="E7" s="229" t="s">
        <v>17</v>
      </c>
      <c r="F7" s="230">
        <v>0.0420892741576335</v>
      </c>
      <c r="G7" s="231">
        <v>0.0487851534698249</v>
      </c>
      <c r="I7" s="229" t="s">
        <v>17</v>
      </c>
      <c r="J7" s="230">
        <f t="shared" si="0"/>
        <v>0.685367010416078</v>
      </c>
      <c r="K7" s="231">
        <f t="shared" si="1"/>
        <v>0.922743843121122</v>
      </c>
      <c r="M7" s="229" t="s">
        <v>17</v>
      </c>
      <c r="N7" s="230">
        <f t="shared" ref="N7:O7" si="6">((1-B7)*(J29/N29))-1</f>
        <v>-0.719107337379179</v>
      </c>
      <c r="O7" s="231">
        <f t="shared" si="6"/>
        <v>-0.947180552921931</v>
      </c>
    </row>
    <row r="8" spans="1:15">
      <c r="A8" s="229" t="s">
        <v>18</v>
      </c>
      <c r="B8" s="230">
        <v>0.1367028</v>
      </c>
      <c r="C8" s="231">
        <v>0.0885994</v>
      </c>
      <c r="E8" s="229" t="s">
        <v>18</v>
      </c>
      <c r="F8" s="230">
        <v>0.0557652806520814</v>
      </c>
      <c r="G8" s="231">
        <v>0.0363144890016711</v>
      </c>
      <c r="I8" s="229" t="s">
        <v>18</v>
      </c>
      <c r="J8" s="230">
        <f t="shared" si="0"/>
        <v>2.45139625231847</v>
      </c>
      <c r="K8" s="231">
        <f t="shared" si="1"/>
        <v>2.43978099198705</v>
      </c>
      <c r="M8" s="229" t="s">
        <v>18</v>
      </c>
      <c r="N8" s="230">
        <f t="shared" ref="N8:O8" si="7">((1-B8)*(J30/N30))-1</f>
        <v>-2.26953369514929</v>
      </c>
      <c r="O8" s="231">
        <f t="shared" si="7"/>
        <v>-2.33908755230611</v>
      </c>
    </row>
    <row r="9" spans="1:15">
      <c r="A9" s="229" t="s">
        <v>19</v>
      </c>
      <c r="B9" s="230">
        <v>0.018061</v>
      </c>
      <c r="C9" s="231">
        <v>0.0165391</v>
      </c>
      <c r="E9" s="229" t="s">
        <v>19</v>
      </c>
      <c r="F9" s="230">
        <v>0.0117634224336254</v>
      </c>
      <c r="G9" s="231">
        <v>0.00989408907315466</v>
      </c>
      <c r="I9" s="229" t="s">
        <v>19</v>
      </c>
      <c r="J9" s="230">
        <f t="shared" si="0"/>
        <v>1.53535249642766</v>
      </c>
      <c r="K9" s="231">
        <f t="shared" si="1"/>
        <v>1.67161422114897</v>
      </c>
      <c r="M9" s="229" t="s">
        <v>19</v>
      </c>
      <c r="N9" s="230">
        <f t="shared" ref="N9:O9" si="8">((1-B9)*(J31/N31))-1</f>
        <v>-1.61490735904144</v>
      </c>
      <c r="O9" s="231">
        <f t="shared" si="8"/>
        <v>-1.76692559373027</v>
      </c>
    </row>
    <row r="10" spans="1:15">
      <c r="A10" s="229" t="s">
        <v>20</v>
      </c>
      <c r="B10" s="230">
        <v>0.0855924</v>
      </c>
      <c r="C10" s="231">
        <v>0.0398977</v>
      </c>
      <c r="E10" s="229" t="s">
        <v>20</v>
      </c>
      <c r="F10" s="230">
        <v>0.0505114248706663</v>
      </c>
      <c r="G10" s="231">
        <v>0.035507340099009</v>
      </c>
      <c r="I10" s="229" t="s">
        <v>20</v>
      </c>
      <c r="J10" s="230">
        <f t="shared" si="0"/>
        <v>1.69451565104643</v>
      </c>
      <c r="K10" s="231">
        <f t="shared" si="1"/>
        <v>1.12364654431306</v>
      </c>
      <c r="M10" s="229" t="s">
        <v>20</v>
      </c>
      <c r="N10" s="230">
        <f t="shared" ref="N10:O10" si="9">((1-B10)*(J32/N32))-1</f>
        <v>-1.65442047089264</v>
      </c>
      <c r="O10" s="231">
        <f t="shared" si="9"/>
        <v>-1.14766297453514</v>
      </c>
    </row>
    <row r="11" spans="1:15">
      <c r="A11" s="229" t="s">
        <v>21</v>
      </c>
      <c r="B11" s="230">
        <v>0.0140526</v>
      </c>
      <c r="C11" s="231">
        <v>0.0156978</v>
      </c>
      <c r="E11" s="229" t="s">
        <v>21</v>
      </c>
      <c r="F11" s="230">
        <v>0.0362243325032887</v>
      </c>
      <c r="G11" s="231">
        <v>0.0387053276539485</v>
      </c>
      <c r="I11" s="229" t="s">
        <v>21</v>
      </c>
      <c r="J11" s="230">
        <f t="shared" si="0"/>
        <v>0.387932614044005</v>
      </c>
      <c r="K11" s="231">
        <f t="shared" si="1"/>
        <v>0.405572073703879</v>
      </c>
      <c r="M11" s="229" t="s">
        <v>21</v>
      </c>
      <c r="N11" s="230">
        <f t="shared" ref="N11:O11" si="10">((1-B11)*(J33/N33))-1</f>
        <v>-0.425627870947727</v>
      </c>
      <c r="O11" s="231">
        <f t="shared" si="10"/>
        <v>-0.442131242887866</v>
      </c>
    </row>
    <row r="12" spans="1:15">
      <c r="A12" s="229" t="s">
        <v>22</v>
      </c>
      <c r="B12" s="230">
        <v>0.0329717</v>
      </c>
      <c r="C12" s="231">
        <v>0.0292507</v>
      </c>
      <c r="E12" s="229" t="s">
        <v>22</v>
      </c>
      <c r="F12" s="230">
        <v>0.027781658474043</v>
      </c>
      <c r="G12" s="231">
        <v>0.0224347350191909</v>
      </c>
      <c r="I12" s="229" t="s">
        <v>22</v>
      </c>
      <c r="J12" s="230">
        <f t="shared" si="0"/>
        <v>1.18681539587733</v>
      </c>
      <c r="K12" s="231">
        <f t="shared" si="1"/>
        <v>1.30381303701509</v>
      </c>
      <c r="M12" s="229" t="s">
        <v>22</v>
      </c>
      <c r="N12" s="230">
        <f t="shared" ref="N12:O12" si="11">((1-B12)*(J34/N34))-1</f>
        <v>-1.217860770249</v>
      </c>
      <c r="O12" s="231">
        <f t="shared" si="11"/>
        <v>-1.34125516138655</v>
      </c>
    </row>
    <row r="13" spans="1:15">
      <c r="A13" s="229" t="s">
        <v>23</v>
      </c>
      <c r="B13" s="230">
        <v>0.0359023</v>
      </c>
      <c r="C13" s="231">
        <v>0.022819</v>
      </c>
      <c r="E13" s="229" t="s">
        <v>23</v>
      </c>
      <c r="F13" s="230">
        <v>0.011009713260853</v>
      </c>
      <c r="G13" s="231">
        <v>0.0122021969178258</v>
      </c>
      <c r="I13" s="229" t="s">
        <v>23</v>
      </c>
      <c r="J13" s="230">
        <f t="shared" si="0"/>
        <v>3.26096594428639</v>
      </c>
      <c r="K13" s="231">
        <f t="shared" si="1"/>
        <v>1.87007308222215</v>
      </c>
      <c r="M13" s="229" t="s">
        <v>23</v>
      </c>
      <c r="N13" s="230">
        <f t="shared" ref="N13:O13" si="12">((1-B13)*(J35/N35))-1</f>
        <v>-3.27339470086574</v>
      </c>
      <c r="O13" s="231">
        <f t="shared" si="12"/>
        <v>-1.93596253042889</v>
      </c>
    </row>
    <row r="14" spans="1:15">
      <c r="A14" s="229" t="s">
        <v>24</v>
      </c>
      <c r="B14" s="230">
        <v>0.0533565</v>
      </c>
      <c r="C14" s="231">
        <v>0.0617196</v>
      </c>
      <c r="E14" s="229" t="s">
        <v>24</v>
      </c>
      <c r="F14" s="230">
        <v>0.0387509148625122</v>
      </c>
      <c r="G14" s="231">
        <v>0.0437459528776211</v>
      </c>
      <c r="I14" s="229" t="s">
        <v>24</v>
      </c>
      <c r="J14" s="230">
        <f t="shared" si="0"/>
        <v>1.37690942754018</v>
      </c>
      <c r="K14" s="231">
        <f t="shared" si="1"/>
        <v>1.41086422720429</v>
      </c>
      <c r="M14" s="229" t="s">
        <v>24</v>
      </c>
      <c r="N14" s="230">
        <f t="shared" ref="N14:O14" si="13">((1-B14)*(J36/N36))-1</f>
        <v>-1.38291015203511</v>
      </c>
      <c r="O14" s="231">
        <f t="shared" si="13"/>
        <v>-1.4084701383241</v>
      </c>
    </row>
    <row r="15" spans="1:15">
      <c r="A15" s="229" t="s">
        <v>25</v>
      </c>
      <c r="B15" s="230">
        <v>0.0148718</v>
      </c>
      <c r="C15" s="231">
        <v>0.0266648</v>
      </c>
      <c r="E15" s="229" t="s">
        <v>25</v>
      </c>
      <c r="F15" s="230">
        <v>0.0212320157914017</v>
      </c>
      <c r="G15" s="231">
        <v>0.0238724631044118</v>
      </c>
      <c r="I15" s="229" t="s">
        <v>25</v>
      </c>
      <c r="J15" s="230">
        <f t="shared" si="0"/>
        <v>0.700442207000552</v>
      </c>
      <c r="K15" s="231">
        <f t="shared" si="1"/>
        <v>1.11696894800404</v>
      </c>
      <c r="M15" s="229" t="s">
        <v>25</v>
      </c>
      <c r="N15" s="230">
        <f t="shared" ref="N15:O15" si="14">((1-B15)*(J37/N37))-1</f>
        <v>-0.754491728865016</v>
      </c>
      <c r="O15" s="231">
        <f t="shared" si="14"/>
        <v>-1.15750424101635</v>
      </c>
    </row>
    <row r="16" spans="1:15">
      <c r="A16" s="229" t="s">
        <v>26</v>
      </c>
      <c r="B16" s="230">
        <v>0.0344496</v>
      </c>
      <c r="C16" s="231">
        <v>0.0245939</v>
      </c>
      <c r="E16" s="229" t="s">
        <v>26</v>
      </c>
      <c r="F16" s="230">
        <v>0.0249059929719398</v>
      </c>
      <c r="G16" s="231">
        <v>0.0199404244465978</v>
      </c>
      <c r="I16" s="229" t="s">
        <v>26</v>
      </c>
      <c r="J16" s="230">
        <f t="shared" si="0"/>
        <v>1.38318516506499</v>
      </c>
      <c r="K16" s="231">
        <f t="shared" si="1"/>
        <v>1.23336893183315</v>
      </c>
      <c r="M16" s="229" t="s">
        <v>26</v>
      </c>
      <c r="N16" s="230">
        <f t="shared" ref="N16:O16" si="15">((1-B16)*(J38/N38))-1</f>
        <v>-1.41142286488087</v>
      </c>
      <c r="O16" s="231">
        <f t="shared" si="15"/>
        <v>-1.28000098534158</v>
      </c>
    </row>
    <row r="17" spans="1:15">
      <c r="A17" s="229" t="s">
        <v>27</v>
      </c>
      <c r="B17" s="230">
        <v>0.0344458</v>
      </c>
      <c r="C17" s="231">
        <v>0.0414014</v>
      </c>
      <c r="E17" s="229" t="s">
        <v>27</v>
      </c>
      <c r="F17" s="230">
        <v>0.0207597022815736</v>
      </c>
      <c r="G17" s="231">
        <v>0.0241435746686468</v>
      </c>
      <c r="I17" s="229" t="s">
        <v>27</v>
      </c>
      <c r="J17" s="230">
        <f t="shared" si="0"/>
        <v>1.65926271642991</v>
      </c>
      <c r="K17" s="231">
        <f t="shared" si="1"/>
        <v>1.71479992371488</v>
      </c>
      <c r="M17" s="229" t="s">
        <v>27</v>
      </c>
      <c r="N17" s="230">
        <f t="shared" ref="N17:O17" si="16">((1-B17)*(J39/N39))-1</f>
        <v>-1.68626927050458</v>
      </c>
      <c r="O17" s="231">
        <f t="shared" si="16"/>
        <v>-1.7277171350295</v>
      </c>
    </row>
    <row r="18" spans="1:15">
      <c r="A18" s="229" t="s">
        <v>28</v>
      </c>
      <c r="B18" s="230">
        <v>0.1020452</v>
      </c>
      <c r="C18" s="231">
        <v>0.1340574</v>
      </c>
      <c r="E18" s="229" t="s">
        <v>28</v>
      </c>
      <c r="F18" s="230">
        <v>0.103889329825248</v>
      </c>
      <c r="G18" s="231">
        <v>0.147824069540123</v>
      </c>
      <c r="I18" s="229" t="s">
        <v>28</v>
      </c>
      <c r="J18" s="230">
        <f t="shared" si="0"/>
        <v>0.982249093065184</v>
      </c>
      <c r="K18" s="231">
        <f t="shared" si="1"/>
        <v>0.906871258632298</v>
      </c>
      <c r="M18" s="229" t="s">
        <v>28</v>
      </c>
      <c r="N18" s="230">
        <f t="shared" ref="N18:O18" si="17">((1-B18)*(J40/N40))-1</f>
        <v>-0.993299096312787</v>
      </c>
      <c r="O18" s="231">
        <f t="shared" si="17"/>
        <v>-0.925628180091058</v>
      </c>
    </row>
    <row r="19" spans="1:15">
      <c r="A19" s="229" t="s">
        <v>29</v>
      </c>
      <c r="B19" s="230">
        <v>0.0130716</v>
      </c>
      <c r="C19" s="231">
        <v>0.0236103</v>
      </c>
      <c r="E19" s="229" t="s">
        <v>29</v>
      </c>
      <c r="F19" s="230">
        <v>0.00669402204277371</v>
      </c>
      <c r="G19" s="231">
        <v>0.0112059558186499</v>
      </c>
      <c r="I19" s="229" t="s">
        <v>29</v>
      </c>
      <c r="J19" s="230">
        <f t="shared" si="0"/>
        <v>1.95272736128961</v>
      </c>
      <c r="K19" s="231">
        <f t="shared" si="1"/>
        <v>2.10694209240997</v>
      </c>
      <c r="M19" s="229" t="s">
        <v>29</v>
      </c>
      <c r="N19" s="230">
        <f t="shared" ref="N19:O19" si="18">((1-B19)*(J41/N41))-1</f>
        <v>-2.097867294101</v>
      </c>
      <c r="O19" s="231">
        <f t="shared" si="18"/>
        <v>-2.17409696045578</v>
      </c>
    </row>
    <row r="20" spans="1:15">
      <c r="A20" s="229" t="s">
        <v>30</v>
      </c>
      <c r="B20" s="230">
        <v>0.0778058</v>
      </c>
      <c r="C20" s="231">
        <v>0.1197984</v>
      </c>
      <c r="E20" s="229" t="s">
        <v>30</v>
      </c>
      <c r="F20" s="230">
        <v>0.0529890697171256</v>
      </c>
      <c r="G20" s="231">
        <v>0.0731661075397653</v>
      </c>
      <c r="I20" s="229" t="s">
        <v>30</v>
      </c>
      <c r="J20" s="230">
        <f t="shared" si="0"/>
        <v>1.46833677993131</v>
      </c>
      <c r="K20" s="231">
        <f t="shared" si="1"/>
        <v>1.6373482754278</v>
      </c>
      <c r="M20" s="229" t="s">
        <v>30</v>
      </c>
      <c r="N20" s="230">
        <f t="shared" ref="N20:O20" si="19">((1-B20)*(J42/N42))-1</f>
        <v>-1.45050038249726</v>
      </c>
      <c r="O20" s="231">
        <f t="shared" si="19"/>
        <v>-1.57387557919017</v>
      </c>
    </row>
    <row r="21" ht="15.15" spans="1:15">
      <c r="A21" s="232" t="s">
        <v>31</v>
      </c>
      <c r="B21" s="233">
        <v>0.0577988</v>
      </c>
      <c r="C21" s="234">
        <v>0.082465</v>
      </c>
      <c r="E21" s="232" t="s">
        <v>31</v>
      </c>
      <c r="F21" s="233">
        <v>0.038513579713789</v>
      </c>
      <c r="G21" s="234">
        <v>0.0428500197723602</v>
      </c>
      <c r="I21" s="232" t="s">
        <v>31</v>
      </c>
      <c r="J21" s="233">
        <f t="shared" si="0"/>
        <v>1.50073819233444</v>
      </c>
      <c r="K21" s="234">
        <f t="shared" si="1"/>
        <v>1.92450319598669</v>
      </c>
      <c r="M21" s="232" t="s">
        <v>31</v>
      </c>
      <c r="N21" s="233">
        <f t="shared" ref="N21:O21" si="20">((1-B21)*(J43/N43))-1</f>
        <v>-1.49794567358798</v>
      </c>
      <c r="O21" s="234">
        <f t="shared" si="20"/>
        <v>-1.87119122390421</v>
      </c>
    </row>
    <row r="22" ht="15.15"/>
    <row r="23" ht="15.15" spans="1:15">
      <c r="A23" s="225" t="s">
        <v>223</v>
      </c>
      <c r="B23" s="159">
        <v>2007</v>
      </c>
      <c r="C23" s="160">
        <v>2014</v>
      </c>
      <c r="I23" s="225" t="s">
        <v>33</v>
      </c>
      <c r="J23" s="159">
        <v>2007</v>
      </c>
      <c r="K23" s="160">
        <v>2014</v>
      </c>
      <c r="M23" s="225" t="s">
        <v>34</v>
      </c>
      <c r="N23" s="159">
        <v>2007</v>
      </c>
      <c r="O23" s="160">
        <v>2014</v>
      </c>
    </row>
    <row r="24" spans="1:15">
      <c r="A24" s="226" t="s">
        <v>12</v>
      </c>
      <c r="B24" s="235">
        <v>3152.445</v>
      </c>
      <c r="C24" s="236">
        <v>5862.502</v>
      </c>
      <c r="I24" s="226" t="s">
        <v>12</v>
      </c>
      <c r="J24" s="227">
        <v>3091.63831714445</v>
      </c>
      <c r="K24" s="228">
        <v>5782.12925397424</v>
      </c>
      <c r="M24" s="226" t="s">
        <v>12</v>
      </c>
      <c r="N24" s="235">
        <f>Cmoyen!AF3</f>
        <v>8258.21540930404</v>
      </c>
      <c r="O24" s="236">
        <f>Cmoyen!AG3</f>
        <v>9772.94750797743</v>
      </c>
    </row>
    <row r="25" spans="1:15">
      <c r="A25" s="229" t="s">
        <v>13</v>
      </c>
      <c r="B25" s="237">
        <v>97.33369</v>
      </c>
      <c r="C25" s="238">
        <v>66.32634</v>
      </c>
      <c r="I25" s="229" t="s">
        <v>13</v>
      </c>
      <c r="J25" s="230">
        <v>36.5270071444479</v>
      </c>
      <c r="K25" s="231">
        <v>-14.0464060257623</v>
      </c>
      <c r="M25" s="229" t="s">
        <v>13</v>
      </c>
      <c r="N25" s="237">
        <f>Cmoyen!AF4</f>
        <v>797.582752864475</v>
      </c>
      <c r="O25" s="238">
        <f>Cmoyen!AG4</f>
        <v>1055.54953036944</v>
      </c>
    </row>
    <row r="26" spans="1:15">
      <c r="A26" s="229" t="s">
        <v>14</v>
      </c>
      <c r="B26" s="237">
        <v>27.60662</v>
      </c>
      <c r="C26" s="238">
        <v>40.40427</v>
      </c>
      <c r="I26" s="229" t="s">
        <v>14</v>
      </c>
      <c r="J26" s="230">
        <v>-33.2000628555521</v>
      </c>
      <c r="K26" s="231">
        <v>-39.9684760257623</v>
      </c>
      <c r="M26" s="229" t="s">
        <v>14</v>
      </c>
      <c r="N26" s="237">
        <f>Cmoyen!AF5</f>
        <v>40.1709551804207</v>
      </c>
      <c r="O26" s="238">
        <f>Cmoyen!AG5</f>
        <v>45.1420864120225</v>
      </c>
    </row>
    <row r="27" spans="1:15">
      <c r="A27" s="229" t="s">
        <v>15</v>
      </c>
      <c r="B27" s="237">
        <v>8252.132</v>
      </c>
      <c r="C27" s="238">
        <v>8691.429</v>
      </c>
      <c r="I27" s="229" t="s">
        <v>15</v>
      </c>
      <c r="J27" s="230">
        <v>8191.32531714445</v>
      </c>
      <c r="K27" s="231">
        <v>8611.05625397423</v>
      </c>
      <c r="M27" s="229" t="s">
        <v>15</v>
      </c>
      <c r="N27" s="237">
        <f>Cmoyen!AF6</f>
        <v>14672.2380607447</v>
      </c>
      <c r="O27" s="238">
        <f>Cmoyen!AG6</f>
        <v>17059.1270251221</v>
      </c>
    </row>
    <row r="28" spans="1:15">
      <c r="A28" s="229" t="s">
        <v>16</v>
      </c>
      <c r="B28" s="237">
        <v>-317.2973</v>
      </c>
      <c r="C28" s="238">
        <v>-1032.908</v>
      </c>
      <c r="I28" s="229" t="s">
        <v>16</v>
      </c>
      <c r="J28" s="230">
        <v>-378.103982855552</v>
      </c>
      <c r="K28" s="231">
        <v>-1113.28074602576</v>
      </c>
      <c r="M28" s="229" t="s">
        <v>16</v>
      </c>
      <c r="N28" s="237">
        <f>Cmoyen!AF7</f>
        <v>2236.20035941647</v>
      </c>
      <c r="O28" s="238">
        <f>Cmoyen!AG7</f>
        <v>2800.69135253601</v>
      </c>
    </row>
    <row r="29" spans="1:15">
      <c r="A29" s="229" t="s">
        <v>17</v>
      </c>
      <c r="B29" s="237">
        <v>753.3397</v>
      </c>
      <c r="C29" s="238">
        <v>282.9266</v>
      </c>
      <c r="I29" s="229" t="s">
        <v>17</v>
      </c>
      <c r="J29" s="230">
        <v>692.533017144448</v>
      </c>
      <c r="K29" s="231">
        <v>202.553853974238</v>
      </c>
      <c r="M29" s="229" t="s">
        <v>17</v>
      </c>
      <c r="N29" s="237">
        <f>Cmoyen!AF8</f>
        <v>2394.35159301394</v>
      </c>
      <c r="O29" s="238">
        <f>Cmoyen!AG8</f>
        <v>3662.20511333751</v>
      </c>
    </row>
    <row r="30" spans="1:15">
      <c r="A30" s="229" t="s">
        <v>18</v>
      </c>
      <c r="B30" s="237">
        <v>-4604.329</v>
      </c>
      <c r="C30" s="238">
        <v>-3924.923</v>
      </c>
      <c r="I30" s="229" t="s">
        <v>18</v>
      </c>
      <c r="J30" s="230">
        <v>-4665.13568285555</v>
      </c>
      <c r="K30" s="231">
        <v>-4005.29574602576</v>
      </c>
      <c r="M30" s="229" t="s">
        <v>18</v>
      </c>
      <c r="N30" s="237">
        <f>Cmoyen!AF9</f>
        <v>3172.34476565484</v>
      </c>
      <c r="O30" s="238">
        <f>Cmoyen!AG9</f>
        <v>2726.05696305573</v>
      </c>
    </row>
    <row r="31" spans="1:15">
      <c r="A31" s="229" t="s">
        <v>19</v>
      </c>
      <c r="B31" s="237">
        <v>-358.2525</v>
      </c>
      <c r="C31" s="238">
        <v>-498.8251</v>
      </c>
      <c r="I31" s="229" t="s">
        <v>19</v>
      </c>
      <c r="J31" s="230">
        <v>-419.059182855552</v>
      </c>
      <c r="K31" s="231">
        <v>-579.197846025762</v>
      </c>
      <c r="M31" s="229" t="s">
        <v>19</v>
      </c>
      <c r="N31" s="237">
        <f>Cmoyen!AF10</f>
        <v>669.19113733727</v>
      </c>
      <c r="O31" s="238">
        <f>Cmoyen!AG10</f>
        <v>742.729724483406</v>
      </c>
    </row>
    <row r="32" spans="1:15">
      <c r="A32" s="229" t="s">
        <v>20</v>
      </c>
      <c r="B32" s="237">
        <v>-1995.667</v>
      </c>
      <c r="C32" s="238">
        <v>-329.5738</v>
      </c>
      <c r="I32" s="229" t="s">
        <v>20</v>
      </c>
      <c r="J32" s="230">
        <v>-2056.47368285555</v>
      </c>
      <c r="K32" s="231">
        <v>-409.946546025762</v>
      </c>
      <c r="M32" s="229" t="s">
        <v>20</v>
      </c>
      <c r="N32" s="237">
        <f>Cmoyen!AF11</f>
        <v>2873.46629337272</v>
      </c>
      <c r="O32" s="238">
        <f>Cmoyen!AG11</f>
        <v>2665.46588916719</v>
      </c>
    </row>
    <row r="33" spans="1:15">
      <c r="A33" s="229" t="s">
        <v>21</v>
      </c>
      <c r="B33" s="237">
        <v>1261.291</v>
      </c>
      <c r="C33" s="238">
        <v>1727.129</v>
      </c>
      <c r="I33" s="229" t="s">
        <v>21</v>
      </c>
      <c r="J33" s="230">
        <v>1200.48431714445</v>
      </c>
      <c r="K33" s="231">
        <v>1646.75625397424</v>
      </c>
      <c r="M33" s="229" t="s">
        <v>21</v>
      </c>
      <c r="N33" s="237">
        <f>Cmoyen!AF12</f>
        <v>2060.71000203707</v>
      </c>
      <c r="O33" s="238">
        <f>Cmoyen!AG12</f>
        <v>2905.53249843456</v>
      </c>
    </row>
    <row r="34" spans="1:15">
      <c r="A34" s="229" t="s">
        <v>22</v>
      </c>
      <c r="B34" s="237">
        <v>-295.2462</v>
      </c>
      <c r="C34" s="238">
        <v>-511.6632</v>
      </c>
      <c r="I34" s="229" t="s">
        <v>22</v>
      </c>
      <c r="J34" s="230">
        <v>-356.052882855552</v>
      </c>
      <c r="K34" s="231">
        <v>-592.035946025762</v>
      </c>
      <c r="M34" s="229" t="s">
        <v>22</v>
      </c>
      <c r="N34" s="237">
        <f>Cmoyen!AF13</f>
        <v>1580.42778249788</v>
      </c>
      <c r="O34" s="238">
        <f>Cmoyen!AG13</f>
        <v>1684.13124608641</v>
      </c>
    </row>
    <row r="35" spans="1:15">
      <c r="A35" s="229" t="s">
        <v>23</v>
      </c>
      <c r="B35" s="237">
        <v>-1416.077</v>
      </c>
      <c r="C35" s="238">
        <v>-796.9845</v>
      </c>
      <c r="I35" s="229" t="s">
        <v>23</v>
      </c>
      <c r="J35" s="230">
        <v>-1476.88368285555</v>
      </c>
      <c r="K35" s="231">
        <v>-877.357246025762</v>
      </c>
      <c r="M35" s="229" t="s">
        <v>23</v>
      </c>
      <c r="N35" s="237">
        <f>Cmoyen!AF14</f>
        <v>626.314542418146</v>
      </c>
      <c r="O35" s="238">
        <f>Cmoyen!AG14</f>
        <v>915.994821540388</v>
      </c>
    </row>
    <row r="36" spans="1:15">
      <c r="A36" s="229" t="s">
        <v>24</v>
      </c>
      <c r="B36" s="237">
        <v>-830.873</v>
      </c>
      <c r="C36" s="238">
        <v>-1349.247</v>
      </c>
      <c r="I36" s="229" t="s">
        <v>24</v>
      </c>
      <c r="J36" s="230">
        <v>-891.679682855552</v>
      </c>
      <c r="K36" s="231">
        <v>-1429.61974602576</v>
      </c>
      <c r="M36" s="229" t="s">
        <v>24</v>
      </c>
      <c r="N36" s="237">
        <f>Cmoyen!AF15</f>
        <v>2204.44083650171</v>
      </c>
      <c r="O36" s="238">
        <f>Cmoyen!AG15</f>
        <v>3283.92227802129</v>
      </c>
    </row>
    <row r="37" spans="1:15">
      <c r="A37" s="229" t="s">
        <v>25</v>
      </c>
      <c r="B37" s="237">
        <v>361.8168</v>
      </c>
      <c r="C37" s="238">
        <v>-209.6166</v>
      </c>
      <c r="I37" s="229" t="s">
        <v>25</v>
      </c>
      <c r="J37" s="230">
        <v>301.010117144448</v>
      </c>
      <c r="K37" s="231">
        <v>-289.989346025762</v>
      </c>
      <c r="M37" s="229" t="s">
        <v>25</v>
      </c>
      <c r="N37" s="237">
        <f>Cmoyen!AF16</f>
        <v>1207.835294157</v>
      </c>
      <c r="O37" s="238">
        <f>Cmoyen!AG16</f>
        <v>1792.05865372574</v>
      </c>
    </row>
    <row r="38" spans="1:15">
      <c r="A38" s="229" t="s">
        <v>26</v>
      </c>
      <c r="B38" s="237">
        <v>-542.9109</v>
      </c>
      <c r="C38" s="238">
        <v>-349.3254</v>
      </c>
      <c r="I38" s="229" t="s">
        <v>26</v>
      </c>
      <c r="J38" s="230">
        <v>-603.717582855552</v>
      </c>
      <c r="K38" s="231">
        <v>-429.698146025762</v>
      </c>
      <c r="M38" s="229" t="s">
        <v>26</v>
      </c>
      <c r="N38" s="237">
        <f>Cmoyen!AF17</f>
        <v>1416.83849725269</v>
      </c>
      <c r="O38" s="238">
        <f>Cmoyen!AG17</f>
        <v>1496.88827802129</v>
      </c>
    </row>
    <row r="39" spans="1:15">
      <c r="A39" s="229" t="s">
        <v>27</v>
      </c>
      <c r="B39" s="237">
        <v>-778.5673</v>
      </c>
      <c r="C39" s="238">
        <v>-1295.513</v>
      </c>
      <c r="I39" s="229" t="s">
        <v>27</v>
      </c>
      <c r="J39" s="230">
        <v>-839.373982855552</v>
      </c>
      <c r="K39" s="231">
        <v>-1375.88574602576</v>
      </c>
      <c r="M39" s="229" t="s">
        <v>27</v>
      </c>
      <c r="N39" s="237">
        <f>Cmoyen!AF18</f>
        <v>1180.9665817049</v>
      </c>
      <c r="O39" s="238">
        <f>Cmoyen!AG18</f>
        <v>1812.41046336882</v>
      </c>
    </row>
    <row r="40" spans="1:15">
      <c r="A40" s="229" t="s">
        <v>28</v>
      </c>
      <c r="B40" s="237">
        <v>104.9095</v>
      </c>
      <c r="C40" s="238">
        <v>1033.431</v>
      </c>
      <c r="I40" s="229" t="s">
        <v>28</v>
      </c>
      <c r="J40" s="230">
        <v>44.1028171444479</v>
      </c>
      <c r="K40" s="231">
        <v>953.058253974238</v>
      </c>
      <c r="M40" s="229" t="s">
        <v>28</v>
      </c>
      <c r="N40" s="237">
        <f>Cmoyen!AF19</f>
        <v>5909.99933694792</v>
      </c>
      <c r="O40" s="238">
        <f>Cmoyen!AG19</f>
        <v>11096.8609267376</v>
      </c>
    </row>
    <row r="41" spans="1:15">
      <c r="A41" s="229" t="s">
        <v>29</v>
      </c>
      <c r="B41" s="237">
        <v>-362.8049</v>
      </c>
      <c r="C41" s="238">
        <v>-931.171</v>
      </c>
      <c r="I41" s="229" t="s">
        <v>29</v>
      </c>
      <c r="J41" s="230">
        <v>-423.611582855552</v>
      </c>
      <c r="K41" s="231">
        <v>-1011.54374602576</v>
      </c>
      <c r="M41" s="229" t="s">
        <v>29</v>
      </c>
      <c r="N41" s="237">
        <f>Cmoyen!AF20</f>
        <v>380.805862361937</v>
      </c>
      <c r="O41" s="238">
        <f>Cmoyen!AG20</f>
        <v>841.208969943644</v>
      </c>
    </row>
    <row r="42" spans="1:15">
      <c r="A42" s="229" t="s">
        <v>30</v>
      </c>
      <c r="B42" s="237">
        <v>-1411.762</v>
      </c>
      <c r="C42" s="238">
        <v>-3500.596</v>
      </c>
      <c r="I42" s="229" t="s">
        <v>30</v>
      </c>
      <c r="J42" s="230">
        <v>-1472.56868285555</v>
      </c>
      <c r="K42" s="231">
        <v>-3580.96874602576</v>
      </c>
      <c r="M42" s="229" t="s">
        <v>30</v>
      </c>
      <c r="N42" s="237">
        <f>Cmoyen!AF21</f>
        <v>3014.41319739451</v>
      </c>
      <c r="O42" s="238">
        <f>Cmoyen!AG21</f>
        <v>5492.43517950324</v>
      </c>
    </row>
    <row r="43" ht="15.15" spans="1:15">
      <c r="A43" s="232" t="s">
        <v>31</v>
      </c>
      <c r="B43" s="239">
        <v>-1097.087</v>
      </c>
      <c r="C43" s="240">
        <v>-2973.823</v>
      </c>
      <c r="I43" s="232" t="s">
        <v>31</v>
      </c>
      <c r="J43" s="233">
        <v>-1157.89368285555</v>
      </c>
      <c r="K43" s="234">
        <v>-3054.19574602576</v>
      </c>
      <c r="M43" s="232" t="s">
        <v>31</v>
      </c>
      <c r="N43" s="239">
        <f>Cmoyen!AF22</f>
        <v>2190.93944445358</v>
      </c>
      <c r="O43" s="240">
        <f>Cmoyen!AG22</f>
        <v>3216.66634940513</v>
      </c>
    </row>
  </sheetData>
  <conditionalFormatting sqref="B1:C1">
    <cfRule type="cellIs" dxfId="0" priority="6" operator="equal">
      <formula>0</formula>
    </cfRule>
  </conditionalFormatting>
  <conditionalFormatting sqref="F1:G1">
    <cfRule type="cellIs" dxfId="0" priority="5" operator="equal">
      <formula>0</formula>
    </cfRule>
  </conditionalFormatting>
  <conditionalFormatting sqref="J1:K1">
    <cfRule type="cellIs" dxfId="0" priority="7" operator="equal">
      <formula>0</formula>
    </cfRule>
  </conditionalFormatting>
  <conditionalFormatting sqref="N1:O1">
    <cfRule type="cellIs" dxfId="0" priority="8" operator="equal">
      <formula>0</formula>
    </cfRule>
  </conditionalFormatting>
  <conditionalFormatting sqref="B23:C23">
    <cfRule type="cellIs" dxfId="0" priority="4" operator="equal">
      <formula>0</formula>
    </cfRule>
  </conditionalFormatting>
  <conditionalFormatting sqref="N23:O23">
    <cfRule type="cellIs" dxfId="0" priority="9" operator="equal">
      <formula>0</formula>
    </cfRule>
  </conditionalFormatting>
  <conditionalFormatting sqref="A1:A21">
    <cfRule type="cellIs" dxfId="0" priority="27" operator="equal">
      <formula>0</formula>
    </cfRule>
    <cfRule type="cellIs" dxfId="0" priority="26" operator="equal">
      <formula>0</formula>
    </cfRule>
  </conditionalFormatting>
  <conditionalFormatting sqref="A23:A43">
    <cfRule type="cellIs" dxfId="0" priority="31" operator="equal">
      <formula>0</formula>
    </cfRule>
    <cfRule type="cellIs" dxfId="0" priority="30" operator="equal">
      <formula>0</formula>
    </cfRule>
  </conditionalFormatting>
  <conditionalFormatting sqref="E1:E21">
    <cfRule type="cellIs" dxfId="0" priority="22" operator="equal">
      <formula>0</formula>
    </cfRule>
    <cfRule type="cellIs" dxfId="0" priority="23" operator="equal">
      <formula>0</formula>
    </cfRule>
  </conditionalFormatting>
  <conditionalFormatting sqref="I1:I21">
    <cfRule type="cellIs" dxfId="0" priority="19" operator="equal">
      <formula>0</formula>
    </cfRule>
    <cfRule type="cellIs" dxfId="0" priority="18" operator="equal">
      <formula>0</formula>
    </cfRule>
  </conditionalFormatting>
  <conditionalFormatting sqref="M1:M21">
    <cfRule type="cellIs" dxfId="0" priority="14" operator="equal">
      <formula>0</formula>
    </cfRule>
    <cfRule type="cellIs" dxfId="0" priority="15" operator="equal">
      <formula>0</formula>
    </cfRule>
  </conditionalFormatting>
  <conditionalFormatting sqref="I22:K22 O22 A22:C22 L1 I44:K1048576 I23:I43 A44:C1048576 M44:O1048576">
    <cfRule type="cellIs" dxfId="0" priority="55" operator="equal">
      <formula>0</formula>
    </cfRule>
  </conditionalFormatting>
  <conditionalFormatting sqref="B2:C21">
    <cfRule type="cellIs" dxfId="0" priority="24" operator="equal">
      <formula>0</formula>
    </cfRule>
  </conditionalFormatting>
  <conditionalFormatting sqref="F2:G21">
    <cfRule type="cellIs" dxfId="0" priority="20" operator="equal">
      <formula>0</formula>
    </cfRule>
  </conditionalFormatting>
  <conditionalFormatting sqref="J2:K21">
    <cfRule type="cellIs" dxfId="0" priority="3" operator="equal">
      <formula>0</formula>
    </cfRule>
  </conditionalFormatting>
  <conditionalFormatting sqref="N2:O21">
    <cfRule type="cellIs" dxfId="0" priority="2" operator="equal">
      <formula>0</formula>
    </cfRule>
  </conditionalFormatting>
  <conditionalFormatting sqref="M22:N22 M23:M43">
    <cfRule type="cellIs" dxfId="0" priority="48" operator="equal">
      <formula>0</formula>
    </cfRule>
    <cfRule type="cellIs" dxfId="0" priority="47" operator="equal">
      <formula>0</formula>
    </cfRule>
  </conditionalFormatting>
  <conditionalFormatting sqref="J23:K43">
    <cfRule type="cellIs" dxfId="0" priority="38" operator="equal">
      <formula>0</formula>
    </cfRule>
  </conditionalFormatting>
  <conditionalFormatting sqref="B24:C43">
    <cfRule type="cellIs" dxfId="0" priority="28" operator="equal">
      <formula>0</formula>
    </cfRule>
  </conditionalFormatting>
  <conditionalFormatting sqref="N24:O43">
    <cfRule type="cellIs" dxfId="0" priority="1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5"/>
  <sheetViews>
    <sheetView topLeftCell="P39" workbookViewId="0">
      <selection activeCell="W1" sqref="W1:Y64"/>
    </sheetView>
  </sheetViews>
  <sheetFormatPr defaultColWidth="11" defaultRowHeight="14.4"/>
  <cols>
    <col min="1" max="1" width="6" customWidth="1"/>
    <col min="2" max="2" width="11" customWidth="1"/>
    <col min="3" max="3" width="8.57407407407407" style="209" customWidth="1"/>
    <col min="4" max="4" width="10.712962962963" style="209" customWidth="1"/>
    <col min="5" max="5" width="4.28703703703704" customWidth="1"/>
    <col min="6" max="6" width="12.712962962963" customWidth="1"/>
    <col min="7" max="7" width="9.71296296296296" style="209" customWidth="1"/>
    <col min="8" max="8" width="11.4259259259259" style="209"/>
    <col min="9" max="9" width="4.28703703703704" customWidth="1"/>
    <col min="10" max="10" width="12" customWidth="1"/>
    <col min="11" max="11" width="12" style="209" customWidth="1"/>
    <col min="12" max="12" width="13" style="209" customWidth="1"/>
    <col min="13" max="13" width="12" customWidth="1"/>
    <col min="14" max="14" width="4.28703703703704" customWidth="1"/>
    <col min="15" max="15" width="12" customWidth="1"/>
    <col min="16" max="16" width="12.712962962963" style="209" customWidth="1"/>
    <col min="17" max="17" width="13" style="209" customWidth="1"/>
    <col min="18" max="18" width="12" customWidth="1"/>
    <col min="19" max="19" width="6" customWidth="1"/>
    <col min="20" max="20" width="12.287037037037" customWidth="1"/>
    <col min="21" max="21" width="11.287037037037" customWidth="1"/>
    <col min="23" max="23" width="4.28703703703704" customWidth="1"/>
    <col min="24" max="24" width="12.712962962963" customWidth="1"/>
    <col min="25" max="25" width="9.71296296296296" customWidth="1"/>
  </cols>
  <sheetData>
    <row r="1" ht="29.55" spans="1:25">
      <c r="B1" s="210" t="s">
        <v>0</v>
      </c>
      <c r="C1" s="210" t="s">
        <v>32</v>
      </c>
      <c r="E1" s="211"/>
      <c r="F1" s="210" t="s">
        <v>35</v>
      </c>
      <c r="G1" s="210" t="s">
        <v>39</v>
      </c>
      <c r="I1" s="211"/>
      <c r="J1" s="210" t="s">
        <v>11</v>
      </c>
      <c r="K1" s="210" t="s">
        <v>224</v>
      </c>
      <c r="L1" s="210" t="s">
        <v>225</v>
      </c>
      <c r="M1" s="210"/>
      <c r="N1" s="211"/>
      <c r="O1" s="210" t="s">
        <v>38</v>
      </c>
      <c r="P1" s="210" t="s">
        <v>226</v>
      </c>
      <c r="Q1" s="210" t="s">
        <v>227</v>
      </c>
      <c r="R1" s="210"/>
      <c r="T1" s="159" t="s">
        <v>228</v>
      </c>
      <c r="U1" s="160" t="s">
        <v>229</v>
      </c>
      <c r="V1" s="212"/>
      <c r="X1" s="159" t="s">
        <v>230</v>
      </c>
      <c r="Y1" s="160" t="s">
        <v>231</v>
      </c>
    </row>
    <row r="2" spans="1:25">
      <c r="A2" s="163" t="s">
        <v>41</v>
      </c>
      <c r="B2" s="163">
        <v>0.0210704</v>
      </c>
      <c r="C2" s="213">
        <v>2989.878</v>
      </c>
      <c r="D2" s="147"/>
      <c r="E2" s="171" t="s">
        <v>42</v>
      </c>
      <c r="F2" s="163">
        <v>0.0213151</v>
      </c>
      <c r="G2" s="213">
        <v>2847.791</v>
      </c>
      <c r="I2" s="171" t="s">
        <v>42</v>
      </c>
      <c r="J2" s="163">
        <v>0.0736281887917676</v>
      </c>
      <c r="K2" s="214">
        <v>4125.0406056968</v>
      </c>
      <c r="L2" s="213">
        <f>Cmoyen!AJ3</f>
        <v>4188.52010761824</v>
      </c>
      <c r="N2" s="171" t="s">
        <v>42</v>
      </c>
      <c r="O2" s="163">
        <v>0.0592512360657662</v>
      </c>
      <c r="P2" s="214">
        <v>3276.12103502579</v>
      </c>
      <c r="Q2" s="213">
        <f>Cmoyen!AL3</f>
        <v>4447.87440676267</v>
      </c>
      <c r="R2" s="215"/>
      <c r="S2" s="163" t="s">
        <v>41</v>
      </c>
      <c r="T2" s="164">
        <f>B2/J2</f>
        <v>0.286173004466951</v>
      </c>
      <c r="U2" s="165">
        <f>((1-B2)*(K2/L2))-1</f>
        <v>-0.0359066576345585</v>
      </c>
      <c r="W2" s="171" t="s">
        <v>42</v>
      </c>
      <c r="X2" s="164">
        <f>F2/O2</f>
        <v>0.359741018336583</v>
      </c>
      <c r="Y2" s="165">
        <f>((1-F2)*(P2/Q2))-1</f>
        <v>-0.279141024603307</v>
      </c>
    </row>
    <row r="3" spans="1:25">
      <c r="A3" s="166" t="s">
        <v>43</v>
      </c>
      <c r="B3" s="166">
        <v>0.0218978</v>
      </c>
      <c r="C3" s="216">
        <v>594.3209</v>
      </c>
      <c r="D3" s="147"/>
      <c r="E3" s="172" t="s">
        <v>44</v>
      </c>
      <c r="F3" s="166">
        <v>0.0193959</v>
      </c>
      <c r="G3" s="216">
        <v>903.8701</v>
      </c>
      <c r="I3" s="172" t="s">
        <v>44</v>
      </c>
      <c r="J3" s="166">
        <v>0.0323451042146396</v>
      </c>
      <c r="K3" s="215">
        <v>1729.4835056968</v>
      </c>
      <c r="L3" s="216">
        <f>Cmoyen!AJ4</f>
        <v>1840.03058623619</v>
      </c>
      <c r="N3" s="172" t="s">
        <v>44</v>
      </c>
      <c r="O3" s="166">
        <v>0.0314366091373029</v>
      </c>
      <c r="P3" s="215">
        <v>1332.20013502581</v>
      </c>
      <c r="Q3" s="216">
        <f>Cmoyen!AL4</f>
        <v>2359.88476361929</v>
      </c>
      <c r="R3" s="215"/>
      <c r="S3" s="166" t="s">
        <v>43</v>
      </c>
      <c r="T3" s="167">
        <f t="shared" ref="T3:T49" si="0">B3/J3</f>
        <v>0.677005084129206</v>
      </c>
      <c r="U3" s="168">
        <f t="shared" ref="U3:U49" si="1">((1-B3)*(K3/L3))-1</f>
        <v>-0.0806611398531337</v>
      </c>
      <c r="W3" s="172" t="s">
        <v>44</v>
      </c>
      <c r="X3" s="167">
        <f t="shared" ref="X3:X64" si="2">F3/O3</f>
        <v>0.616984481859549</v>
      </c>
      <c r="Y3" s="168">
        <f t="shared" ref="Y3:Y64" si="3">((1-F3)*(P3/Q3))-1</f>
        <v>-0.446430209404236</v>
      </c>
    </row>
    <row r="4" spans="1:25">
      <c r="A4" s="166" t="s">
        <v>45</v>
      </c>
      <c r="B4" s="166">
        <v>0.0112735</v>
      </c>
      <c r="C4" s="216">
        <v>1455.317</v>
      </c>
      <c r="D4" s="147"/>
      <c r="E4" s="172" t="s">
        <v>46</v>
      </c>
      <c r="F4" s="166">
        <v>0.0105711</v>
      </c>
      <c r="G4" s="216">
        <v>2132.188</v>
      </c>
      <c r="I4" s="172" t="s">
        <v>46</v>
      </c>
      <c r="J4" s="166">
        <v>0.0368558515865583</v>
      </c>
      <c r="K4" s="215">
        <v>2590.4796056968</v>
      </c>
      <c r="L4" s="216">
        <f>Cmoyen!AJ5</f>
        <v>2096.63551401869</v>
      </c>
      <c r="N4" s="172" t="s">
        <v>46</v>
      </c>
      <c r="O4" s="166">
        <v>0.0389744943926736</v>
      </c>
      <c r="P4" s="215">
        <v>2560.51803502575</v>
      </c>
      <c r="Q4" s="216">
        <f>Cmoyen!AL5</f>
        <v>2925.73906700062</v>
      </c>
      <c r="R4" s="215"/>
      <c r="S4" s="166" t="s">
        <v>45</v>
      </c>
      <c r="T4" s="167">
        <f t="shared" si="0"/>
        <v>0.305880871413959</v>
      </c>
      <c r="U4" s="168">
        <f t="shared" si="1"/>
        <v>0.221612348325005</v>
      </c>
      <c r="W4" s="172" t="s">
        <v>46</v>
      </c>
      <c r="X4" s="167">
        <f t="shared" si="2"/>
        <v>0.271231228646475</v>
      </c>
      <c r="Y4" s="168">
        <f t="shared" si="3"/>
        <v>-0.134081855965746</v>
      </c>
    </row>
    <row r="5" spans="1:25">
      <c r="A5" s="166" t="s">
        <v>47</v>
      </c>
      <c r="B5" s="166">
        <v>0.0634646</v>
      </c>
      <c r="C5" s="216">
        <v>2205.371</v>
      </c>
      <c r="D5" s="147"/>
      <c r="E5" s="172" t="s">
        <v>48</v>
      </c>
      <c r="F5" s="166">
        <v>0.0487742</v>
      </c>
      <c r="G5" s="216">
        <v>2956.231</v>
      </c>
      <c r="I5" s="172" t="s">
        <v>48</v>
      </c>
      <c r="J5" s="217">
        <v>0.102231907964389</v>
      </c>
      <c r="K5" s="215">
        <v>3340.5336056968</v>
      </c>
      <c r="L5" s="216">
        <f>Cmoyen!AJ6</f>
        <v>5815.71282922685</v>
      </c>
      <c r="N5" s="172" t="s">
        <v>48</v>
      </c>
      <c r="O5" s="166">
        <v>0.0881548427197363</v>
      </c>
      <c r="P5" s="215">
        <v>3384.5610350258</v>
      </c>
      <c r="Q5" s="216">
        <f>Cmoyen!AL6</f>
        <v>6617.6116280526</v>
      </c>
      <c r="R5" s="215"/>
      <c r="S5" s="166" t="s">
        <v>47</v>
      </c>
      <c r="T5" s="167">
        <f t="shared" si="0"/>
        <v>0.620790526790394</v>
      </c>
      <c r="U5" s="168">
        <f t="shared" si="1"/>
        <v>-0.462055973447952</v>
      </c>
      <c r="W5" s="172" t="s">
        <v>48</v>
      </c>
      <c r="X5" s="167">
        <f t="shared" si="2"/>
        <v>0.55327873654161</v>
      </c>
      <c r="Y5" s="168">
        <f t="shared" si="3"/>
        <v>-0.513497926571635</v>
      </c>
    </row>
    <row r="6" spans="1:25">
      <c r="A6" s="166" t="s">
        <v>49</v>
      </c>
      <c r="B6" s="166">
        <v>0.0132582</v>
      </c>
      <c r="C6" s="216">
        <v>104.8367</v>
      </c>
      <c r="D6" s="147"/>
      <c r="E6" s="172" t="s">
        <v>50</v>
      </c>
      <c r="F6" s="166">
        <v>0.0139988</v>
      </c>
      <c r="G6" s="216">
        <v>57.54517</v>
      </c>
      <c r="I6" s="172" t="s">
        <v>50</v>
      </c>
      <c r="J6" s="217">
        <v>0.0151011281346459</v>
      </c>
      <c r="K6" s="215">
        <v>1239.9993056968</v>
      </c>
      <c r="L6" s="216">
        <f>Cmoyen!AJ7</f>
        <v>859.064712546021</v>
      </c>
      <c r="N6" s="172" t="s">
        <v>50</v>
      </c>
      <c r="O6" s="166">
        <v>0.0147653253427812</v>
      </c>
      <c r="P6" s="215">
        <v>485.87520502579</v>
      </c>
      <c r="Q6" s="216">
        <f>Cmoyen!AL7</f>
        <v>1108.40409517846</v>
      </c>
      <c r="R6" s="215"/>
      <c r="S6" s="166" t="s">
        <v>49</v>
      </c>
      <c r="T6" s="167">
        <f t="shared" si="0"/>
        <v>0.877960896814207</v>
      </c>
      <c r="U6" s="168">
        <f t="shared" si="1"/>
        <v>0.424292173840703</v>
      </c>
      <c r="W6" s="172" t="s">
        <v>50</v>
      </c>
      <c r="X6" s="167">
        <f t="shared" si="2"/>
        <v>0.948086118999337</v>
      </c>
      <c r="Y6" s="168">
        <f t="shared" si="3"/>
        <v>-0.567780796471578</v>
      </c>
    </row>
    <row r="7" spans="1:25">
      <c r="A7" s="166" t="s">
        <v>51</v>
      </c>
      <c r="B7" s="166">
        <v>0.0126459</v>
      </c>
      <c r="C7" s="216">
        <v>1508.491</v>
      </c>
      <c r="D7" s="147"/>
      <c r="E7" s="172" t="s">
        <v>52</v>
      </c>
      <c r="F7" s="166">
        <v>0.0090289</v>
      </c>
      <c r="G7" s="216">
        <v>1572.525</v>
      </c>
      <c r="I7" s="172" t="s">
        <v>52</v>
      </c>
      <c r="J7" s="217">
        <v>0.0391629677971846</v>
      </c>
      <c r="K7" s="215">
        <v>2643.6536056968</v>
      </c>
      <c r="L7" s="216">
        <f>Cmoyen!AJ8</f>
        <v>2227.88147833475</v>
      </c>
      <c r="N7" s="172" t="s">
        <v>52</v>
      </c>
      <c r="O7" s="166">
        <v>0.0299769087391944</v>
      </c>
      <c r="P7" s="215">
        <v>2000.85503502579</v>
      </c>
      <c r="Q7" s="216">
        <f>Cmoyen!AL8</f>
        <v>2250.30790964308</v>
      </c>
      <c r="R7" s="215"/>
      <c r="S7" s="166" t="s">
        <v>51</v>
      </c>
      <c r="T7" s="167">
        <f t="shared" si="0"/>
        <v>0.322904537406103</v>
      </c>
      <c r="U7" s="168">
        <f t="shared" si="1"/>
        <v>0.171616287467659</v>
      </c>
      <c r="W7" s="172" t="s">
        <v>52</v>
      </c>
      <c r="X7" s="167">
        <f t="shared" si="2"/>
        <v>0.30119516587095</v>
      </c>
      <c r="Y7" s="168">
        <f t="shared" si="3"/>
        <v>-0.118880795599865</v>
      </c>
    </row>
    <row r="8" spans="1:25">
      <c r="A8" s="166" t="s">
        <v>53</v>
      </c>
      <c r="B8" s="166">
        <v>0.0048958</v>
      </c>
      <c r="C8" s="216">
        <v>546.9978</v>
      </c>
      <c r="D8" s="147"/>
      <c r="E8" s="172" t="s">
        <v>54</v>
      </c>
      <c r="F8" s="166">
        <v>0.0050353</v>
      </c>
      <c r="G8" s="216">
        <v>701.2007</v>
      </c>
      <c r="I8" s="172" t="s">
        <v>54</v>
      </c>
      <c r="J8" s="217">
        <v>0.0145112504097217</v>
      </c>
      <c r="K8" s="215">
        <v>1682.1604056968</v>
      </c>
      <c r="L8" s="216">
        <f>Cmoyen!AJ9</f>
        <v>825.508071367884</v>
      </c>
      <c r="N8" s="172" t="s">
        <v>54</v>
      </c>
      <c r="O8" s="166">
        <v>0.014376150143691</v>
      </c>
      <c r="P8" s="215">
        <v>1129.53073502579</v>
      </c>
      <c r="Q8" s="216">
        <f>Cmoyen!AL9</f>
        <v>1079.18947413901</v>
      </c>
      <c r="R8" s="215"/>
      <c r="S8" s="166" t="s">
        <v>53</v>
      </c>
      <c r="T8" s="167">
        <f t="shared" si="0"/>
        <v>0.337379609735086</v>
      </c>
      <c r="U8" s="168">
        <f t="shared" si="1"/>
        <v>1.02775108183844</v>
      </c>
      <c r="W8" s="172" t="s">
        <v>54</v>
      </c>
      <c r="X8" s="167">
        <f t="shared" si="2"/>
        <v>0.35025371533211</v>
      </c>
      <c r="Y8" s="168">
        <f t="shared" si="3"/>
        <v>0.0413771036937975</v>
      </c>
    </row>
    <row r="9" spans="1:25">
      <c r="A9" s="166" t="s">
        <v>55</v>
      </c>
      <c r="B9" s="166">
        <v>0.0201052</v>
      </c>
      <c r="C9" s="216">
        <v>330.4513</v>
      </c>
      <c r="D9" s="147"/>
      <c r="E9" s="172" t="s">
        <v>56</v>
      </c>
      <c r="F9" s="166">
        <v>0.0236555</v>
      </c>
      <c r="G9" s="216">
        <v>291.5272</v>
      </c>
      <c r="I9" s="172" t="s">
        <v>56</v>
      </c>
      <c r="J9" s="217">
        <v>0.0259140736906597</v>
      </c>
      <c r="K9" s="215">
        <v>1465.6139056968</v>
      </c>
      <c r="L9" s="216">
        <f>Cmoyen!AJ10</f>
        <v>1474.18564146134</v>
      </c>
      <c r="N9" s="172" t="s">
        <v>56</v>
      </c>
      <c r="O9" s="166">
        <v>0.0275390207458289</v>
      </c>
      <c r="P9" s="215">
        <v>719.85723502579</v>
      </c>
      <c r="Q9" s="216">
        <f>Cmoyen!AL10</f>
        <v>2067.30042604884</v>
      </c>
      <c r="R9" s="215"/>
      <c r="S9" s="166" t="s">
        <v>55</v>
      </c>
      <c r="T9" s="167">
        <f t="shared" si="0"/>
        <v>0.775840967344575</v>
      </c>
      <c r="U9" s="168">
        <f t="shared" si="1"/>
        <v>-0.0258028537190547</v>
      </c>
      <c r="W9" s="172" t="s">
        <v>56</v>
      </c>
      <c r="X9" s="167">
        <f t="shared" si="2"/>
        <v>0.858981160525937</v>
      </c>
      <c r="Y9" s="168">
        <f t="shared" si="3"/>
        <v>-0.660025875607287</v>
      </c>
    </row>
    <row r="10" spans="1:25">
      <c r="A10" s="166" t="s">
        <v>57</v>
      </c>
      <c r="B10" s="166">
        <v>0.0051161</v>
      </c>
      <c r="C10" s="216">
        <v>668.8648</v>
      </c>
      <c r="D10" s="147"/>
      <c r="E10" s="172" t="s">
        <v>58</v>
      </c>
      <c r="F10" s="166">
        <v>0.005039</v>
      </c>
      <c r="G10" s="216">
        <v>551.8441</v>
      </c>
      <c r="I10" s="172" t="s">
        <v>58</v>
      </c>
      <c r="J10" s="217">
        <v>0.0168738105513833</v>
      </c>
      <c r="K10" s="215">
        <v>1804.0274056968</v>
      </c>
      <c r="L10" s="216">
        <f>Cmoyen!AJ11</f>
        <v>959.908099688474</v>
      </c>
      <c r="N10" s="172" t="s">
        <v>58</v>
      </c>
      <c r="O10" s="166">
        <v>0.0123902733596609</v>
      </c>
      <c r="P10" s="215">
        <v>980.17413502579</v>
      </c>
      <c r="Q10" s="216">
        <f>Cmoyen!AL11</f>
        <v>930.113587977456</v>
      </c>
      <c r="R10" s="215"/>
      <c r="S10" s="166" t="s">
        <v>57</v>
      </c>
      <c r="T10" s="167">
        <f t="shared" si="0"/>
        <v>0.30319766743977</v>
      </c>
      <c r="U10" s="168">
        <f t="shared" si="1"/>
        <v>0.86976005481045</v>
      </c>
      <c r="W10" s="172" t="s">
        <v>58</v>
      </c>
      <c r="X10" s="167">
        <f t="shared" si="2"/>
        <v>0.406689977995604</v>
      </c>
      <c r="Y10" s="168">
        <f t="shared" si="3"/>
        <v>0.0485117626117646</v>
      </c>
    </row>
    <row r="11" spans="1:25">
      <c r="A11" s="166" t="s">
        <v>59</v>
      </c>
      <c r="B11" s="166">
        <v>0.0006939</v>
      </c>
      <c r="C11" s="216">
        <v>-18.69872</v>
      </c>
      <c r="D11" s="147"/>
      <c r="E11" s="172" t="s">
        <v>60</v>
      </c>
      <c r="F11" s="166">
        <v>0.0005611</v>
      </c>
      <c r="G11" s="216">
        <v>-18.56092</v>
      </c>
      <c r="I11" s="172" t="s">
        <v>60</v>
      </c>
      <c r="J11" s="217">
        <v>0.000365229490393433</v>
      </c>
      <c r="K11" s="215">
        <v>1116.4638856968</v>
      </c>
      <c r="L11" s="216">
        <f>Cmoyen!AJ12</f>
        <v>20.7769753610875</v>
      </c>
      <c r="N11" s="172" t="s">
        <v>60</v>
      </c>
      <c r="O11" s="166">
        <v>0.000313818721436118</v>
      </c>
      <c r="P11" s="215">
        <v>409.76911502579</v>
      </c>
      <c r="Q11" s="216">
        <f>Cmoyen!AL12</f>
        <v>23.5577576455855</v>
      </c>
      <c r="R11" s="215"/>
      <c r="S11" s="166" t="s">
        <v>59</v>
      </c>
      <c r="T11" s="167">
        <f t="shared" si="0"/>
        <v>1.89990134491198</v>
      </c>
      <c r="U11" s="168">
        <f t="shared" si="1"/>
        <v>52.6983440571456</v>
      </c>
      <c r="W11" s="172" t="s">
        <v>60</v>
      </c>
      <c r="X11" s="167">
        <f t="shared" si="2"/>
        <v>1.78797490931152</v>
      </c>
      <c r="Y11" s="168">
        <f t="shared" si="3"/>
        <v>16.3844726538348</v>
      </c>
    </row>
    <row r="12" spans="1:25">
      <c r="A12" s="166" t="s">
        <v>61</v>
      </c>
      <c r="B12" s="166">
        <v>0.0038916</v>
      </c>
      <c r="C12" s="216">
        <v>633.9666</v>
      </c>
      <c r="D12" s="147"/>
      <c r="E12" s="172" t="s">
        <v>62</v>
      </c>
      <c r="F12" s="166">
        <v>0.003967</v>
      </c>
      <c r="G12" s="216">
        <v>796.9309</v>
      </c>
      <c r="I12" s="172" t="s">
        <v>62</v>
      </c>
      <c r="J12" s="217">
        <v>0.0150358643998962</v>
      </c>
      <c r="K12" s="215">
        <v>1769.1292056968</v>
      </c>
      <c r="L12" s="216">
        <f>Cmoyen!AJ13</f>
        <v>855.352024922118</v>
      </c>
      <c r="N12" s="172" t="s">
        <v>62</v>
      </c>
      <c r="O12" s="166">
        <v>0.0145830693667379</v>
      </c>
      <c r="P12" s="215">
        <v>1225.26093502579</v>
      </c>
      <c r="Q12" s="216">
        <f>Cmoyen!AL13</f>
        <v>1094.72249551659</v>
      </c>
      <c r="R12" s="215"/>
      <c r="S12" s="166" t="s">
        <v>61</v>
      </c>
      <c r="T12" s="167">
        <f t="shared" si="0"/>
        <v>0.258821168939703</v>
      </c>
      <c r="U12" s="168">
        <f t="shared" si="1"/>
        <v>1.06025637530976</v>
      </c>
      <c r="W12" s="172" t="s">
        <v>62</v>
      </c>
      <c r="X12" s="167">
        <f t="shared" si="2"/>
        <v>0.272027780999809</v>
      </c>
      <c r="Y12" s="168">
        <f t="shared" si="3"/>
        <v>0.11480336788059</v>
      </c>
    </row>
    <row r="13" spans="1:25">
      <c r="A13" s="166" t="s">
        <v>63</v>
      </c>
      <c r="B13" s="166">
        <v>0.0032322</v>
      </c>
      <c r="C13" s="216">
        <v>404.0031</v>
      </c>
      <c r="D13" s="147"/>
      <c r="E13" s="172" t="s">
        <v>64</v>
      </c>
      <c r="F13" s="166">
        <v>0.004033</v>
      </c>
      <c r="G13" s="216">
        <v>638.0866</v>
      </c>
      <c r="I13" s="172" t="s">
        <v>64</v>
      </c>
      <c r="J13" s="217">
        <v>0.0103339681390457</v>
      </c>
      <c r="K13" s="215">
        <v>1539.1657056968</v>
      </c>
      <c r="L13" s="216">
        <f>Cmoyen!AJ14</f>
        <v>587.873123760974</v>
      </c>
      <c r="N13" s="172" t="s">
        <v>64</v>
      </c>
      <c r="O13" s="166">
        <v>0.0125331087445951</v>
      </c>
      <c r="P13" s="215">
        <v>1066.41663502579</v>
      </c>
      <c r="Q13" s="216">
        <f>Cmoyen!AL14</f>
        <v>940.835960964308</v>
      </c>
      <c r="R13" s="215"/>
      <c r="S13" s="166" t="s">
        <v>63</v>
      </c>
      <c r="T13" s="167">
        <f t="shared" si="0"/>
        <v>0.312774333780603</v>
      </c>
      <c r="U13" s="168">
        <f t="shared" si="1"/>
        <v>1.60973116867074</v>
      </c>
      <c r="W13" s="172" t="s">
        <v>64</v>
      </c>
      <c r="X13" s="167">
        <f t="shared" si="2"/>
        <v>0.321787681108186</v>
      </c>
      <c r="Y13" s="168">
        <f t="shared" si="3"/>
        <v>0.128906441509865</v>
      </c>
    </row>
    <row r="14" spans="1:25">
      <c r="A14" s="166" t="s">
        <v>65</v>
      </c>
      <c r="B14" s="166">
        <v>0.005203</v>
      </c>
      <c r="C14" s="216">
        <v>-118.282</v>
      </c>
      <c r="D14" s="147"/>
      <c r="E14" s="172" t="s">
        <v>66</v>
      </c>
      <c r="F14" s="166">
        <v>0.0045211</v>
      </c>
      <c r="G14" s="216">
        <v>-63.47913</v>
      </c>
      <c r="I14" s="172" t="s">
        <v>66</v>
      </c>
      <c r="J14" s="217">
        <v>0.00312374552474269</v>
      </c>
      <c r="K14" s="215">
        <v>1016.8806056968</v>
      </c>
      <c r="L14" s="216">
        <f>Cmoyen!AJ15</f>
        <v>177.701925800057</v>
      </c>
      <c r="N14" s="172" t="s">
        <v>66</v>
      </c>
      <c r="O14" s="166">
        <v>0.00367544055545216</v>
      </c>
      <c r="P14" s="215">
        <v>364.85090502579</v>
      </c>
      <c r="Q14" s="216">
        <f>Cmoyen!AL15</f>
        <v>275.908134001252</v>
      </c>
      <c r="R14" s="215"/>
      <c r="S14" s="166" t="s">
        <v>65</v>
      </c>
      <c r="T14" s="167">
        <f t="shared" si="0"/>
        <v>1.66562863677206</v>
      </c>
      <c r="U14" s="168">
        <f t="shared" si="1"/>
        <v>4.69262134527209</v>
      </c>
      <c r="W14" s="172" t="s">
        <v>66</v>
      </c>
      <c r="X14" s="167">
        <f t="shared" si="2"/>
        <v>1.23008383125484</v>
      </c>
      <c r="Y14" s="168">
        <f t="shared" si="3"/>
        <v>0.31638517622474</v>
      </c>
    </row>
    <row r="15" spans="1:25">
      <c r="A15" s="166" t="s">
        <v>67</v>
      </c>
      <c r="B15" s="166">
        <v>0.0001602</v>
      </c>
      <c r="C15" s="216">
        <v>-5.97013</v>
      </c>
      <c r="D15" s="147"/>
      <c r="E15" s="172" t="s">
        <v>68</v>
      </c>
      <c r="F15" s="166">
        <v>0.0001367</v>
      </c>
      <c r="G15" s="216">
        <v>-3.145379</v>
      </c>
      <c r="I15" s="172" t="s">
        <v>68</v>
      </c>
      <c r="J15" s="217">
        <v>5.52423076891196e-5</v>
      </c>
      <c r="K15" s="215">
        <v>1129.1924756968</v>
      </c>
      <c r="L15" s="216">
        <f>Cmoyen!AJ16</f>
        <v>3.14259416595865</v>
      </c>
      <c r="N15" s="172" t="s">
        <v>68</v>
      </c>
      <c r="O15" s="166">
        <v>9.48467821059777e-5</v>
      </c>
      <c r="P15" s="215">
        <v>425.18465602579</v>
      </c>
      <c r="Q15" s="216">
        <f>Cmoyen!AL16</f>
        <v>7.11996242955542</v>
      </c>
      <c r="R15" s="215"/>
      <c r="S15" s="166" t="s">
        <v>67</v>
      </c>
      <c r="T15" s="167">
        <f t="shared" si="0"/>
        <v>2.89995126383094</v>
      </c>
      <c r="U15" s="168">
        <f t="shared" si="1"/>
        <v>358.261017948777</v>
      </c>
      <c r="W15" s="172" t="s">
        <v>68</v>
      </c>
      <c r="X15" s="167">
        <f t="shared" si="2"/>
        <v>1.44127188044458</v>
      </c>
      <c r="Y15" s="168">
        <f t="shared" si="3"/>
        <v>58.7090978343627</v>
      </c>
    </row>
    <row r="16" spans="1:25">
      <c r="A16" s="166" t="s">
        <v>69</v>
      </c>
      <c r="B16" s="166">
        <v>0.0228657</v>
      </c>
      <c r="C16" s="216">
        <v>-45.90055</v>
      </c>
      <c r="D16" s="147"/>
      <c r="E16" s="172" t="s">
        <v>70</v>
      </c>
      <c r="F16" s="166">
        <v>0.0260132</v>
      </c>
      <c r="G16" s="216">
        <v>-172.056</v>
      </c>
      <c r="I16" s="172" t="s">
        <v>70</v>
      </c>
      <c r="J16" s="217">
        <v>0.0220588311982736</v>
      </c>
      <c r="K16" s="215">
        <v>1089.2620556968</v>
      </c>
      <c r="L16" s="216">
        <f>Cmoyen!AJ17</f>
        <v>1254.8707165109</v>
      </c>
      <c r="N16" s="172" t="s">
        <v>70</v>
      </c>
      <c r="O16" s="166">
        <v>0.0237212223288754</v>
      </c>
      <c r="P16" s="215">
        <v>256.27403502579</v>
      </c>
      <c r="Q16" s="216">
        <f>Cmoyen!AL17</f>
        <v>1780.7057658109</v>
      </c>
      <c r="R16" s="215"/>
      <c r="S16" s="166" t="s">
        <v>69</v>
      </c>
      <c r="T16" s="167">
        <f t="shared" si="0"/>
        <v>1.03657803962839</v>
      </c>
      <c r="U16" s="168">
        <f t="shared" si="1"/>
        <v>-0.151820739534641</v>
      </c>
      <c r="W16" s="172" t="s">
        <v>70</v>
      </c>
      <c r="X16" s="167">
        <f t="shared" si="2"/>
        <v>1.09662139831363</v>
      </c>
      <c r="Y16" s="168">
        <f t="shared" si="3"/>
        <v>-0.859826630490978</v>
      </c>
    </row>
    <row r="17" spans="1:25">
      <c r="A17" s="166" t="s">
        <v>71</v>
      </c>
      <c r="B17" s="166">
        <v>9.29e-6</v>
      </c>
      <c r="C17" s="216">
        <v>87.40372</v>
      </c>
      <c r="D17" s="147"/>
      <c r="E17" s="172" t="s">
        <v>72</v>
      </c>
      <c r="F17" s="166">
        <v>9.36e-5</v>
      </c>
      <c r="G17" s="216">
        <v>41.0479</v>
      </c>
      <c r="I17" s="172" t="s">
        <v>72</v>
      </c>
      <c r="J17" s="217">
        <v>0.00154571924749059</v>
      </c>
      <c r="K17" s="215">
        <v>1222.5663256968</v>
      </c>
      <c r="L17" s="216">
        <f>Cmoyen!AJ18</f>
        <v>87.9320305862362</v>
      </c>
      <c r="N17" s="172" t="s">
        <v>72</v>
      </c>
      <c r="O17" s="166">
        <v>0.000640431863697447</v>
      </c>
      <c r="P17" s="215">
        <v>469.37793502579</v>
      </c>
      <c r="Q17" s="216">
        <f>Cmoyen!AL18</f>
        <v>48.075967438948</v>
      </c>
      <c r="R17" s="215"/>
      <c r="S17" s="166" t="s">
        <v>71</v>
      </c>
      <c r="T17" s="167">
        <f t="shared" si="0"/>
        <v>0.00601014706589305</v>
      </c>
      <c r="U17" s="168">
        <f t="shared" si="1"/>
        <v>12.9034088022869</v>
      </c>
      <c r="W17" s="172" t="s">
        <v>72</v>
      </c>
      <c r="X17" s="167">
        <f t="shared" si="2"/>
        <v>0.146151378945471</v>
      </c>
      <c r="Y17" s="168">
        <f t="shared" si="3"/>
        <v>8.76234127471448</v>
      </c>
    </row>
    <row r="18" spans="1:25">
      <c r="A18" s="166" t="s">
        <v>73</v>
      </c>
      <c r="B18" s="166">
        <v>8.92e-5</v>
      </c>
      <c r="C18" s="216">
        <v>-0.5574694</v>
      </c>
      <c r="D18" s="147"/>
      <c r="E18" s="172" t="s">
        <v>74</v>
      </c>
      <c r="F18" s="166">
        <v>9.08e-5</v>
      </c>
      <c r="G18" s="216">
        <v>4.947732</v>
      </c>
      <c r="I18" s="172" t="s">
        <v>74</v>
      </c>
      <c r="J18" s="217">
        <v>7.93997715796665e-5</v>
      </c>
      <c r="K18" s="215">
        <v>1134.6051362968</v>
      </c>
      <c r="L18" s="216">
        <f>Cmoyen!AJ19</f>
        <v>4.51685075049561</v>
      </c>
      <c r="N18" s="172" t="s">
        <v>74</v>
      </c>
      <c r="O18" s="166">
        <v>0.000156679058452597</v>
      </c>
      <c r="P18" s="215">
        <v>433.27776702579</v>
      </c>
      <c r="Q18" s="216">
        <f>Cmoyen!AL19</f>
        <v>11.761590482154</v>
      </c>
      <c r="R18" s="215"/>
      <c r="S18" s="166" t="s">
        <v>73</v>
      </c>
      <c r="T18" s="167">
        <f t="shared" si="0"/>
        <v>1.12342892460969</v>
      </c>
      <c r="U18" s="168">
        <f t="shared" si="1"/>
        <v>250.171444926348</v>
      </c>
      <c r="W18" s="172" t="s">
        <v>74</v>
      </c>
      <c r="X18" s="167">
        <f t="shared" si="2"/>
        <v>0.579528629395431</v>
      </c>
      <c r="Y18" s="168">
        <f t="shared" si="3"/>
        <v>35.8350204049274</v>
      </c>
    </row>
    <row r="19" spans="1:25">
      <c r="A19" s="166" t="s">
        <v>75</v>
      </c>
      <c r="B19" s="166">
        <v>0.0165885</v>
      </c>
      <c r="C19" s="216">
        <v>-174.4553</v>
      </c>
      <c r="D19" s="147"/>
      <c r="E19" s="172" t="s">
        <v>76</v>
      </c>
      <c r="F19" s="166">
        <v>0.0246255</v>
      </c>
      <c r="G19" s="216">
        <v>-802.6561</v>
      </c>
      <c r="I19" s="172" t="s">
        <v>76</v>
      </c>
      <c r="J19" s="217">
        <v>0.0135218522904827</v>
      </c>
      <c r="K19" s="215">
        <v>960.707305696796</v>
      </c>
      <c r="L19" s="216">
        <f>Cmoyen!AJ20</f>
        <v>769.223732653639</v>
      </c>
      <c r="N19" s="172" t="s">
        <v>76</v>
      </c>
      <c r="O19" s="166">
        <v>0.0139331407519592</v>
      </c>
      <c r="P19" s="215">
        <v>-374.32606497421</v>
      </c>
      <c r="Q19" s="216">
        <f>Cmoyen!AL20</f>
        <v>1045.9336255479</v>
      </c>
      <c r="R19" s="215"/>
      <c r="S19" s="166" t="s">
        <v>75</v>
      </c>
      <c r="T19" s="167">
        <f t="shared" si="0"/>
        <v>1.22679198408903</v>
      </c>
      <c r="U19" s="168">
        <f t="shared" si="1"/>
        <v>0.228213031463564</v>
      </c>
      <c r="W19" s="172" t="s">
        <v>76</v>
      </c>
      <c r="X19" s="167">
        <f t="shared" si="2"/>
        <v>1.76740481118999</v>
      </c>
      <c r="Y19" s="168">
        <f t="shared" si="3"/>
        <v>-1.34907387002682</v>
      </c>
    </row>
    <row r="20" spans="1:25">
      <c r="A20" s="166" t="s">
        <v>77</v>
      </c>
      <c r="B20" s="166">
        <v>0.0044673</v>
      </c>
      <c r="C20" s="216">
        <v>79.25642</v>
      </c>
      <c r="D20" s="147"/>
      <c r="E20" s="172" t="s">
        <v>78</v>
      </c>
      <c r="F20" s="166">
        <v>0.0030388</v>
      </c>
      <c r="G20" s="216">
        <v>126.0113</v>
      </c>
      <c r="I20" s="172" t="s">
        <v>78</v>
      </c>
      <c r="J20" s="217">
        <v>0.00586056091301284</v>
      </c>
      <c r="K20" s="215">
        <v>1214.4190256968</v>
      </c>
      <c r="L20" s="216">
        <f>Cmoyen!AJ21</f>
        <v>333.392381761541</v>
      </c>
      <c r="N20" s="172" t="s">
        <v>78</v>
      </c>
      <c r="O20" s="166">
        <v>0.00471740193007012</v>
      </c>
      <c r="P20" s="215">
        <v>554.34133502579</v>
      </c>
      <c r="Q20" s="216">
        <f>Cmoyen!AL21</f>
        <v>354.126136505949</v>
      </c>
      <c r="R20" s="215"/>
      <c r="S20" s="166" t="s">
        <v>77</v>
      </c>
      <c r="T20" s="167">
        <f t="shared" si="0"/>
        <v>0.76226492076565</v>
      </c>
      <c r="U20" s="168">
        <f t="shared" si="1"/>
        <v>2.62633916586624</v>
      </c>
      <c r="W20" s="172" t="s">
        <v>78</v>
      </c>
      <c r="X20" s="167">
        <f t="shared" si="2"/>
        <v>0.644168134292266</v>
      </c>
      <c r="Y20" s="168">
        <f t="shared" si="3"/>
        <v>0.560621331229049</v>
      </c>
    </row>
    <row r="21" spans="1:25">
      <c r="A21" s="166" t="s">
        <v>79</v>
      </c>
      <c r="B21" s="166">
        <v>0.0004375</v>
      </c>
      <c r="C21" s="216">
        <v>13.38731</v>
      </c>
      <c r="D21" s="147"/>
      <c r="E21" s="172" t="s">
        <v>80</v>
      </c>
      <c r="F21" s="166">
        <v>0.0007918</v>
      </c>
      <c r="G21" s="216">
        <v>-1.88172</v>
      </c>
      <c r="I21" s="172" t="s">
        <v>80</v>
      </c>
      <c r="J21" s="217">
        <v>0.000672839508953957</v>
      </c>
      <c r="K21" s="215">
        <v>1148.5499156968</v>
      </c>
      <c r="L21" s="216">
        <f>Cmoyen!AJ22</f>
        <v>38.2761257434155</v>
      </c>
      <c r="N21" s="172" t="s">
        <v>80</v>
      </c>
      <c r="O21" s="166">
        <v>0.000766747319629859</v>
      </c>
      <c r="P21" s="215">
        <v>426.44831502579</v>
      </c>
      <c r="Q21" s="216">
        <f>Cmoyen!AL22</f>
        <v>57.558221665623</v>
      </c>
      <c r="R21" s="215"/>
      <c r="S21" s="166" t="s">
        <v>79</v>
      </c>
      <c r="T21" s="167">
        <f t="shared" si="0"/>
        <v>0.650229355110504</v>
      </c>
      <c r="U21" s="168">
        <f t="shared" si="1"/>
        <v>28.9938252059426</v>
      </c>
      <c r="W21" s="172" t="s">
        <v>80</v>
      </c>
      <c r="X21" s="167">
        <f t="shared" si="2"/>
        <v>1.03267397189238</v>
      </c>
      <c r="Y21" s="168">
        <f t="shared" si="3"/>
        <v>6.40312401806621</v>
      </c>
    </row>
    <row r="22" spans="1:25">
      <c r="A22" s="166" t="s">
        <v>81</v>
      </c>
      <c r="B22" s="166">
        <v>0.0020972</v>
      </c>
      <c r="C22" s="216">
        <v>42.79209</v>
      </c>
      <c r="D22" s="147"/>
      <c r="E22" s="172" t="s">
        <v>82</v>
      </c>
      <c r="F22" s="166">
        <v>0.0040152</v>
      </c>
      <c r="G22" s="216">
        <v>1.412239</v>
      </c>
      <c r="I22" s="172" t="s">
        <v>82</v>
      </c>
      <c r="J22" s="217">
        <v>0.00284944069596635</v>
      </c>
      <c r="K22" s="215">
        <v>1177.9546956968</v>
      </c>
      <c r="L22" s="216">
        <f>Cmoyen!AJ23</f>
        <v>162.097422826395</v>
      </c>
      <c r="N22" s="172" t="s">
        <v>82</v>
      </c>
      <c r="O22" s="166">
        <v>0.00403404111576744</v>
      </c>
      <c r="P22" s="215">
        <v>429.74227402579</v>
      </c>
      <c r="Q22" s="216">
        <f>Cmoyen!AL23</f>
        <v>302.827576706324</v>
      </c>
      <c r="R22" s="215"/>
      <c r="S22" s="166" t="s">
        <v>81</v>
      </c>
      <c r="T22" s="167">
        <f t="shared" si="0"/>
        <v>0.736004087738615</v>
      </c>
      <c r="U22" s="168">
        <f t="shared" si="1"/>
        <v>6.25171485525664</v>
      </c>
      <c r="W22" s="172" t="s">
        <v>82</v>
      </c>
      <c r="X22" s="167">
        <f t="shared" si="2"/>
        <v>0.995329468583302</v>
      </c>
      <c r="Y22" s="168">
        <f t="shared" si="3"/>
        <v>0.413400911179905</v>
      </c>
    </row>
    <row r="23" spans="1:25">
      <c r="A23" s="166" t="s">
        <v>83</v>
      </c>
      <c r="B23" s="166">
        <v>0.0031774</v>
      </c>
      <c r="C23" s="216">
        <v>-121.0574</v>
      </c>
      <c r="D23" s="147"/>
      <c r="E23" s="172" t="s">
        <v>84</v>
      </c>
      <c r="F23" s="166">
        <v>0.0012918</v>
      </c>
      <c r="G23" s="216">
        <v>-55.5687</v>
      </c>
      <c r="I23" s="172" t="s">
        <v>84</v>
      </c>
      <c r="J23" s="217">
        <v>0.00104942462534107</v>
      </c>
      <c r="K23" s="215">
        <v>1014.1052056968</v>
      </c>
      <c r="L23" s="216">
        <f>Cmoyen!AJ24</f>
        <v>59.6990937411498</v>
      </c>
      <c r="N23" s="172" t="s">
        <v>84</v>
      </c>
      <c r="O23" s="166">
        <v>0.000551535350051608</v>
      </c>
      <c r="P23" s="215">
        <v>372.76133502579</v>
      </c>
      <c r="Q23" s="216">
        <f>Cmoyen!AL24</f>
        <v>41.402680025047</v>
      </c>
      <c r="R23" s="215"/>
      <c r="S23" s="166" t="s">
        <v>83</v>
      </c>
      <c r="T23" s="167">
        <f t="shared" si="0"/>
        <v>3.02775437441953</v>
      </c>
      <c r="U23" s="168">
        <f t="shared" si="1"/>
        <v>15.9329704098913</v>
      </c>
      <c r="W23" s="172" t="s">
        <v>84</v>
      </c>
      <c r="X23" s="167">
        <f t="shared" si="2"/>
        <v>2.34218894560272</v>
      </c>
      <c r="Y23" s="168">
        <f t="shared" si="3"/>
        <v>7.99168367139493</v>
      </c>
    </row>
    <row r="24" spans="1:25">
      <c r="A24" s="166" t="s">
        <v>85</v>
      </c>
      <c r="B24" s="166">
        <v>0.0006199</v>
      </c>
      <c r="C24" s="216">
        <v>26.06211</v>
      </c>
      <c r="D24" s="147"/>
      <c r="E24" s="172" t="s">
        <v>86</v>
      </c>
      <c r="F24" s="166">
        <v>0.0007035</v>
      </c>
      <c r="G24" s="216">
        <v>15.92501</v>
      </c>
      <c r="I24" s="172" t="s">
        <v>86</v>
      </c>
      <c r="J24" s="217">
        <v>0.00107803024873418</v>
      </c>
      <c r="K24" s="215">
        <v>1161.2247156968</v>
      </c>
      <c r="L24" s="216">
        <f>Cmoyen!AJ25</f>
        <v>61.3263947890116</v>
      </c>
      <c r="N24" s="172" t="s">
        <v>86</v>
      </c>
      <c r="O24" s="166">
        <v>0.000915633656798313</v>
      </c>
      <c r="P24" s="215">
        <v>444.25504502579</v>
      </c>
      <c r="Q24" s="216">
        <f>Cmoyen!AL25</f>
        <v>68.734827802129</v>
      </c>
      <c r="R24" s="215"/>
      <c r="S24" s="166" t="s">
        <v>85</v>
      </c>
      <c r="T24" s="167">
        <f t="shared" si="0"/>
        <v>0.575030246811611</v>
      </c>
      <c r="U24" s="168">
        <f t="shared" si="1"/>
        <v>17.9234158715535</v>
      </c>
      <c r="W24" s="172" t="s">
        <v>86</v>
      </c>
      <c r="X24" s="167">
        <f t="shared" si="2"/>
        <v>0.768320380947902</v>
      </c>
      <c r="Y24" s="168">
        <f t="shared" si="3"/>
        <v>5.45877098695319</v>
      </c>
    </row>
    <row r="25" spans="1:25">
      <c r="A25" s="166" t="s">
        <v>87</v>
      </c>
      <c r="B25" s="166">
        <v>0.0025395</v>
      </c>
      <c r="C25" s="216">
        <v>-53.78402</v>
      </c>
      <c r="D25" s="147"/>
      <c r="E25" s="172" t="s">
        <v>88</v>
      </c>
      <c r="F25" s="166">
        <v>0.0030657</v>
      </c>
      <c r="G25" s="216">
        <v>-119.0299</v>
      </c>
      <c r="I25" s="172" t="s">
        <v>88</v>
      </c>
      <c r="J25" s="217">
        <v>0.00159407649128262</v>
      </c>
      <c r="K25" s="215">
        <v>1081.3785856968</v>
      </c>
      <c r="L25" s="216">
        <f>Cmoyen!AJ26</f>
        <v>90.6829510053809</v>
      </c>
      <c r="N25" s="172" t="s">
        <v>88</v>
      </c>
      <c r="O25" s="166">
        <v>0.00148008152483054</v>
      </c>
      <c r="P25" s="215">
        <v>309.30013502579</v>
      </c>
      <c r="Q25" s="216">
        <f>Cmoyen!AL26</f>
        <v>111.106825297433</v>
      </c>
      <c r="R25" s="215"/>
      <c r="S25" s="166" t="s">
        <v>87</v>
      </c>
      <c r="T25" s="167">
        <f t="shared" si="0"/>
        <v>1.59308540956944</v>
      </c>
      <c r="U25" s="168">
        <f t="shared" si="1"/>
        <v>10.8945448159756</v>
      </c>
      <c r="W25" s="172" t="s">
        <v>88</v>
      </c>
      <c r="X25" s="167">
        <f t="shared" si="2"/>
        <v>2.07130482244956</v>
      </c>
      <c r="Y25" s="168">
        <f t="shared" si="3"/>
        <v>1.77527427119247</v>
      </c>
    </row>
    <row r="26" spans="1:25">
      <c r="A26" s="166" t="s">
        <v>89</v>
      </c>
      <c r="B26" s="166">
        <v>0.005792</v>
      </c>
      <c r="C26" s="216">
        <v>30.96218</v>
      </c>
      <c r="D26" s="147"/>
      <c r="E26" s="172" t="s">
        <v>90</v>
      </c>
      <c r="F26" s="166">
        <v>0.0068608</v>
      </c>
      <c r="G26" s="216">
        <v>-76.8416</v>
      </c>
      <c r="I26" s="172" t="s">
        <v>90</v>
      </c>
      <c r="J26" s="217">
        <v>0.00633630239973277</v>
      </c>
      <c r="K26" s="215">
        <v>1166.1247856968</v>
      </c>
      <c r="L26" s="216">
        <f>Cmoyen!AJ27</f>
        <v>360.456103086944</v>
      </c>
      <c r="N26" s="172" t="s">
        <v>90</v>
      </c>
      <c r="O26" s="166">
        <v>0.005837153134344</v>
      </c>
      <c r="P26" s="215">
        <v>351.48843502579</v>
      </c>
      <c r="Q26" s="216">
        <f>Cmoyen!AL27</f>
        <v>438.183669380088</v>
      </c>
      <c r="R26" s="215"/>
      <c r="S26" s="166" t="s">
        <v>89</v>
      </c>
      <c r="T26" s="167">
        <f t="shared" si="0"/>
        <v>0.914097786785599</v>
      </c>
      <c r="U26" s="168">
        <f t="shared" si="1"/>
        <v>2.21639883749838</v>
      </c>
      <c r="W26" s="172" t="s">
        <v>90</v>
      </c>
      <c r="X26" s="167">
        <f t="shared" si="2"/>
        <v>1.17536748515868</v>
      </c>
      <c r="Y26" s="168">
        <f t="shared" si="3"/>
        <v>-0.203354740114767</v>
      </c>
    </row>
    <row r="27" spans="1:25">
      <c r="A27" s="166" t="s">
        <v>91</v>
      </c>
      <c r="B27" s="166">
        <v>0.09442</v>
      </c>
      <c r="C27" s="216">
        <v>414.2346</v>
      </c>
      <c r="D27" s="147"/>
      <c r="E27" s="172" t="s">
        <v>92</v>
      </c>
      <c r="F27" s="166">
        <v>0.1265204</v>
      </c>
      <c r="G27" s="216">
        <v>1370.593</v>
      </c>
      <c r="I27" s="172" t="s">
        <v>92</v>
      </c>
      <c r="J27" s="217">
        <v>0.101701626117926</v>
      </c>
      <c r="K27" s="215">
        <v>1549.3972056968</v>
      </c>
      <c r="L27" s="216">
        <f>Cmoyen!AJ28</f>
        <v>5785.54644576607</v>
      </c>
      <c r="N27" s="172" t="s">
        <v>92</v>
      </c>
      <c r="O27" s="166">
        <v>0.144778382397437</v>
      </c>
      <c r="P27" s="215">
        <v>1798.92303502579</v>
      </c>
      <c r="Q27" s="216">
        <f>Cmoyen!AL28</f>
        <v>10868.2300062617</v>
      </c>
      <c r="R27" s="215"/>
      <c r="S27" s="166" t="s">
        <v>91</v>
      </c>
      <c r="T27" s="167">
        <f t="shared" si="0"/>
        <v>0.928402067932694</v>
      </c>
      <c r="U27" s="168">
        <f t="shared" si="1"/>
        <v>-0.757481314049131</v>
      </c>
      <c r="W27" s="172" t="s">
        <v>92</v>
      </c>
      <c r="X27" s="167">
        <f t="shared" si="2"/>
        <v>0.873890134044212</v>
      </c>
      <c r="Y27" s="168">
        <f t="shared" si="3"/>
        <v>-0.855420563223285</v>
      </c>
    </row>
    <row r="28" spans="1:25">
      <c r="A28" s="166" t="s">
        <v>93</v>
      </c>
      <c r="B28" s="166">
        <v>0.0329717</v>
      </c>
      <c r="C28" s="216">
        <v>-295.2462</v>
      </c>
      <c r="D28" s="147"/>
      <c r="E28" s="172" t="s">
        <v>94</v>
      </c>
      <c r="F28" s="166">
        <v>0.0292507</v>
      </c>
      <c r="G28" s="216">
        <v>-511.6632</v>
      </c>
      <c r="I28" s="172" t="s">
        <v>94</v>
      </c>
      <c r="J28" s="217">
        <v>0.0277816584740422</v>
      </c>
      <c r="K28" s="215">
        <v>839.916405696796</v>
      </c>
      <c r="L28" s="216">
        <f>Cmoyen!AJ29</f>
        <v>1580.42778249788</v>
      </c>
      <c r="N28" s="172" t="s">
        <v>94</v>
      </c>
      <c r="O28" s="166">
        <v>0.0224347292441262</v>
      </c>
      <c r="P28" s="215">
        <v>-83.3331649742105</v>
      </c>
      <c r="Q28" s="216">
        <f>Cmoyen!AL29</f>
        <v>1684.13124608641</v>
      </c>
      <c r="R28" s="215"/>
      <c r="S28" s="166" t="s">
        <v>93</v>
      </c>
      <c r="T28" s="167">
        <f t="shared" si="0"/>
        <v>1.18681539587736</v>
      </c>
      <c r="U28" s="168">
        <f t="shared" si="1"/>
        <v>-0.486073996586317</v>
      </c>
      <c r="W28" s="172" t="s">
        <v>94</v>
      </c>
      <c r="X28" s="167">
        <f t="shared" si="2"/>
        <v>1.3038133726378</v>
      </c>
      <c r="Y28" s="168">
        <f t="shared" si="3"/>
        <v>-1.04803403045546</v>
      </c>
    </row>
    <row r="29" spans="1:25">
      <c r="A29" s="166" t="s">
        <v>95</v>
      </c>
      <c r="B29" s="166">
        <v>0.0291496</v>
      </c>
      <c r="C29" s="216">
        <v>2616.315</v>
      </c>
      <c r="D29" s="147"/>
      <c r="E29" s="172" t="s">
        <v>96</v>
      </c>
      <c r="F29" s="166">
        <v>0.0179119</v>
      </c>
      <c r="G29" s="216">
        <v>3410.534</v>
      </c>
      <c r="I29" s="172" t="s">
        <v>96</v>
      </c>
      <c r="J29" s="217">
        <v>0.0751406825031417</v>
      </c>
      <c r="K29" s="215">
        <v>3751.4776056968</v>
      </c>
      <c r="L29" s="216">
        <f>Cmoyen!AJ30</f>
        <v>4274.56202209006</v>
      </c>
      <c r="N29" s="172" t="s">
        <v>96</v>
      </c>
      <c r="O29" s="166">
        <v>0.0633444410576788</v>
      </c>
      <c r="P29" s="215">
        <v>3838.86403502579</v>
      </c>
      <c r="Q29" s="216">
        <f>Cmoyen!AL30</f>
        <v>4755.14329993738</v>
      </c>
      <c r="R29" s="215"/>
      <c r="S29" s="166" t="s">
        <v>95</v>
      </c>
      <c r="T29" s="167">
        <f t="shared" si="0"/>
        <v>0.387933660288236</v>
      </c>
      <c r="U29" s="168">
        <f t="shared" si="1"/>
        <v>-0.147953985634076</v>
      </c>
      <c r="W29" s="172" t="s">
        <v>96</v>
      </c>
      <c r="X29" s="167">
        <f t="shared" si="2"/>
        <v>0.282769880054513</v>
      </c>
      <c r="Y29" s="168">
        <f t="shared" si="3"/>
        <v>-0.207152666384111</v>
      </c>
    </row>
    <row r="30" spans="1:25">
      <c r="A30" s="166" t="s">
        <v>97</v>
      </c>
      <c r="B30" s="166">
        <v>1.71e-8</v>
      </c>
      <c r="C30" s="216">
        <v>0.0041274</v>
      </c>
      <c r="D30" s="147"/>
      <c r="E30" s="172" t="s">
        <v>98</v>
      </c>
      <c r="F30" s="166">
        <v>-2.35e-6</v>
      </c>
      <c r="G30" s="216">
        <v>1.792087</v>
      </c>
      <c r="I30" s="172" t="s">
        <v>98</v>
      </c>
      <c r="J30" s="217">
        <v>8.96103761009465e-8</v>
      </c>
      <c r="K30" s="215">
        <v>1135.1667330968</v>
      </c>
      <c r="L30" s="216">
        <f>Cmoyen!AJ31</f>
        <v>0.00509770603228547</v>
      </c>
      <c r="N30" s="172" t="s">
        <v>98</v>
      </c>
      <c r="O30" s="166">
        <v>2.15241998689834e-5</v>
      </c>
      <c r="P30" s="215">
        <v>430.12212202579</v>
      </c>
      <c r="Q30" s="216">
        <f>Cmoyen!AL31</f>
        <v>1.61577958672511</v>
      </c>
      <c r="R30" s="215"/>
      <c r="S30" s="166" t="s">
        <v>97</v>
      </c>
      <c r="T30" s="167">
        <f t="shared" si="0"/>
        <v>0.190826115725</v>
      </c>
      <c r="U30" s="168">
        <f t="shared" si="1"/>
        <v>222680.870334629</v>
      </c>
      <c r="W30" s="172" t="s">
        <v>98</v>
      </c>
      <c r="X30" s="167">
        <f t="shared" si="2"/>
        <v>-0.109179435904903</v>
      </c>
      <c r="Y30" s="168">
        <f t="shared" si="3"/>
        <v>265.201613355295</v>
      </c>
    </row>
    <row r="31" spans="1:25">
      <c r="A31" s="166" t="s">
        <v>99</v>
      </c>
      <c r="B31" s="166">
        <v>0.0173078</v>
      </c>
      <c r="C31" s="216">
        <v>-334.7967</v>
      </c>
      <c r="D31" s="147"/>
      <c r="E31" s="172" t="s">
        <v>100</v>
      </c>
      <c r="F31" s="166">
        <v>0.0127754</v>
      </c>
      <c r="G31" s="216">
        <v>-289.7341</v>
      </c>
      <c r="I31" s="172" t="s">
        <v>100</v>
      </c>
      <c r="J31" s="217">
        <v>0.0114225226286175</v>
      </c>
      <c r="K31" s="215">
        <v>800.365905696796</v>
      </c>
      <c r="L31" s="216">
        <f>Cmoyen!AJ32</f>
        <v>649.798215802889</v>
      </c>
      <c r="N31" s="172" t="s">
        <v>100</v>
      </c>
      <c r="O31" s="166">
        <v>0.008915821151429</v>
      </c>
      <c r="P31" s="215">
        <v>138.59593502579</v>
      </c>
      <c r="Q31" s="216">
        <f>Cmoyen!AL32</f>
        <v>669.293256105197</v>
      </c>
      <c r="R31" s="215"/>
      <c r="S31" s="166" t="s">
        <v>99</v>
      </c>
      <c r="T31" s="167">
        <f t="shared" si="0"/>
        <v>1.51523446814084</v>
      </c>
      <c r="U31" s="168">
        <f t="shared" si="1"/>
        <v>0.210396263865335</v>
      </c>
      <c r="W31" s="172" t="s">
        <v>100</v>
      </c>
      <c r="X31" s="167">
        <f t="shared" si="2"/>
        <v>1.43289101284321</v>
      </c>
      <c r="Y31" s="168">
        <f t="shared" si="3"/>
        <v>-0.795567465726928</v>
      </c>
    </row>
    <row r="32" spans="1:25">
      <c r="A32" s="166" t="s">
        <v>101</v>
      </c>
      <c r="B32" s="166">
        <v>0.0028274</v>
      </c>
      <c r="C32" s="216">
        <v>67.93055</v>
      </c>
      <c r="D32" s="147"/>
      <c r="E32" s="172" t="s">
        <v>102</v>
      </c>
      <c r="F32" s="166">
        <v>0.0032326</v>
      </c>
      <c r="G32" s="216">
        <v>58.50378</v>
      </c>
      <c r="I32" s="172" t="s">
        <v>102</v>
      </c>
      <c r="J32" s="217">
        <v>0.00402147720758466</v>
      </c>
      <c r="K32" s="215">
        <v>1203.0931556968</v>
      </c>
      <c r="L32" s="216">
        <f>Cmoyen!AJ33</f>
        <v>228.771594449165</v>
      </c>
      <c r="N32" s="172" t="s">
        <v>102</v>
      </c>
      <c r="O32" s="166">
        <v>0.00401191107857228</v>
      </c>
      <c r="P32" s="215">
        <v>486.83381502579</v>
      </c>
      <c r="Q32" s="216">
        <f>Cmoyen!AL33</f>
        <v>301.166318096431</v>
      </c>
      <c r="R32" s="215"/>
      <c r="S32" s="166" t="s">
        <v>101</v>
      </c>
      <c r="T32" s="167">
        <f t="shared" si="0"/>
        <v>0.703074978186477</v>
      </c>
      <c r="U32" s="168">
        <f t="shared" si="1"/>
        <v>4.24405808770532</v>
      </c>
      <c r="W32" s="172" t="s">
        <v>102</v>
      </c>
      <c r="X32" s="167">
        <f t="shared" si="2"/>
        <v>0.805750660144339</v>
      </c>
      <c r="Y32" s="168">
        <f t="shared" si="3"/>
        <v>0.611269411209395</v>
      </c>
    </row>
    <row r="33" spans="1:25">
      <c r="A33" s="166" t="s">
        <v>103</v>
      </c>
      <c r="B33" s="166">
        <v>0.0072276</v>
      </c>
      <c r="C33" s="216">
        <v>-2.612535</v>
      </c>
      <c r="D33" s="147"/>
      <c r="E33" s="172" t="s">
        <v>104</v>
      </c>
      <c r="F33" s="166">
        <v>0.0049211</v>
      </c>
      <c r="G33" s="216">
        <v>42.49681</v>
      </c>
      <c r="I33" s="172" t="s">
        <v>104</v>
      </c>
      <c r="J33" s="217">
        <v>0.0071816518393895</v>
      </c>
      <c r="K33" s="215">
        <v>1132.5500706968</v>
      </c>
      <c r="L33" s="216">
        <f>Cmoyen!AJ34</f>
        <v>408.545879354291</v>
      </c>
      <c r="N33" s="172" t="s">
        <v>104</v>
      </c>
      <c r="O33" s="166">
        <v>0.00548718986407613</v>
      </c>
      <c r="P33" s="215">
        <v>470.82684502579</v>
      </c>
      <c r="Q33" s="216">
        <f>Cmoyen!AL34</f>
        <v>411.912611145899</v>
      </c>
      <c r="R33" s="215"/>
      <c r="S33" s="166" t="s">
        <v>103</v>
      </c>
      <c r="T33" s="167">
        <f t="shared" si="0"/>
        <v>1.00639799333609</v>
      </c>
      <c r="U33" s="168">
        <f t="shared" si="1"/>
        <v>1.75211306397925</v>
      </c>
      <c r="W33" s="172" t="s">
        <v>104</v>
      </c>
      <c r="X33" s="167">
        <f t="shared" si="2"/>
        <v>0.896834285290136</v>
      </c>
      <c r="Y33" s="168">
        <f t="shared" si="3"/>
        <v>0.137401104897923</v>
      </c>
    </row>
    <row r="34" spans="1:25">
      <c r="A34" s="166" t="s">
        <v>105</v>
      </c>
      <c r="B34" s="166">
        <v>0.0005545</v>
      </c>
      <c r="C34" s="216">
        <v>0.5244301</v>
      </c>
      <c r="D34" s="147"/>
      <c r="E34" s="172" t="s">
        <v>106</v>
      </c>
      <c r="F34" s="166">
        <v>0.0007363</v>
      </c>
      <c r="G34" s="216">
        <v>23.23363</v>
      </c>
      <c r="I34" s="172" t="s">
        <v>106</v>
      </c>
      <c r="J34" s="217">
        <v>0.000563686603331662</v>
      </c>
      <c r="K34" s="215">
        <v>1135.6870357968</v>
      </c>
      <c r="L34" s="216">
        <f>Cmoyen!AJ35</f>
        <v>32.0666949872557</v>
      </c>
      <c r="N34" s="172" t="s">
        <v>106</v>
      </c>
      <c r="O34" s="166">
        <v>0.00104581978179955</v>
      </c>
      <c r="P34" s="215">
        <v>451.56366502579</v>
      </c>
      <c r="Q34" s="216">
        <f>Cmoyen!AL35</f>
        <v>78.5076455854728</v>
      </c>
      <c r="R34" s="215"/>
      <c r="S34" s="166" t="s">
        <v>105</v>
      </c>
      <c r="T34" s="167">
        <f t="shared" si="0"/>
        <v>0.983702640301605</v>
      </c>
      <c r="U34" s="168">
        <f t="shared" si="1"/>
        <v>34.3967659525422</v>
      </c>
      <c r="W34" s="172" t="s">
        <v>106</v>
      </c>
      <c r="X34" s="167">
        <f t="shared" si="2"/>
        <v>0.704040995221032</v>
      </c>
      <c r="Y34" s="168">
        <f t="shared" si="3"/>
        <v>4.74760808752018</v>
      </c>
    </row>
    <row r="35" spans="1:25">
      <c r="A35" s="166" t="s">
        <v>107</v>
      </c>
      <c r="B35" s="166">
        <v>5.44e-5</v>
      </c>
      <c r="C35" s="216">
        <v>-0.6915876</v>
      </c>
      <c r="D35" s="147"/>
      <c r="E35" s="172" t="s">
        <v>108</v>
      </c>
      <c r="F35" s="166">
        <v>2.89e-5</v>
      </c>
      <c r="G35" s="216">
        <v>1.932698</v>
      </c>
      <c r="I35" s="172" t="s">
        <v>108</v>
      </c>
      <c r="J35" s="217">
        <v>4.22836516340772e-5</v>
      </c>
      <c r="K35" s="215">
        <v>1134.4710180968</v>
      </c>
      <c r="L35" s="216">
        <f>Cmoyen!AJ36</f>
        <v>2.40540923251204</v>
      </c>
      <c r="N35" s="172" t="s">
        <v>108</v>
      </c>
      <c r="O35" s="166">
        <v>5.46266241939207e-5</v>
      </c>
      <c r="P35" s="215">
        <v>430.26273302579</v>
      </c>
      <c r="Q35" s="216">
        <f>Cmoyen!AL36</f>
        <v>4.10071383844709</v>
      </c>
      <c r="R35" s="215"/>
      <c r="S35" s="166" t="s">
        <v>107</v>
      </c>
      <c r="T35" s="167">
        <f t="shared" si="0"/>
        <v>1.28654924297404</v>
      </c>
      <c r="U35" s="168">
        <f t="shared" si="1"/>
        <v>470.607611520107</v>
      </c>
      <c r="W35" s="172" t="s">
        <v>108</v>
      </c>
      <c r="X35" s="167">
        <f t="shared" si="2"/>
        <v>0.529046054491799</v>
      </c>
      <c r="Y35" s="168">
        <f t="shared" si="3"/>
        <v>103.920829734303</v>
      </c>
    </row>
    <row r="36" spans="1:25">
      <c r="A36" s="166" t="s">
        <v>109</v>
      </c>
      <c r="B36" s="166">
        <v>0.0071022</v>
      </c>
      <c r="C36" s="216">
        <v>288.0811</v>
      </c>
      <c r="D36" s="147"/>
      <c r="E36" s="172" t="s">
        <v>110</v>
      </c>
      <c r="F36" s="166">
        <v>0.006919</v>
      </c>
      <c r="G36" s="216">
        <v>332.5077</v>
      </c>
      <c r="I36" s="172" t="s">
        <v>110</v>
      </c>
      <c r="J36" s="217">
        <v>0.0121662439450673</v>
      </c>
      <c r="K36" s="215">
        <v>1423.2437056968</v>
      </c>
      <c r="L36" s="216">
        <f>Cmoyen!AJ37</f>
        <v>692.106627017842</v>
      </c>
      <c r="N36" s="172" t="s">
        <v>110</v>
      </c>
      <c r="O36" s="166">
        <v>0.0113484041577327</v>
      </c>
      <c r="P36" s="215">
        <v>760.83773502579</v>
      </c>
      <c r="Q36" s="216">
        <f>Cmoyen!AL37</f>
        <v>851.902504696305</v>
      </c>
      <c r="R36" s="215"/>
      <c r="S36" s="166" t="s">
        <v>109</v>
      </c>
      <c r="T36" s="167">
        <f t="shared" si="0"/>
        <v>0.583762748147057</v>
      </c>
      <c r="U36" s="168">
        <f t="shared" si="1"/>
        <v>1.04178877803719</v>
      </c>
      <c r="W36" s="172" t="s">
        <v>110</v>
      </c>
      <c r="X36" s="167">
        <f t="shared" si="2"/>
        <v>0.609689248270689</v>
      </c>
      <c r="Y36" s="168">
        <f t="shared" si="3"/>
        <v>-0.113075152882077</v>
      </c>
    </row>
    <row r="37" spans="1:25">
      <c r="A37" s="166" t="s">
        <v>111</v>
      </c>
      <c r="B37" s="166">
        <v>4.74e-5</v>
      </c>
      <c r="C37" s="216">
        <v>-1.336167</v>
      </c>
      <c r="D37" s="147"/>
      <c r="E37" s="172" t="s">
        <v>112</v>
      </c>
      <c r="F37" s="166">
        <v>0.0003824</v>
      </c>
      <c r="G37" s="216">
        <v>-24.18739</v>
      </c>
      <c r="I37" s="172" t="s">
        <v>112</v>
      </c>
      <c r="J37" s="217">
        <v>2.3945883835864e-5</v>
      </c>
      <c r="K37" s="215">
        <v>1133.8264386968</v>
      </c>
      <c r="L37" s="216">
        <f>Cmoyen!AJ38</f>
        <v>1.36222033418295</v>
      </c>
      <c r="N37" s="172" t="s">
        <v>112</v>
      </c>
      <c r="O37" s="166">
        <v>6.02192125694278e-5</v>
      </c>
      <c r="P37" s="215">
        <v>404.14264502579</v>
      </c>
      <c r="Q37" s="216">
        <f>Cmoyen!AL38</f>
        <v>4.5205385097057</v>
      </c>
      <c r="R37" s="215"/>
      <c r="S37" s="166" t="s">
        <v>111</v>
      </c>
      <c r="T37" s="167">
        <f t="shared" si="0"/>
        <v>1.9794633735343</v>
      </c>
      <c r="U37" s="168">
        <f t="shared" si="1"/>
        <v>831.297585693899</v>
      </c>
      <c r="W37" s="172" t="s">
        <v>112</v>
      </c>
      <c r="X37" s="167">
        <f t="shared" si="2"/>
        <v>6.35013285102531</v>
      </c>
      <c r="Y37" s="168">
        <f t="shared" si="3"/>
        <v>88.3672512712723</v>
      </c>
    </row>
    <row r="38" spans="1:25">
      <c r="A38" s="166" t="s">
        <v>113</v>
      </c>
      <c r="B38" s="166">
        <v>0.0172871</v>
      </c>
      <c r="C38" s="216">
        <v>337.403</v>
      </c>
      <c r="D38" s="147"/>
      <c r="E38" s="172" t="s">
        <v>114</v>
      </c>
      <c r="F38" s="166">
        <v>0.0230178</v>
      </c>
      <c r="G38" s="216">
        <v>260.9154</v>
      </c>
      <c r="I38" s="172" t="s">
        <v>114</v>
      </c>
      <c r="J38" s="217">
        <v>0.0232181206338916</v>
      </c>
      <c r="K38" s="215">
        <v>1472.5656056968</v>
      </c>
      <c r="L38" s="216">
        <f>Cmoyen!AJ39</f>
        <v>1320.81973945058</v>
      </c>
      <c r="N38" s="172" t="s">
        <v>114</v>
      </c>
      <c r="O38" s="166">
        <v>0.0264934887063131</v>
      </c>
      <c r="P38" s="215">
        <v>689.24543502579</v>
      </c>
      <c r="Q38" s="216">
        <f>Cmoyen!AL39</f>
        <v>1988.81438071384</v>
      </c>
      <c r="R38" s="215"/>
      <c r="S38" s="166" t="s">
        <v>113</v>
      </c>
      <c r="T38" s="167">
        <f t="shared" si="0"/>
        <v>0.744552079498027</v>
      </c>
      <c r="U38" s="168">
        <f t="shared" si="1"/>
        <v>0.0956144684940208</v>
      </c>
      <c r="W38" s="172" t="s">
        <v>114</v>
      </c>
      <c r="X38" s="167">
        <f t="shared" si="2"/>
        <v>0.868809700947957</v>
      </c>
      <c r="Y38" s="168">
        <f t="shared" si="3"/>
        <v>-0.661416103995708</v>
      </c>
    </row>
    <row r="39" spans="1:25">
      <c r="A39" s="166" t="s">
        <v>115</v>
      </c>
      <c r="B39" s="166">
        <v>0.045639</v>
      </c>
      <c r="C39" s="216">
        <v>-33.48687</v>
      </c>
      <c r="D39" s="147"/>
      <c r="E39" s="172" t="s">
        <v>116</v>
      </c>
      <c r="F39" s="166">
        <v>0.0760809</v>
      </c>
      <c r="G39" s="216">
        <v>-1005.862</v>
      </c>
      <c r="I39" s="172" t="s">
        <v>116</v>
      </c>
      <c r="J39" s="217">
        <v>0.0450503545719541</v>
      </c>
      <c r="K39" s="215">
        <v>1101.6757356968</v>
      </c>
      <c r="L39" s="216">
        <f>Cmoyen!AJ40</f>
        <v>2562.79991503823</v>
      </c>
      <c r="N39" s="172" t="s">
        <v>116</v>
      </c>
      <c r="O39" s="166">
        <v>0.0626815113001693</v>
      </c>
      <c r="P39" s="215">
        <v>-577.53196497421</v>
      </c>
      <c r="Q39" s="216">
        <f>Cmoyen!AL40</f>
        <v>4705.37845961177</v>
      </c>
      <c r="R39" s="215"/>
      <c r="S39" s="166" t="s">
        <v>115</v>
      </c>
      <c r="T39" s="167">
        <f t="shared" si="0"/>
        <v>1.01306638834786</v>
      </c>
      <c r="U39" s="168">
        <f t="shared" si="1"/>
        <v>-0.589746998731406</v>
      </c>
      <c r="W39" s="172" t="s">
        <v>116</v>
      </c>
      <c r="X39" s="167">
        <f t="shared" si="2"/>
        <v>1.21376939422637</v>
      </c>
      <c r="Y39" s="168">
        <f t="shared" si="3"/>
        <v>-1.1134006154617</v>
      </c>
    </row>
    <row r="40" spans="1:25">
      <c r="A40" s="166" t="s">
        <v>117</v>
      </c>
      <c r="B40" s="166">
        <v>0.0027726</v>
      </c>
      <c r="C40" s="216">
        <v>65.45337</v>
      </c>
      <c r="D40" s="147"/>
      <c r="E40" s="172" t="s">
        <v>118</v>
      </c>
      <c r="F40" s="166">
        <v>0.0001005</v>
      </c>
      <c r="G40" s="216">
        <v>-4.000999</v>
      </c>
      <c r="I40" s="172" t="s">
        <v>118</v>
      </c>
      <c r="J40" s="217">
        <v>0.00392321694101286</v>
      </c>
      <c r="K40" s="215">
        <v>1200.6159756968</v>
      </c>
      <c r="L40" s="216">
        <f>Cmoyen!AJ41</f>
        <v>223.181818181818</v>
      </c>
      <c r="N40" s="172" t="s">
        <v>118</v>
      </c>
      <c r="O40" s="166">
        <v>4.72166072540615e-5</v>
      </c>
      <c r="P40" s="215">
        <v>424.32903602579</v>
      </c>
      <c r="Q40" s="216">
        <f>Cmoyen!AL41</f>
        <v>3.54445835942392</v>
      </c>
      <c r="R40" s="215"/>
      <c r="S40" s="166" t="s">
        <v>117</v>
      </c>
      <c r="T40" s="167">
        <f t="shared" si="0"/>
        <v>0.706715953180045</v>
      </c>
      <c r="U40" s="168">
        <f t="shared" si="1"/>
        <v>4.36462673167756</v>
      </c>
      <c r="W40" s="172" t="s">
        <v>118</v>
      </c>
      <c r="X40" s="167">
        <f t="shared" si="2"/>
        <v>2.12848838247172</v>
      </c>
      <c r="Y40" s="168">
        <f t="shared" si="3"/>
        <v>118.704154466814</v>
      </c>
    </row>
    <row r="41" spans="1:25">
      <c r="A41" s="166" t="s">
        <v>119</v>
      </c>
      <c r="B41" s="166">
        <v>0.2433165</v>
      </c>
      <c r="C41" s="216">
        <v>-9933.011</v>
      </c>
      <c r="D41" s="147"/>
      <c r="E41" s="172" t="s">
        <v>120</v>
      </c>
      <c r="F41" s="166">
        <v>0.132993</v>
      </c>
      <c r="G41" s="216">
        <v>-6172.678</v>
      </c>
      <c r="I41" s="172" t="s">
        <v>120</v>
      </c>
      <c r="J41" s="217">
        <v>0.0687084073906048</v>
      </c>
      <c r="K41" s="215">
        <v>-8797.84839430321</v>
      </c>
      <c r="L41" s="216">
        <f>Cmoyen!AJ42</f>
        <v>3908.64627584254</v>
      </c>
      <c r="N41" s="172" t="s">
        <v>120</v>
      </c>
      <c r="O41" s="166">
        <v>0.0507651937898064</v>
      </c>
      <c r="P41" s="215">
        <v>-5744.34796497421</v>
      </c>
      <c r="Q41" s="216">
        <f>Cmoyen!AL42</f>
        <v>3810.84381026925</v>
      </c>
      <c r="R41" s="215"/>
      <c r="S41" s="166" t="s">
        <v>119</v>
      </c>
      <c r="T41" s="167">
        <f t="shared" si="0"/>
        <v>3.54129151352257</v>
      </c>
      <c r="U41" s="168">
        <f t="shared" si="1"/>
        <v>-2.70319497996419</v>
      </c>
      <c r="W41" s="172" t="s">
        <v>120</v>
      </c>
      <c r="X41" s="167">
        <f t="shared" si="2"/>
        <v>2.61976740501884</v>
      </c>
      <c r="Y41" s="168">
        <f t="shared" si="3"/>
        <v>-2.30689950678312</v>
      </c>
    </row>
    <row r="42" spans="1:25">
      <c r="A42" s="166" t="s">
        <v>121</v>
      </c>
      <c r="B42" s="166">
        <v>0.0083939</v>
      </c>
      <c r="C42" s="216">
        <v>566.9915</v>
      </c>
      <c r="D42" s="147"/>
      <c r="E42" s="172" t="s">
        <v>122</v>
      </c>
      <c r="F42" s="166">
        <v>0.0082098</v>
      </c>
      <c r="G42" s="216">
        <v>767.2653</v>
      </c>
      <c r="I42" s="172" t="s">
        <v>122</v>
      </c>
      <c r="J42" s="217">
        <v>0.0183607702839228</v>
      </c>
      <c r="K42" s="215">
        <v>1702.1541056968</v>
      </c>
      <c r="L42" s="216">
        <f>Cmoyen!AJ43</f>
        <v>1044.49745114698</v>
      </c>
      <c r="N42" s="217" t="s">
        <v>122</v>
      </c>
      <c r="O42" s="217">
        <v>0.018430702725871</v>
      </c>
      <c r="P42" s="215">
        <v>1195.59533502579</v>
      </c>
      <c r="Q42" s="216">
        <f>Cmoyen!AL43</f>
        <v>1383.55680651221</v>
      </c>
      <c r="R42" s="215"/>
      <c r="S42" s="166" t="s">
        <v>121</v>
      </c>
      <c r="T42" s="167">
        <f t="shared" si="0"/>
        <v>0.457164915752468</v>
      </c>
      <c r="U42" s="168">
        <f t="shared" si="1"/>
        <v>0.615960280702946</v>
      </c>
      <c r="W42" s="172" t="s">
        <v>122</v>
      </c>
      <c r="X42" s="167">
        <f t="shared" si="2"/>
        <v>0.445441507147527</v>
      </c>
      <c r="Y42" s="168">
        <f t="shared" si="3"/>
        <v>-0.142948283104102</v>
      </c>
    </row>
    <row r="43" spans="1:25">
      <c r="A43" s="166" t="s">
        <v>123</v>
      </c>
      <c r="B43" s="166">
        <v>0.0388599</v>
      </c>
      <c r="C43" s="216">
        <v>-612.4162</v>
      </c>
      <c r="D43" s="147"/>
      <c r="E43" s="172" t="s">
        <v>124</v>
      </c>
      <c r="F43" s="166">
        <v>0.027575</v>
      </c>
      <c r="G43" s="216">
        <v>-400.4034</v>
      </c>
      <c r="I43" s="172" t="s">
        <v>124</v>
      </c>
      <c r="J43" s="217">
        <v>0.0280945455480842</v>
      </c>
      <c r="K43" s="215">
        <v>522.746405696796</v>
      </c>
      <c r="L43" s="216">
        <f>Cmoyen!AJ44</f>
        <v>1598.22713112433</v>
      </c>
      <c r="N43" s="217" t="s">
        <v>124</v>
      </c>
      <c r="O43" s="217">
        <v>0.0222411459924081</v>
      </c>
      <c r="P43" s="215">
        <v>27.9266350257896</v>
      </c>
      <c r="Q43" s="216">
        <f>Cmoyen!AL44</f>
        <v>1669.59932999374</v>
      </c>
      <c r="R43" s="215"/>
      <c r="S43" s="166" t="s">
        <v>123</v>
      </c>
      <c r="T43" s="167">
        <f t="shared" si="0"/>
        <v>1.38318307849083</v>
      </c>
      <c r="U43" s="168">
        <f t="shared" si="1"/>
        <v>-0.685631333080545</v>
      </c>
      <c r="W43" s="172" t="s">
        <v>124</v>
      </c>
      <c r="X43" s="167">
        <f t="shared" si="2"/>
        <v>1.23981920758097</v>
      </c>
      <c r="Y43" s="168">
        <f t="shared" si="3"/>
        <v>-0.983734685575697</v>
      </c>
    </row>
    <row r="44" spans="1:25">
      <c r="A44" s="166" t="s">
        <v>125</v>
      </c>
      <c r="B44" s="166">
        <v>0.0076666</v>
      </c>
      <c r="C44" s="216">
        <v>-87.79166</v>
      </c>
      <c r="D44" s="147"/>
      <c r="E44" s="172" t="s">
        <v>126</v>
      </c>
      <c r="F44" s="166">
        <v>0.0078692</v>
      </c>
      <c r="G44" s="216">
        <v>-226.5122</v>
      </c>
      <c r="I44" s="172" t="s">
        <v>126</v>
      </c>
      <c r="J44" s="217">
        <v>0.0061233856569398</v>
      </c>
      <c r="K44" s="215">
        <v>1047.3709456968</v>
      </c>
      <c r="L44" s="216">
        <f>Cmoyen!AJ45</f>
        <v>348.343811951289</v>
      </c>
      <c r="N44" s="217" t="s">
        <v>126</v>
      </c>
      <c r="O44" s="217">
        <v>0.00485182407833111</v>
      </c>
      <c r="P44" s="215">
        <v>201.81783502579</v>
      </c>
      <c r="Q44" s="216">
        <f>Cmoyen!AL45</f>
        <v>364.216944270507</v>
      </c>
      <c r="R44" s="215"/>
      <c r="S44" s="166" t="s">
        <v>125</v>
      </c>
      <c r="T44" s="167">
        <f t="shared" si="0"/>
        <v>1.25201978603311</v>
      </c>
      <c r="U44" s="168">
        <f t="shared" si="1"/>
        <v>1.98366480455769</v>
      </c>
      <c r="W44" s="172" t="s">
        <v>126</v>
      </c>
      <c r="X44" s="167">
        <f t="shared" si="2"/>
        <v>1.62190546750137</v>
      </c>
      <c r="Y44" s="168">
        <f t="shared" si="3"/>
        <v>-0.450246087481057</v>
      </c>
    </row>
    <row r="45" spans="1:25">
      <c r="A45" s="166" t="s">
        <v>127</v>
      </c>
      <c r="B45" s="166">
        <v>0.0022402</v>
      </c>
      <c r="C45" s="216">
        <v>-50.4586</v>
      </c>
      <c r="D45" s="147"/>
      <c r="E45" s="172" t="s">
        <v>128</v>
      </c>
      <c r="F45" s="166">
        <v>0.0015461</v>
      </c>
      <c r="G45" s="216">
        <v>-28.69851</v>
      </c>
      <c r="I45" s="172" t="s">
        <v>128</v>
      </c>
      <c r="J45" s="217">
        <v>0.00135317641937503</v>
      </c>
      <c r="K45" s="215">
        <v>1084.7040056968</v>
      </c>
      <c r="L45" s="216">
        <f>Cmoyen!AJ46</f>
        <v>76.9787595581988</v>
      </c>
      <c r="N45" s="217" t="s">
        <v>128</v>
      </c>
      <c r="O45" s="217">
        <v>0.00116381934259269</v>
      </c>
      <c r="P45" s="215">
        <v>399.63152502579</v>
      </c>
      <c r="Q45" s="216">
        <f>Cmoyen!AL46</f>
        <v>87.3656418284283</v>
      </c>
      <c r="R45" s="215"/>
      <c r="S45" s="166" t="s">
        <v>127</v>
      </c>
      <c r="T45" s="167">
        <f t="shared" si="0"/>
        <v>1.65551214751041</v>
      </c>
      <c r="U45" s="168">
        <f t="shared" si="1"/>
        <v>13.0593854459943</v>
      </c>
      <c r="W45" s="172" t="s">
        <v>128</v>
      </c>
      <c r="X45" s="167">
        <f t="shared" si="2"/>
        <v>1.32847078873572</v>
      </c>
      <c r="Y45" s="168">
        <f t="shared" si="3"/>
        <v>3.56716904236272</v>
      </c>
    </row>
    <row r="46" spans="1:25">
      <c r="A46" s="166" t="s">
        <v>129</v>
      </c>
      <c r="B46" s="166">
        <v>0.0091164</v>
      </c>
      <c r="C46" s="216">
        <v>-303.2674</v>
      </c>
      <c r="D46" s="147"/>
      <c r="E46" s="172" t="s">
        <v>130</v>
      </c>
      <c r="F46" s="166">
        <v>0.0047482</v>
      </c>
      <c r="G46" s="216">
        <v>-212.2353</v>
      </c>
      <c r="I46" s="172" t="s">
        <v>130</v>
      </c>
      <c r="J46" s="217">
        <v>0.00378537626915269</v>
      </c>
      <c r="K46" s="215">
        <v>831.895205696796</v>
      </c>
      <c r="L46" s="216">
        <f>Cmoyen!AJ47</f>
        <v>215.3404134806</v>
      </c>
      <c r="N46" s="217" t="s">
        <v>130</v>
      </c>
      <c r="O46" s="217">
        <v>0.00192096343575256</v>
      </c>
      <c r="P46" s="215">
        <v>216.09473502579</v>
      </c>
      <c r="Q46" s="216">
        <f>Cmoyen!AL47</f>
        <v>144.202968065122</v>
      </c>
      <c r="R46" s="215"/>
      <c r="S46" s="166" t="s">
        <v>129</v>
      </c>
      <c r="T46" s="167">
        <f t="shared" si="0"/>
        <v>2.40832069305506</v>
      </c>
      <c r="U46" s="168">
        <f t="shared" si="1"/>
        <v>2.82794526545219</v>
      </c>
      <c r="W46" s="172" t="s">
        <v>130</v>
      </c>
      <c r="X46" s="167">
        <f t="shared" si="2"/>
        <v>2.4717805199347</v>
      </c>
      <c r="Y46" s="168">
        <f t="shared" si="3"/>
        <v>0.491430286704054</v>
      </c>
    </row>
    <row r="47" spans="1:25">
      <c r="A47" s="166" t="s">
        <v>131</v>
      </c>
      <c r="B47" s="166">
        <v>0.0113801</v>
      </c>
      <c r="C47" s="216">
        <v>-360.7358</v>
      </c>
      <c r="D47" s="147"/>
      <c r="E47" s="172" t="s">
        <v>132</v>
      </c>
      <c r="F47" s="166">
        <v>0.0355684</v>
      </c>
      <c r="G47" s="216">
        <v>-1838.142</v>
      </c>
      <c r="I47" s="172" t="s">
        <v>132</v>
      </c>
      <c r="J47" s="217">
        <v>0.00503890346112635</v>
      </c>
      <c r="K47" s="215">
        <v>774.426805696796</v>
      </c>
      <c r="L47" s="216">
        <f>Cmoyen!AJ48</f>
        <v>286.650382327952</v>
      </c>
      <c r="N47" s="217" t="s">
        <v>132</v>
      </c>
      <c r="O47" s="217">
        <v>0.0110820373463305</v>
      </c>
      <c r="P47" s="215">
        <v>-1409.81196497421</v>
      </c>
      <c r="Q47" s="216">
        <f>Cmoyen!AL48</f>
        <v>831.906869129618</v>
      </c>
      <c r="R47" s="215"/>
      <c r="S47" s="166" t="s">
        <v>131</v>
      </c>
      <c r="T47" s="167">
        <f t="shared" si="0"/>
        <v>2.2584477134349</v>
      </c>
      <c r="U47" s="168">
        <f t="shared" si="1"/>
        <v>1.67089736628838</v>
      </c>
      <c r="W47" s="172" t="s">
        <v>132</v>
      </c>
      <c r="X47" s="167">
        <f t="shared" si="2"/>
        <v>3.20955424426336</v>
      </c>
      <c r="Y47" s="168">
        <f t="shared" si="3"/>
        <v>-2.63439834377347</v>
      </c>
    </row>
    <row r="48" spans="1:25">
      <c r="A48" s="166" t="s">
        <v>133</v>
      </c>
      <c r="B48" s="166">
        <v>0.0002143</v>
      </c>
      <c r="C48" s="216">
        <v>3.046948</v>
      </c>
      <c r="D48" s="147"/>
      <c r="E48" s="172" t="s">
        <v>134</v>
      </c>
      <c r="F48" s="166">
        <v>0.064596</v>
      </c>
      <c r="G48" s="216">
        <v>-2373.174</v>
      </c>
      <c r="I48" s="172" t="s">
        <v>134</v>
      </c>
      <c r="J48" s="217">
        <v>0.000267862838405527</v>
      </c>
      <c r="K48" s="215">
        <v>1138.2095536968</v>
      </c>
      <c r="L48" s="216">
        <f>Cmoyen!AJ49</f>
        <v>15.2380345511187</v>
      </c>
      <c r="N48" s="217" t="s">
        <v>134</v>
      </c>
      <c r="O48" s="217">
        <v>0.0329823371291851</v>
      </c>
      <c r="P48" s="215">
        <v>-1944.84396497421</v>
      </c>
      <c r="Q48" s="216">
        <f>Cmoyen!AL49</f>
        <v>2475.91954080568</v>
      </c>
      <c r="R48" s="215"/>
      <c r="S48" s="166" t="s">
        <v>133</v>
      </c>
      <c r="T48" s="167">
        <f t="shared" si="0"/>
        <v>0.800036321856502</v>
      </c>
      <c r="U48" s="168">
        <f t="shared" si="1"/>
        <v>73.6792922388998</v>
      </c>
      <c r="W48" s="172" t="s">
        <v>134</v>
      </c>
      <c r="X48" s="167">
        <f t="shared" si="2"/>
        <v>1.95850281158035</v>
      </c>
      <c r="Y48" s="168">
        <f t="shared" si="3"/>
        <v>-1.73476330479655</v>
      </c>
    </row>
    <row r="49" ht="15.15" spans="1:25">
      <c r="A49" s="166" t="s">
        <v>135</v>
      </c>
      <c r="B49" s="218">
        <v>0.0459087</v>
      </c>
      <c r="C49" s="219">
        <v>-1104.792</v>
      </c>
      <c r="D49" s="147"/>
      <c r="E49" s="172" t="s">
        <v>136</v>
      </c>
      <c r="F49" s="166">
        <v>0.0021011</v>
      </c>
      <c r="G49" s="216">
        <v>-38.65047</v>
      </c>
      <c r="I49" s="172" t="s">
        <v>136</v>
      </c>
      <c r="J49" s="217">
        <v>0.0264880107253464</v>
      </c>
      <c r="K49" s="215">
        <v>30.3706056967965</v>
      </c>
      <c r="L49" s="216">
        <f>Cmoyen!AJ50</f>
        <v>1506.83545737751</v>
      </c>
      <c r="N49" s="217" t="s">
        <v>136</v>
      </c>
      <c r="O49" s="217">
        <v>0.00158625174272211</v>
      </c>
      <c r="P49" s="215">
        <v>389.67956502579</v>
      </c>
      <c r="Q49" s="216">
        <f>Cmoyen!AL50</f>
        <v>119.076815904822</v>
      </c>
      <c r="R49" s="215"/>
      <c r="S49" s="166" t="s">
        <v>135</v>
      </c>
      <c r="T49" s="169">
        <f t="shared" si="0"/>
        <v>1.73318791192084</v>
      </c>
      <c r="U49" s="170">
        <f t="shared" si="1"/>
        <v>-0.980770076434574</v>
      </c>
      <c r="W49" s="172" t="s">
        <v>136</v>
      </c>
      <c r="X49" s="167">
        <f t="shared" si="2"/>
        <v>1.32456907274653</v>
      </c>
      <c r="Y49" s="168">
        <f t="shared" si="3"/>
        <v>2.26562989056184</v>
      </c>
    </row>
    <row r="50" spans="1:25">
      <c r="A50" s="147"/>
      <c r="B50" s="147"/>
      <c r="C50" s="147"/>
      <c r="D50" s="147"/>
      <c r="E50" s="172" t="s">
        <v>203</v>
      </c>
      <c r="F50" s="166">
        <v>0.0039424</v>
      </c>
      <c r="G50" s="220">
        <v>-203.6866</v>
      </c>
      <c r="I50" s="172" t="s">
        <v>137</v>
      </c>
      <c r="J50" s="217">
        <v>0.00133145337070189</v>
      </c>
      <c r="K50" s="215">
        <v>1135.1626056968</v>
      </c>
      <c r="L50" s="216">
        <f>Cmoyen!AJ51</f>
        <v>75.7429906542056</v>
      </c>
      <c r="N50" s="217" t="s">
        <v>203</v>
      </c>
      <c r="O50" s="217">
        <v>0.0012289997814666</v>
      </c>
      <c r="P50" s="215">
        <v>224.64343502579</v>
      </c>
      <c r="Q50" s="216">
        <f>Cmoyen!AL51</f>
        <v>92.2586098935504</v>
      </c>
      <c r="R50" s="215"/>
      <c r="W50" s="172" t="s">
        <v>203</v>
      </c>
      <c r="X50" s="167">
        <f t="shared" si="2"/>
        <v>3.20781179903501</v>
      </c>
      <c r="Y50" s="168">
        <f t="shared" si="3"/>
        <v>1.4253324541278</v>
      </c>
    </row>
    <row r="51" spans="1:25">
      <c r="A51" s="147"/>
      <c r="B51" s="147"/>
      <c r="C51" s="147"/>
      <c r="D51" s="147"/>
      <c r="E51" s="172" t="s">
        <v>137</v>
      </c>
      <c r="F51" s="166">
        <v>0.003637</v>
      </c>
      <c r="G51" s="220">
        <v>-184.4069</v>
      </c>
      <c r="I51" s="172" t="s">
        <v>138</v>
      </c>
      <c r="J51" s="217">
        <v>8.0674230261991e-5</v>
      </c>
      <c r="K51" s="215">
        <v>1135.1626056968</v>
      </c>
      <c r="L51" s="216">
        <f>Cmoyen!AJ52</f>
        <v>4.58935145851034</v>
      </c>
      <c r="N51" s="217" t="s">
        <v>137</v>
      </c>
      <c r="O51" s="217">
        <v>0.00118044103975318</v>
      </c>
      <c r="P51" s="215">
        <v>243.92313502579</v>
      </c>
      <c r="Q51" s="216">
        <f>Cmoyen!AL52</f>
        <v>88.6134001252348</v>
      </c>
      <c r="R51" s="215"/>
      <c r="W51" s="172" t="s">
        <v>137</v>
      </c>
      <c r="X51" s="167">
        <f t="shared" si="2"/>
        <v>3.08105180819575</v>
      </c>
      <c r="Y51" s="168">
        <f t="shared" si="3"/>
        <v>1.74265501876946</v>
      </c>
    </row>
    <row r="52" spans="1:25">
      <c r="A52" s="147"/>
      <c r="B52" s="147"/>
      <c r="C52" s="147"/>
      <c r="D52" s="147"/>
      <c r="E52" s="172" t="s">
        <v>138</v>
      </c>
      <c r="F52" s="166">
        <v>0.0006099</v>
      </c>
      <c r="G52" s="220">
        <v>-29.14958</v>
      </c>
      <c r="I52" s="172" t="s">
        <v>139</v>
      </c>
      <c r="J52" s="217">
        <v>0.000290033938959169</v>
      </c>
      <c r="K52" s="215">
        <v>1135.1626056968</v>
      </c>
      <c r="L52" s="216">
        <f>Cmoyen!AJ53</f>
        <v>16.4992919852733</v>
      </c>
      <c r="N52" s="217" t="s">
        <v>138</v>
      </c>
      <c r="O52" s="217">
        <v>0.000221553283802557</v>
      </c>
      <c r="P52" s="215">
        <v>399.18045502579</v>
      </c>
      <c r="Q52" s="216">
        <f>Cmoyen!AL53</f>
        <v>16.6315716969317</v>
      </c>
      <c r="R52" s="215"/>
      <c r="W52" s="172" t="s">
        <v>138</v>
      </c>
      <c r="X52" s="167">
        <f t="shared" si="2"/>
        <v>2.75283665189783</v>
      </c>
      <c r="Y52" s="168">
        <f t="shared" si="3"/>
        <v>22.9867285026266</v>
      </c>
    </row>
    <row r="53" spans="1:25">
      <c r="A53" s="147"/>
      <c r="B53" s="147"/>
      <c r="C53" s="147"/>
      <c r="D53" s="147"/>
      <c r="E53" s="172" t="s">
        <v>139</v>
      </c>
      <c r="F53" s="166">
        <v>0.0014877</v>
      </c>
      <c r="G53" s="220">
        <v>-64.9417</v>
      </c>
      <c r="I53" s="172" t="s">
        <v>140</v>
      </c>
      <c r="J53" s="217">
        <v>0.00012925301081716</v>
      </c>
      <c r="K53" s="215">
        <v>1135.1626056968</v>
      </c>
      <c r="L53" s="216">
        <f>Cmoyen!AJ54</f>
        <v>7.35287453979043</v>
      </c>
      <c r="N53" s="217" t="s">
        <v>139</v>
      </c>
      <c r="O53" s="217">
        <v>0.000622583560742998</v>
      </c>
      <c r="P53" s="215">
        <v>363.38833502579</v>
      </c>
      <c r="Q53" s="216">
        <f>Cmoyen!AL54</f>
        <v>46.7361302442079</v>
      </c>
      <c r="R53" s="215"/>
      <c r="W53" s="172" t="s">
        <v>139</v>
      </c>
      <c r="X53" s="167">
        <f t="shared" si="2"/>
        <v>2.38955875774259</v>
      </c>
      <c r="Y53" s="168">
        <f t="shared" si="3"/>
        <v>6.76375194745056</v>
      </c>
    </row>
    <row r="54" spans="1:25">
      <c r="A54" s="147"/>
      <c r="B54" s="147"/>
      <c r="C54" s="147"/>
      <c r="D54" s="147"/>
      <c r="E54" s="172" t="s">
        <v>140</v>
      </c>
      <c r="F54" s="166">
        <v>0.0003924</v>
      </c>
      <c r="G54" s="220">
        <v>-13.75102</v>
      </c>
      <c r="I54" s="172" t="s">
        <v>141</v>
      </c>
      <c r="J54" s="217">
        <v>0.0182302179226522</v>
      </c>
      <c r="K54" s="215">
        <v>1135.1626056968</v>
      </c>
      <c r="L54" s="216">
        <f>Cmoyen!AJ55</f>
        <v>1037.07065986973</v>
      </c>
      <c r="N54" s="217" t="s">
        <v>140</v>
      </c>
      <c r="O54" s="217">
        <v>0.000209195303415835</v>
      </c>
      <c r="P54" s="215">
        <v>414.57901502579</v>
      </c>
      <c r="Q54" s="216">
        <f>Cmoyen!AL55</f>
        <v>15.7038822792736</v>
      </c>
      <c r="R54" s="215"/>
      <c r="W54" s="172" t="s">
        <v>140</v>
      </c>
      <c r="X54" s="167">
        <f t="shared" si="2"/>
        <v>1.87575912839684</v>
      </c>
      <c r="Y54" s="168">
        <f t="shared" si="3"/>
        <v>25.3894193073041</v>
      </c>
    </row>
    <row r="55" spans="1:25">
      <c r="A55" s="147"/>
      <c r="B55" s="147"/>
      <c r="C55" s="147"/>
      <c r="D55" s="147"/>
      <c r="E55" s="172" t="s">
        <v>141</v>
      </c>
      <c r="F55" s="166">
        <v>0.0441316</v>
      </c>
      <c r="G55" s="220">
        <v>-1525.326</v>
      </c>
      <c r="I55" s="172" t="s">
        <v>142</v>
      </c>
      <c r="J55" s="217">
        <v>3.44751030277253e-5</v>
      </c>
      <c r="K55" s="215">
        <v>1135.1626056968</v>
      </c>
      <c r="L55" s="216">
        <f>Cmoyen!AJ56</f>
        <v>1.96120079297649</v>
      </c>
      <c r="N55" s="217" t="s">
        <v>141</v>
      </c>
      <c r="O55" s="217">
        <v>0.0238123969009745</v>
      </c>
      <c r="P55" s="215">
        <v>-1096.99596497421</v>
      </c>
      <c r="Q55" s="216">
        <f>Cmoyen!AL56</f>
        <v>1787.55006261741</v>
      </c>
      <c r="R55" s="215"/>
      <c r="W55" s="172" t="s">
        <v>141</v>
      </c>
      <c r="X55" s="167">
        <f t="shared" si="2"/>
        <v>1.85330356215396</v>
      </c>
      <c r="Y55" s="168">
        <f t="shared" si="3"/>
        <v>-1.58660386624975</v>
      </c>
    </row>
    <row r="56" spans="1:25">
      <c r="A56" s="147"/>
      <c r="B56" s="147"/>
      <c r="C56" s="147"/>
      <c r="D56" s="147"/>
      <c r="E56" s="172" t="s">
        <v>142</v>
      </c>
      <c r="F56" s="166">
        <v>0.0006876</v>
      </c>
      <c r="G56" s="220">
        <v>5.173323</v>
      </c>
      <c r="I56" s="172" t="s">
        <v>143</v>
      </c>
      <c r="J56" s="217">
        <v>0.0178911372378405</v>
      </c>
      <c r="K56" s="215">
        <v>1135.1626056968</v>
      </c>
      <c r="L56" s="216">
        <f>Cmoyen!AJ57</f>
        <v>1017.78122344945</v>
      </c>
      <c r="N56" s="217" t="s">
        <v>142</v>
      </c>
      <c r="O56" s="217">
        <v>0.000756553437217874</v>
      </c>
      <c r="P56" s="215">
        <v>433.50335802579</v>
      </c>
      <c r="Q56" s="216">
        <f>Cmoyen!AL57</f>
        <v>56.7929868503444</v>
      </c>
      <c r="R56" s="215"/>
      <c r="W56" s="172" t="s">
        <v>142</v>
      </c>
      <c r="X56" s="167">
        <f t="shared" si="2"/>
        <v>0.908858470762567</v>
      </c>
      <c r="Y56" s="168">
        <f t="shared" si="3"/>
        <v>6.62779535188656</v>
      </c>
    </row>
    <row r="57" spans="1:25">
      <c r="A57" s="147"/>
      <c r="B57" s="147"/>
      <c r="C57" s="147"/>
      <c r="D57" s="147"/>
      <c r="E57" s="172" t="s">
        <v>143</v>
      </c>
      <c r="F57" s="166">
        <v>0.0366687</v>
      </c>
      <c r="G57" s="220">
        <v>-1155.601</v>
      </c>
      <c r="I57" s="172" t="s">
        <v>144</v>
      </c>
      <c r="J57" s="217">
        <v>0.000122131475094248</v>
      </c>
      <c r="K57" s="215">
        <v>1135.1626056968</v>
      </c>
      <c r="L57" s="216">
        <f>Cmoyen!AJ58</f>
        <v>6.94774851316907</v>
      </c>
      <c r="N57" s="217" t="s">
        <v>143</v>
      </c>
      <c r="O57" s="217">
        <v>0.0212746214997251</v>
      </c>
      <c r="P57" s="215">
        <v>-727.270964974211</v>
      </c>
      <c r="Q57" s="216">
        <f>Cmoyen!AL58</f>
        <v>1597.04422667502</v>
      </c>
      <c r="R57" s="215"/>
      <c r="W57" s="172" t="s">
        <v>143</v>
      </c>
      <c r="X57" s="167">
        <f t="shared" si="2"/>
        <v>1.7235888309681</v>
      </c>
      <c r="Y57" s="168">
        <f t="shared" si="3"/>
        <v>-1.43868721506823</v>
      </c>
    </row>
    <row r="58" spans="1:25">
      <c r="A58" s="147"/>
      <c r="B58" s="147"/>
      <c r="C58" s="147"/>
      <c r="D58" s="147"/>
      <c r="E58" s="172" t="s">
        <v>144</v>
      </c>
      <c r="F58" s="166">
        <v>0.0005725</v>
      </c>
      <c r="G58" s="220">
        <v>-5.982793</v>
      </c>
      <c r="I58" s="172" t="s">
        <v>145</v>
      </c>
      <c r="J58" s="217">
        <v>0.0204186974628522</v>
      </c>
      <c r="K58" s="215">
        <v>1135.1626056968</v>
      </c>
      <c r="L58" s="216">
        <f>Cmoyen!AJ59</f>
        <v>1161.56768620787</v>
      </c>
      <c r="N58" s="217" t="s">
        <v>144</v>
      </c>
      <c r="O58" s="217">
        <v>0.000492764207974063</v>
      </c>
      <c r="P58" s="215">
        <v>422.34724202579</v>
      </c>
      <c r="Q58" s="216">
        <f>Cmoyen!AL59</f>
        <v>36.9908453350031</v>
      </c>
      <c r="R58" s="215"/>
      <c r="W58" s="172" t="s">
        <v>144</v>
      </c>
      <c r="X58" s="167">
        <f t="shared" si="2"/>
        <v>1.16181327851258</v>
      </c>
      <c r="Y58" s="168">
        <f t="shared" si="3"/>
        <v>10.4110787252084</v>
      </c>
    </row>
    <row r="59" spans="1:25">
      <c r="A59" s="147"/>
      <c r="B59" s="147"/>
      <c r="C59" s="147"/>
      <c r="D59" s="147"/>
      <c r="E59" s="172" t="s">
        <v>145</v>
      </c>
      <c r="F59" s="166">
        <v>0.0052243</v>
      </c>
      <c r="G59" s="220">
        <v>693.4741</v>
      </c>
      <c r="I59" s="172" t="s">
        <v>146</v>
      </c>
      <c r="J59" s="217">
        <v>0.00669402204277352</v>
      </c>
      <c r="K59" s="215">
        <v>1135.1626056968</v>
      </c>
      <c r="L59" s="216">
        <f>Cmoyen!AJ60</f>
        <v>380.805862361937</v>
      </c>
      <c r="N59" s="217" t="s">
        <v>145</v>
      </c>
      <c r="O59" s="217">
        <v>0.0144622243362507</v>
      </c>
      <c r="P59" s="215">
        <v>1121.80413502579</v>
      </c>
      <c r="Q59" s="216">
        <f>Cmoyen!AL60</f>
        <v>1085.65089542893</v>
      </c>
      <c r="R59" s="215"/>
      <c r="W59" s="172" t="s">
        <v>145</v>
      </c>
      <c r="X59" s="167">
        <f t="shared" si="2"/>
        <v>0.361237654632757</v>
      </c>
      <c r="Y59" s="168">
        <f t="shared" si="3"/>
        <v>0.0279027064609723</v>
      </c>
    </row>
    <row r="60" spans="1:25">
      <c r="A60" s="147"/>
      <c r="B60" s="147"/>
      <c r="C60" s="147"/>
      <c r="D60" s="147"/>
      <c r="E60" s="172" t="s">
        <v>146</v>
      </c>
      <c r="F60" s="166">
        <v>0.0236103</v>
      </c>
      <c r="G60" s="220">
        <v>-931.171</v>
      </c>
      <c r="I60" s="172" t="s">
        <v>147</v>
      </c>
      <c r="J60" s="217">
        <v>0.0154660838155568</v>
      </c>
      <c r="K60" s="215">
        <v>1135.1626056968</v>
      </c>
      <c r="L60" s="216">
        <f>Cmoyen!AJ61</f>
        <v>879.826111583121</v>
      </c>
      <c r="N60" s="217" t="s">
        <v>146</v>
      </c>
      <c r="O60" s="217">
        <v>0.0112059529340551</v>
      </c>
      <c r="P60" s="215">
        <v>-502.84096497421</v>
      </c>
      <c r="Q60" s="216">
        <f>Cmoyen!AL61</f>
        <v>841.208969943644</v>
      </c>
      <c r="R60" s="215"/>
      <c r="W60" s="172" t="s">
        <v>146</v>
      </c>
      <c r="X60" s="167">
        <f t="shared" si="2"/>
        <v>2.10694263477118</v>
      </c>
      <c r="Y60" s="168">
        <f t="shared" si="3"/>
        <v>-1.58364658067278</v>
      </c>
    </row>
    <row r="61" spans="1:25">
      <c r="A61" s="147"/>
      <c r="B61" s="147"/>
      <c r="C61" s="147"/>
      <c r="D61" s="147"/>
      <c r="E61" s="172" t="s">
        <v>147</v>
      </c>
      <c r="F61" s="166">
        <v>0.0431807</v>
      </c>
      <c r="G61" s="220">
        <v>-1871.682</v>
      </c>
      <c r="I61" s="172" t="s">
        <v>148</v>
      </c>
      <c r="J61" s="217">
        <v>0.00392257722249458</v>
      </c>
      <c r="K61" s="215">
        <v>1135.1626056968</v>
      </c>
      <c r="L61" s="216">
        <f>Cmoyen!AJ62</f>
        <v>223.145426224865</v>
      </c>
      <c r="N61" s="217" t="s">
        <v>147</v>
      </c>
      <c r="O61" s="217">
        <v>0.0182475414943987</v>
      </c>
      <c r="P61" s="215">
        <v>-1443.35196497421</v>
      </c>
      <c r="Q61" s="216">
        <f>Cmoyen!AL62</f>
        <v>1369.8072510958</v>
      </c>
      <c r="R61" s="215"/>
      <c r="W61" s="172" t="s">
        <v>147</v>
      </c>
      <c r="X61" s="167">
        <f t="shared" si="2"/>
        <v>2.36638453532246</v>
      </c>
      <c r="Y61" s="168">
        <f t="shared" si="3"/>
        <v>-2.00819076236855</v>
      </c>
    </row>
    <row r="62" ht="15.15" spans="1:25">
      <c r="A62" s="147"/>
      <c r="B62" s="147"/>
      <c r="C62" s="147"/>
      <c r="D62" s="147"/>
      <c r="E62" s="172" t="s">
        <v>148</v>
      </c>
      <c r="F62" s="166">
        <v>0.0039901</v>
      </c>
      <c r="G62" s="220">
        <v>-49.85609</v>
      </c>
      <c r="I62" s="172" t="s">
        <v>149</v>
      </c>
      <c r="J62" s="221">
        <v>0.00274643356863832</v>
      </c>
      <c r="K62" s="222">
        <v>1135.1626056968</v>
      </c>
      <c r="L62" s="219">
        <f>Cmoyen!AJ63</f>
        <v>156.237609742283</v>
      </c>
      <c r="N62" s="217" t="s">
        <v>148</v>
      </c>
      <c r="O62" s="217">
        <v>0.00332591012146208</v>
      </c>
      <c r="P62" s="215">
        <v>378.47394502579</v>
      </c>
      <c r="Q62" s="216">
        <f>Cmoyen!AL63</f>
        <v>249.669567939887</v>
      </c>
      <c r="R62" s="215"/>
      <c r="W62" s="172" t="s">
        <v>148</v>
      </c>
      <c r="X62" s="167">
        <f t="shared" si="2"/>
        <v>1.1997016919525</v>
      </c>
      <c r="Y62" s="168">
        <f t="shared" si="3"/>
        <v>0.509850796988217</v>
      </c>
    </row>
    <row r="63" spans="1:25">
      <c r="A63" s="147"/>
      <c r="B63" s="147"/>
      <c r="C63" s="147"/>
      <c r="D63" s="147"/>
      <c r="E63" s="172" t="s">
        <v>149</v>
      </c>
      <c r="F63" s="166">
        <v>0.0041603</v>
      </c>
      <c r="G63" s="220">
        <v>-133.9291</v>
      </c>
      <c r="J63" s="217"/>
      <c r="K63" s="215">
        <v>1135.1626056968</v>
      </c>
      <c r="L63" s="216">
        <f>Cmoyen!AJ64</f>
        <v>0</v>
      </c>
      <c r="N63" s="217" t="s">
        <v>149</v>
      </c>
      <c r="O63" s="217">
        <v>0.0023761827459998</v>
      </c>
      <c r="P63" s="215">
        <v>294.40093502579</v>
      </c>
      <c r="Q63" s="216">
        <f>Cmoyen!AL64</f>
        <v>178.375391358798</v>
      </c>
      <c r="R63" s="215"/>
      <c r="W63" s="172" t="s">
        <v>149</v>
      </c>
      <c r="X63" s="167">
        <f t="shared" si="2"/>
        <v>1.75083335109797</v>
      </c>
      <c r="Y63" s="168">
        <f t="shared" si="3"/>
        <v>0.643590725057391</v>
      </c>
    </row>
    <row r="64" ht="15.15" spans="1:25">
      <c r="A64" s="147"/>
      <c r="B64" s="147"/>
      <c r="C64" s="147"/>
      <c r="D64" s="147"/>
      <c r="E64" s="223" t="s">
        <v>218</v>
      </c>
      <c r="F64" s="218">
        <v>-8.66e-7</v>
      </c>
      <c r="G64" s="224">
        <v>1.1389</v>
      </c>
      <c r="J64" s="217"/>
      <c r="K64" s="215">
        <v>1135.1626056968</v>
      </c>
      <c r="L64" s="216">
        <f>Cmoyen!AJ65</f>
        <v>0</v>
      </c>
      <c r="N64" s="217" t="s">
        <v>218</v>
      </c>
      <c r="O64" s="221">
        <v>1.43055351012659e-5</v>
      </c>
      <c r="P64" s="222">
        <v>429.468935025789</v>
      </c>
      <c r="Q64" s="219">
        <f>Cmoyen!AL65</f>
        <v>1.0738885410144</v>
      </c>
      <c r="R64" s="215"/>
      <c r="W64" s="223" t="s">
        <v>218</v>
      </c>
      <c r="X64" s="169">
        <f t="shared" si="2"/>
        <v>-0.0605360088853558</v>
      </c>
      <c r="Y64" s="170">
        <f t="shared" si="3"/>
        <v>398.919815272642</v>
      </c>
    </row>
    <row r="65" spans="1:4">
      <c r="A65" s="147"/>
      <c r="B65" s="147"/>
      <c r="C65" s="147"/>
      <c r="D65" s="147"/>
    </row>
    <row r="66" spans="1:4">
      <c r="A66" s="147"/>
      <c r="B66" s="147"/>
      <c r="C66" s="147"/>
      <c r="D66" s="147"/>
    </row>
    <row r="67" spans="1:4">
      <c r="C67" s="143"/>
      <c r="D67" s="143"/>
    </row>
    <row r="68" spans="1:4">
      <c r="C68" s="215"/>
      <c r="D68" s="215"/>
    </row>
    <row r="69" spans="1:4">
      <c r="C69" s="215"/>
      <c r="D69" s="215"/>
    </row>
    <row r="70" spans="1:4">
      <c r="C70" s="215"/>
      <c r="D70" s="215"/>
    </row>
    <row r="71" spans="1:4">
      <c r="C71" s="215"/>
      <c r="D71" s="215"/>
    </row>
    <row r="72" spans="1:4">
      <c r="C72" s="215"/>
      <c r="D72" s="215"/>
    </row>
    <row r="73" spans="1:4">
      <c r="C73" s="215"/>
      <c r="D73" s="215"/>
    </row>
    <row r="74" spans="1:4">
      <c r="C74" s="215"/>
      <c r="D74" s="215"/>
    </row>
    <row r="75" spans="1:4">
      <c r="C75" s="215"/>
      <c r="D75" s="215"/>
    </row>
    <row r="76" spans="1:4">
      <c r="C76" s="215"/>
      <c r="D76" s="215"/>
    </row>
    <row r="77" spans="1:4">
      <c r="C77" s="215"/>
      <c r="D77" s="215"/>
    </row>
    <row r="78" spans="1:4">
      <c r="C78" s="215"/>
      <c r="D78" s="215"/>
    </row>
    <row r="79" spans="1:4">
      <c r="C79" s="215"/>
      <c r="D79" s="215"/>
    </row>
    <row r="80" spans="1:4">
      <c r="C80" s="215"/>
      <c r="D80" s="215"/>
    </row>
    <row r="81" spans="3:4">
      <c r="C81" s="215"/>
      <c r="D81" s="215"/>
    </row>
    <row r="82" spans="3:4">
      <c r="C82" s="215"/>
      <c r="D82" s="215"/>
    </row>
    <row r="83" spans="3:4">
      <c r="C83" s="215"/>
      <c r="D83" s="215"/>
    </row>
    <row r="84" spans="3:4">
      <c r="C84" s="215"/>
      <c r="D84" s="215"/>
    </row>
    <row r="85" spans="3:4">
      <c r="C85" s="215"/>
      <c r="D85" s="215"/>
    </row>
    <row r="86" spans="3:4">
      <c r="C86" s="215"/>
      <c r="D86" s="215"/>
    </row>
    <row r="87" spans="3:4">
      <c r="C87" s="215"/>
      <c r="D87" s="215"/>
    </row>
    <row r="88" spans="3:4">
      <c r="C88" s="215"/>
      <c r="D88" s="215"/>
    </row>
    <row r="89" spans="3:4">
      <c r="C89" s="215"/>
      <c r="D89" s="215"/>
    </row>
    <row r="90" spans="3:4">
      <c r="C90" s="215"/>
      <c r="D90" s="215"/>
    </row>
    <row r="91" spans="3:4">
      <c r="C91" s="215"/>
      <c r="D91" s="215"/>
    </row>
    <row r="92" spans="3:4">
      <c r="C92" s="215"/>
      <c r="D92" s="215"/>
    </row>
    <row r="93" spans="3:4">
      <c r="C93" s="215"/>
      <c r="D93" s="215"/>
    </row>
    <row r="94" spans="3:4">
      <c r="C94" s="215"/>
      <c r="D94" s="215"/>
    </row>
    <row r="95" spans="3:4">
      <c r="C95" s="215"/>
      <c r="D95" s="215"/>
    </row>
    <row r="96" spans="3:4">
      <c r="C96" s="215"/>
      <c r="D96" s="215"/>
    </row>
    <row r="97" spans="3:4">
      <c r="C97" s="215"/>
      <c r="D97" s="215"/>
    </row>
    <row r="98" spans="3:4">
      <c r="C98" s="215"/>
      <c r="D98" s="215"/>
    </row>
    <row r="99" spans="3:4">
      <c r="C99" s="215"/>
      <c r="D99" s="215"/>
    </row>
    <row r="100" spans="3:4">
      <c r="C100" s="215"/>
      <c r="D100" s="215"/>
    </row>
    <row r="101" spans="3:4">
      <c r="C101" s="215"/>
      <c r="D101" s="215"/>
    </row>
    <row r="102" spans="3:4">
      <c r="C102" s="215"/>
      <c r="D102" s="215"/>
    </row>
    <row r="103" spans="3:4">
      <c r="C103" s="215"/>
      <c r="D103" s="215"/>
    </row>
    <row r="104" spans="3:4">
      <c r="C104" s="215"/>
      <c r="D104" s="215"/>
    </row>
    <row r="105" spans="3:4">
      <c r="C105" s="215"/>
      <c r="D105" s="215"/>
    </row>
    <row r="106" spans="3:4">
      <c r="C106" s="215"/>
      <c r="D106" s="215"/>
    </row>
    <row r="107" spans="3:4">
      <c r="C107" s="215"/>
      <c r="D107" s="215"/>
    </row>
    <row r="108" spans="3:4">
      <c r="C108" s="215"/>
      <c r="D108" s="215"/>
    </row>
    <row r="109" spans="3:4">
      <c r="C109" s="215"/>
      <c r="D109" s="215"/>
    </row>
    <row r="110" spans="3:4">
      <c r="C110" s="215"/>
      <c r="D110" s="215"/>
    </row>
    <row r="111" spans="3:4">
      <c r="C111" s="215"/>
      <c r="D111" s="215"/>
    </row>
    <row r="112" spans="3:4">
      <c r="C112" s="215"/>
      <c r="D112" s="215"/>
    </row>
    <row r="113" spans="3:4">
      <c r="C113" s="215"/>
      <c r="D113" s="215"/>
    </row>
    <row r="114" spans="3:4">
      <c r="C114" s="215"/>
      <c r="D114" s="215"/>
    </row>
    <row r="115" spans="3:4">
      <c r="C115" s="215"/>
      <c r="D115" s="215"/>
    </row>
  </sheetData>
  <conditionalFormatting sqref="T1">
    <cfRule type="cellIs" dxfId="0" priority="28" operator="equal">
      <formula>0</formula>
    </cfRule>
    <cfRule type="cellIs" dxfId="0" priority="29" operator="equal">
      <formula>0</formula>
    </cfRule>
  </conditionalFormatting>
  <conditionalFormatting sqref="U1:V1">
    <cfRule type="cellIs" dxfId="0" priority="20" operator="equal">
      <formula>0</formula>
    </cfRule>
    <cfRule type="cellIs" dxfId="0" priority="21" operator="equal">
      <formula>0</formula>
    </cfRule>
  </conditionalFormatting>
  <conditionalFormatting sqref="X1">
    <cfRule type="cellIs" dxfId="0" priority="23" operator="equal">
      <formula>0</formula>
    </cfRule>
    <cfRule type="cellIs" dxfId="0" priority="22" operator="equal">
      <formula>0</formula>
    </cfRule>
  </conditionalFormatting>
  <conditionalFormatting sqref="Y1">
    <cfRule type="cellIs" dxfId="0" priority="26" operator="equal">
      <formula>0</formula>
    </cfRule>
    <cfRule type="cellIs" dxfId="0" priority="27" operator="equal">
      <formula>0</formula>
    </cfRule>
  </conditionalFormatting>
  <conditionalFormatting sqref="I1:I4">
    <cfRule type="cellIs" dxfId="0" priority="37" operator="equal">
      <formula>0</formula>
    </cfRule>
  </conditionalFormatting>
  <conditionalFormatting sqref="I5:I62">
    <cfRule type="cellIs" dxfId="0" priority="33" operator="equal">
      <formula>0</formula>
    </cfRule>
  </conditionalFormatting>
  <conditionalFormatting sqref="J2:J4">
    <cfRule type="cellIs" dxfId="0" priority="36" operator="equal">
      <formula>0</formula>
    </cfRule>
  </conditionalFormatting>
  <conditionalFormatting sqref="K2:K46">
    <cfRule type="cellIs" dxfId="0" priority="15" operator="equal">
      <formula>0</formula>
    </cfRule>
  </conditionalFormatting>
  <conditionalFormatting sqref="K47:K64">
    <cfRule type="cellIs" dxfId="0" priority="8" operator="equal">
      <formula>0</formula>
    </cfRule>
  </conditionalFormatting>
  <conditionalFormatting sqref="L2:L46">
    <cfRule type="cellIs" dxfId="0" priority="13" operator="equal">
      <formula>0</formula>
    </cfRule>
  </conditionalFormatting>
  <conditionalFormatting sqref="L47:L64">
    <cfRule type="cellIs" dxfId="0" priority="7" operator="equal">
      <formula>0</formula>
    </cfRule>
  </conditionalFormatting>
  <conditionalFormatting sqref="N1:N3">
    <cfRule type="cellIs" dxfId="0" priority="35" operator="equal">
      <formula>0</formula>
    </cfRule>
  </conditionalFormatting>
  <conditionalFormatting sqref="N4:N41">
    <cfRule type="cellIs" dxfId="0" priority="32" operator="equal">
      <formula>0</formula>
    </cfRule>
  </conditionalFormatting>
  <conditionalFormatting sqref="P2:P41">
    <cfRule type="cellIs" dxfId="0" priority="11" operator="equal">
      <formula>0</formula>
    </cfRule>
  </conditionalFormatting>
  <conditionalFormatting sqref="P42:P46">
    <cfRule type="cellIs" dxfId="0" priority="4" operator="equal">
      <formula>0</formula>
    </cfRule>
  </conditionalFormatting>
  <conditionalFormatting sqref="P47:P64">
    <cfRule type="cellIs" dxfId="0" priority="2" operator="equal">
      <formula>0</formula>
    </cfRule>
  </conditionalFormatting>
  <conditionalFormatting sqref="Q2:Q41">
    <cfRule type="cellIs" dxfId="0" priority="9" operator="equal">
      <formula>0</formula>
    </cfRule>
  </conditionalFormatting>
  <conditionalFormatting sqref="Q42:Q46">
    <cfRule type="cellIs" dxfId="0" priority="3" operator="equal">
      <formula>0</formula>
    </cfRule>
  </conditionalFormatting>
  <conditionalFormatting sqref="Q47:Q64">
    <cfRule type="cellIs" dxfId="0" priority="1" operator="equal">
      <formula>0</formula>
    </cfRule>
  </conditionalFormatting>
  <conditionalFormatting sqref="S2:S49">
    <cfRule type="cellIs" dxfId="0" priority="17" operator="equal">
      <formula>0</formula>
    </cfRule>
  </conditionalFormatting>
  <conditionalFormatting sqref="W2:W3">
    <cfRule type="cellIs" dxfId="0" priority="19" operator="equal">
      <formula>0</formula>
    </cfRule>
  </conditionalFormatting>
  <conditionalFormatting sqref="W4:W64">
    <cfRule type="cellIs" dxfId="0" priority="18" operator="equal">
      <formula>0</formula>
    </cfRule>
  </conditionalFormatting>
  <conditionalFormatting sqref="G50:G64 D1:E1 A50:F66 C131:F1048576 A116:B1048576 C67:D130 A2:E49">
    <cfRule type="cellIs" dxfId="0" priority="40" operator="equal">
      <formula>0</formula>
    </cfRule>
  </conditionalFormatting>
  <conditionalFormatting sqref="F2:G49">
    <cfRule type="cellIs" dxfId="0" priority="38" operator="equal">
      <formula>0</formula>
    </cfRule>
  </conditionalFormatting>
  <conditionalFormatting sqref="O2:O3 R2:R3">
    <cfRule type="cellIs" dxfId="0" priority="34" operator="equal">
      <formula>0</formula>
    </cfRule>
  </conditionalFormatting>
  <conditionalFormatting sqref="O4:O41 R4:R64">
    <cfRule type="cellIs" dxfId="0" priority="31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88"/>
  <sheetViews>
    <sheetView topLeftCell="S1" workbookViewId="0">
      <selection activeCell="AJ8" sqref="AJ8"/>
    </sheetView>
  </sheetViews>
  <sheetFormatPr defaultColWidth="11" defaultRowHeight="14.4"/>
  <cols>
    <col min="1" max="1" width="2" style="96" customWidth="1"/>
    <col min="2" max="2" width="5.13888888888889" style="177" customWidth="1"/>
    <col min="3" max="4" width="5.71296296296296" style="177" customWidth="1"/>
    <col min="5" max="5" width="5.13888888888889" style="177" customWidth="1"/>
    <col min="6" max="7" width="5.71296296296296" style="177" customWidth="1"/>
    <col min="8" max="8" width="2" style="96" customWidth="1"/>
    <col min="9" max="9" width="5" style="177" customWidth="1"/>
    <col min="10" max="11" width="4.85185185185185" style="177" customWidth="1"/>
    <col min="12" max="12" width="9.57407407407407" style="177" customWidth="1"/>
    <col min="13" max="13" width="5.71296296296296" style="177" customWidth="1"/>
    <col min="14" max="14" width="4.85185185185185" style="177" customWidth="1"/>
    <col min="15" max="15" width="2" style="96" customWidth="1"/>
    <col min="16" max="16" width="9.42592592592593" style="177" customWidth="1"/>
    <col min="17" max="21" width="8.85185185185185" style="177" customWidth="1"/>
    <col min="22" max="22" width="2" style="96" customWidth="1"/>
    <col min="23" max="23" width="9.42592592592593" style="177" customWidth="1"/>
    <col min="24" max="28" width="8.85185185185185" style="177" customWidth="1"/>
    <col min="29" max="29" width="2" style="96" customWidth="1"/>
    <col min="30" max="34" width="11.4259259259259" style="177"/>
    <col min="35" max="35" width="4.28703703703704" style="177" customWidth="1"/>
    <col min="36" max="36" width="11.5740740740741" style="177" customWidth="1"/>
    <col min="37" max="37" width="4.28703703703704" style="177" customWidth="1"/>
    <col min="38" max="38" width="11.5740740740741" style="177" customWidth="1"/>
    <col min="39" max="16384" width="11.4259259259259" style="177"/>
  </cols>
  <sheetData>
    <row r="2" s="206" customFormat="1" spans="1:38">
      <c r="A2" s="179"/>
      <c r="B2" s="206">
        <v>2007</v>
      </c>
      <c r="C2" s="206" t="s">
        <v>1</v>
      </c>
      <c r="D2" s="206" t="s">
        <v>2</v>
      </c>
      <c r="E2" s="206">
        <v>2014</v>
      </c>
      <c r="F2" s="206" t="s">
        <v>1</v>
      </c>
      <c r="G2" s="206" t="s">
        <v>2</v>
      </c>
      <c r="H2" s="179"/>
      <c r="I2" s="206">
        <v>2007</v>
      </c>
      <c r="J2" s="206" t="s">
        <v>1</v>
      </c>
      <c r="K2" s="206" t="s">
        <v>2</v>
      </c>
      <c r="L2" s="206">
        <v>2014</v>
      </c>
      <c r="M2" s="206" t="s">
        <v>1</v>
      </c>
      <c r="N2" s="206" t="s">
        <v>2</v>
      </c>
      <c r="O2" s="179"/>
      <c r="Q2" s="206" t="s">
        <v>232</v>
      </c>
      <c r="R2" s="206" t="s">
        <v>233</v>
      </c>
      <c r="S2" s="206" t="s">
        <v>234</v>
      </c>
      <c r="T2" s="206" t="s">
        <v>235</v>
      </c>
      <c r="U2" s="206" t="s">
        <v>236</v>
      </c>
      <c r="V2" s="179"/>
      <c r="X2" s="206" t="s">
        <v>237</v>
      </c>
      <c r="Y2" s="206" t="s">
        <v>238</v>
      </c>
      <c r="Z2" s="206" t="s">
        <v>239</v>
      </c>
      <c r="AA2" s="206" t="s">
        <v>240</v>
      </c>
      <c r="AB2" s="206" t="s">
        <v>241</v>
      </c>
      <c r="AC2" s="179"/>
      <c r="AF2" s="206" t="s">
        <v>242</v>
      </c>
      <c r="AG2" s="206" t="s">
        <v>243</v>
      </c>
      <c r="AJ2" s="206" t="s">
        <v>244</v>
      </c>
      <c r="AL2" s="206" t="s">
        <v>245</v>
      </c>
    </row>
    <row r="3" spans="1:38">
      <c r="B3" s="177" t="s">
        <v>12</v>
      </c>
      <c r="C3" s="207">
        <v>8903.7381392717</v>
      </c>
      <c r="D3" s="207">
        <v>7273.30841143499</v>
      </c>
      <c r="E3" s="177" t="s">
        <v>12</v>
      </c>
      <c r="F3" s="207">
        <v>9140.82035805395</v>
      </c>
      <c r="G3" s="207">
        <v>10946.736383864</v>
      </c>
      <c r="I3" s="177" t="s">
        <v>42</v>
      </c>
      <c r="J3" s="207">
        <v>4115.9292076887</v>
      </c>
      <c r="K3" s="207">
        <v>4299.27575107296</v>
      </c>
      <c r="L3" s="177" t="s">
        <v>155</v>
      </c>
      <c r="M3" s="207">
        <v>4580.11955452794</v>
      </c>
      <c r="N3" s="207">
        <v>4202.31007155635</v>
      </c>
      <c r="P3" s="177" t="s">
        <v>246</v>
      </c>
      <c r="Q3" s="207">
        <v>3073.45091082572</v>
      </c>
      <c r="R3" s="207">
        <v>5261.3340749641</v>
      </c>
      <c r="S3" s="207">
        <v>7264.29865474154</v>
      </c>
      <c r="T3" s="207">
        <v>9755.90590599111</v>
      </c>
      <c r="U3" s="207">
        <v>16333.4037524861</v>
      </c>
      <c r="V3" s="208"/>
      <c r="W3" s="177" t="s">
        <v>246</v>
      </c>
      <c r="X3" s="207">
        <v>7499.58588364973</v>
      </c>
      <c r="Y3" s="207">
        <v>8813.78561537983</v>
      </c>
      <c r="Z3" s="207">
        <v>9826.39043913317</v>
      </c>
      <c r="AA3" s="207">
        <v>10854.2821006623</v>
      </c>
      <c r="AB3" s="207">
        <v>11961.5454994921</v>
      </c>
      <c r="AE3" s="177" t="s">
        <v>246</v>
      </c>
      <c r="AF3" s="177">
        <v>8258.21540930404</v>
      </c>
      <c r="AG3" s="177">
        <v>9772.94750797743</v>
      </c>
      <c r="AI3" s="177" t="s">
        <v>42</v>
      </c>
      <c r="AJ3" s="177">
        <v>4188.52010761824</v>
      </c>
      <c r="AK3" s="177" t="s">
        <v>42</v>
      </c>
      <c r="AL3" s="177">
        <v>4447.87440676267</v>
      </c>
    </row>
    <row r="4" spans="1:38">
      <c r="B4" s="177" t="s">
        <v>13</v>
      </c>
      <c r="C4" s="207">
        <v>999.093075601903</v>
      </c>
      <c r="D4" s="207">
        <v>490.128161735049</v>
      </c>
      <c r="E4" s="177" t="s">
        <v>13</v>
      </c>
      <c r="F4" s="207">
        <v>1234.27460500963</v>
      </c>
      <c r="G4" s="207">
        <v>723.677209302326</v>
      </c>
      <c r="I4" s="177" t="s">
        <v>44</v>
      </c>
      <c r="J4" s="207">
        <v>2271.41772151899</v>
      </c>
      <c r="K4" s="207">
        <v>1181.84120171674</v>
      </c>
      <c r="L4" s="177" t="s">
        <v>156</v>
      </c>
      <c r="M4" s="207">
        <v>2756.80727967245</v>
      </c>
      <c r="N4" s="207">
        <v>1622.84438497316</v>
      </c>
      <c r="P4" s="177" t="s">
        <v>247</v>
      </c>
      <c r="Q4" s="207">
        <v>259.938887768429</v>
      </c>
      <c r="R4" s="207">
        <v>444.366397946616</v>
      </c>
      <c r="S4" s="207">
        <v>623.636642543019</v>
      </c>
      <c r="T4" s="207">
        <v>907.193728364271</v>
      </c>
      <c r="U4" s="207">
        <v>1799.01465747934</v>
      </c>
      <c r="V4" s="208"/>
      <c r="W4" s="177" t="s">
        <v>247</v>
      </c>
      <c r="X4" s="207">
        <v>497.137354562156</v>
      </c>
      <c r="Y4" s="207">
        <v>747.914098155674</v>
      </c>
      <c r="Z4" s="207">
        <v>905.909736180905</v>
      </c>
      <c r="AA4" s="207">
        <v>1186.30923998739</v>
      </c>
      <c r="AB4" s="207">
        <v>1966.56984126984</v>
      </c>
      <c r="AE4" s="177" t="s">
        <v>247</v>
      </c>
      <c r="AF4" s="177">
        <v>797.582752864475</v>
      </c>
      <c r="AG4" s="177">
        <v>1055.54953036944</v>
      </c>
      <c r="AI4" s="177" t="s">
        <v>44</v>
      </c>
      <c r="AJ4" s="177">
        <v>1840.03058623619</v>
      </c>
      <c r="AK4" s="177" t="s">
        <v>44</v>
      </c>
      <c r="AL4" s="177">
        <v>2359.88476361929</v>
      </c>
    </row>
    <row r="5" spans="1:38">
      <c r="B5" s="177" t="s">
        <v>14</v>
      </c>
      <c r="C5" s="207">
        <v>36.6398760175654</v>
      </c>
      <c r="D5" s="207">
        <v>45.5585030018584</v>
      </c>
      <c r="E5" s="177" t="s">
        <v>14</v>
      </c>
      <c r="F5" s="207">
        <v>33.4539980732177</v>
      </c>
      <c r="G5" s="207">
        <v>66.8455491949911</v>
      </c>
      <c r="I5" s="177" t="s">
        <v>46</v>
      </c>
      <c r="J5" s="207">
        <v>1953.00867323019</v>
      </c>
      <c r="K5" s="207">
        <v>2315.7743204578</v>
      </c>
      <c r="L5" s="177" t="s">
        <v>157</v>
      </c>
      <c r="M5" s="207">
        <v>2775.03733140655</v>
      </c>
      <c r="N5" s="207">
        <v>3205.57520572451</v>
      </c>
      <c r="P5" s="177" t="s">
        <v>248</v>
      </c>
      <c r="Q5" s="207">
        <v>20.261380263438</v>
      </c>
      <c r="R5" s="207">
        <v>32.0508038060345</v>
      </c>
      <c r="S5" s="207">
        <v>40.1908708029923</v>
      </c>
      <c r="T5" s="207">
        <v>48.5913155647078</v>
      </c>
      <c r="U5" s="207">
        <v>60.9679715499089</v>
      </c>
      <c r="V5" s="208"/>
      <c r="W5" s="177" t="s">
        <v>248</v>
      </c>
      <c r="X5" s="207">
        <v>47.7049234537661</v>
      </c>
      <c r="Y5" s="207">
        <v>47.0749671772429</v>
      </c>
      <c r="Z5" s="207">
        <v>45.9478077889447</v>
      </c>
      <c r="AA5" s="207">
        <v>46.9272153894671</v>
      </c>
      <c r="AB5" s="207">
        <v>37.9104761904762</v>
      </c>
      <c r="AE5" s="177" t="s">
        <v>248</v>
      </c>
      <c r="AF5" s="177">
        <v>40.1709551804207</v>
      </c>
      <c r="AG5" s="177">
        <v>45.1420864120225</v>
      </c>
      <c r="AI5" s="177" t="s">
        <v>46</v>
      </c>
      <c r="AJ5" s="177">
        <v>2096.63551401869</v>
      </c>
      <c r="AK5" s="177" t="s">
        <v>46</v>
      </c>
      <c r="AL5" s="177">
        <v>2925.73906700062</v>
      </c>
    </row>
    <row r="6" spans="1:38">
      <c r="B6" s="177" t="s">
        <v>15</v>
      </c>
      <c r="C6" s="207">
        <v>14805.1970543324</v>
      </c>
      <c r="D6" s="207">
        <v>14469.3757336186</v>
      </c>
      <c r="E6" s="177" t="s">
        <v>15</v>
      </c>
      <c r="F6" s="207">
        <v>17615.7915280732</v>
      </c>
      <c r="G6" s="207">
        <v>16025.4637799284</v>
      </c>
      <c r="I6" s="177" t="s">
        <v>48</v>
      </c>
      <c r="J6" s="207">
        <v>6288.06282231599</v>
      </c>
      <c r="K6" s="207">
        <v>5095.0243204578</v>
      </c>
      <c r="L6" s="177" t="s">
        <v>158</v>
      </c>
      <c r="M6" s="207">
        <v>6833.32424855492</v>
      </c>
      <c r="N6" s="207">
        <v>6217.05760286225</v>
      </c>
      <c r="P6" s="177" t="s">
        <v>249</v>
      </c>
      <c r="Q6" s="207">
        <v>6558.15139633991</v>
      </c>
      <c r="R6" s="207">
        <v>10613.1657233898</v>
      </c>
      <c r="S6" s="207">
        <v>13693.825573132</v>
      </c>
      <c r="T6" s="207">
        <v>17718.9296534189</v>
      </c>
      <c r="U6" s="207">
        <v>25344.3633403098</v>
      </c>
      <c r="V6" s="208"/>
      <c r="W6" s="177" t="s">
        <v>249</v>
      </c>
      <c r="X6" s="207">
        <v>11210.8933312921</v>
      </c>
      <c r="Y6" s="207">
        <v>14441.4410605814</v>
      </c>
      <c r="Z6" s="207">
        <v>16859.3711488693</v>
      </c>
      <c r="AA6" s="207">
        <v>19590.1471914222</v>
      </c>
      <c r="AB6" s="207">
        <v>23435.1481067937</v>
      </c>
      <c r="AE6" s="177" t="s">
        <v>249</v>
      </c>
      <c r="AF6" s="177">
        <v>14672.2380607447</v>
      </c>
      <c r="AG6" s="177">
        <v>17059.1270251221</v>
      </c>
      <c r="AI6" s="177" t="s">
        <v>48</v>
      </c>
      <c r="AJ6" s="177">
        <v>5815.71282922685</v>
      </c>
      <c r="AK6" s="177" t="s">
        <v>48</v>
      </c>
      <c r="AL6" s="177">
        <v>6617.6116280526</v>
      </c>
    </row>
    <row r="7" spans="1:38">
      <c r="B7" s="177" t="s">
        <v>16</v>
      </c>
      <c r="C7" s="207">
        <v>2635.09141430118</v>
      </c>
      <c r="D7" s="207">
        <v>1627.59190443141</v>
      </c>
      <c r="E7" s="177" t="s">
        <v>16</v>
      </c>
      <c r="F7" s="207">
        <v>3196.42111753372</v>
      </c>
      <c r="G7" s="207">
        <v>2065.86577817531</v>
      </c>
      <c r="I7" s="177" t="s">
        <v>50</v>
      </c>
      <c r="J7" s="207">
        <v>1076.10853258322</v>
      </c>
      <c r="K7" s="207">
        <v>527.909871244635</v>
      </c>
      <c r="L7" s="177" t="s">
        <v>159</v>
      </c>
      <c r="M7" s="207">
        <v>1302.09828516378</v>
      </c>
      <c r="N7" s="207">
        <v>748.735813953489</v>
      </c>
      <c r="P7" s="177" t="s">
        <v>250</v>
      </c>
      <c r="Q7" s="207">
        <v>492.806935130533</v>
      </c>
      <c r="R7" s="207">
        <v>969.357682207993</v>
      </c>
      <c r="S7" s="207">
        <v>1513.71521119113</v>
      </c>
      <c r="T7" s="207">
        <v>2477.45045747203</v>
      </c>
      <c r="U7" s="207">
        <v>5890.01114165436</v>
      </c>
      <c r="V7" s="208"/>
      <c r="W7" s="177" t="s">
        <v>250</v>
      </c>
      <c r="X7" s="207">
        <v>1149.45780771586</v>
      </c>
      <c r="Y7" s="207">
        <v>1699.70906533292</v>
      </c>
      <c r="Z7" s="207">
        <v>2408.53005653266</v>
      </c>
      <c r="AA7" s="207">
        <v>3238.34689372438</v>
      </c>
      <c r="AB7" s="207">
        <v>5586.66180952381</v>
      </c>
      <c r="AE7" s="177" t="s">
        <v>250</v>
      </c>
      <c r="AF7" s="177">
        <v>2236.20035941647</v>
      </c>
      <c r="AG7" s="177">
        <v>2800.69135253601</v>
      </c>
      <c r="AI7" s="177" t="s">
        <v>50</v>
      </c>
      <c r="AJ7" s="177">
        <v>859.064712546021</v>
      </c>
      <c r="AK7" s="177" t="s">
        <v>50</v>
      </c>
      <c r="AL7" s="177">
        <v>1108.40409517846</v>
      </c>
    </row>
    <row r="8" spans="1:38">
      <c r="B8" s="177" t="s">
        <v>17</v>
      </c>
      <c r="C8" s="207">
        <v>2823.48905120859</v>
      </c>
      <c r="D8" s="207">
        <v>1739.59465572552</v>
      </c>
      <c r="E8" s="177" t="s">
        <v>17</v>
      </c>
      <c r="F8" s="207">
        <v>4159.6632716763</v>
      </c>
      <c r="G8" s="207">
        <v>2738.48137745975</v>
      </c>
      <c r="I8" s="177" t="s">
        <v>52</v>
      </c>
      <c r="J8" s="207">
        <v>2232.04078762307</v>
      </c>
      <c r="K8" s="207">
        <v>2221.53540772532</v>
      </c>
      <c r="L8" s="177" t="s">
        <v>160</v>
      </c>
      <c r="M8" s="207">
        <v>2136.18461913294</v>
      </c>
      <c r="N8" s="207">
        <v>2462.22199828265</v>
      </c>
      <c r="P8" s="177" t="s">
        <v>251</v>
      </c>
      <c r="Q8" s="207">
        <v>771.245447605894</v>
      </c>
      <c r="R8" s="207">
        <v>1443.3091247506</v>
      </c>
      <c r="S8" s="207">
        <v>2019.10935965197</v>
      </c>
      <c r="T8" s="207">
        <v>2810.98262180803</v>
      </c>
      <c r="U8" s="207">
        <v>5055.07025857452</v>
      </c>
      <c r="V8" s="208"/>
      <c r="W8" s="177" t="s">
        <v>251</v>
      </c>
      <c r="X8" s="207">
        <v>1781.51276178812</v>
      </c>
      <c r="Y8" s="207">
        <v>2520.7195273523</v>
      </c>
      <c r="Z8" s="207">
        <v>3136.53076633166</v>
      </c>
      <c r="AA8" s="207">
        <v>4165.83209334595</v>
      </c>
      <c r="AB8" s="207">
        <v>6795.76053460317</v>
      </c>
      <c r="AE8" s="177" t="s">
        <v>251</v>
      </c>
      <c r="AF8" s="177">
        <v>2394.35159301394</v>
      </c>
      <c r="AG8" s="177">
        <v>3662.20511333751</v>
      </c>
      <c r="AI8" s="177" t="s">
        <v>52</v>
      </c>
      <c r="AJ8" s="177">
        <v>2227.88147833475</v>
      </c>
      <c r="AK8" s="177" t="s">
        <v>52</v>
      </c>
      <c r="AL8" s="177">
        <v>2250.30790964308</v>
      </c>
    </row>
    <row r="9" spans="1:38">
      <c r="B9" s="177" t="s">
        <v>18</v>
      </c>
      <c r="C9" s="207">
        <v>3992.01064326156</v>
      </c>
      <c r="D9" s="207">
        <v>1921.73867342656</v>
      </c>
      <c r="E9" s="177" t="s">
        <v>18</v>
      </c>
      <c r="F9" s="207">
        <v>3404.93158959538</v>
      </c>
      <c r="G9" s="207">
        <v>1465.46329159213</v>
      </c>
      <c r="I9" s="177" t="s">
        <v>54</v>
      </c>
      <c r="J9" s="207">
        <v>856.573839662447</v>
      </c>
      <c r="K9" s="207">
        <v>778.109442060086</v>
      </c>
      <c r="L9" s="177" t="s">
        <v>161</v>
      </c>
      <c r="M9" s="207">
        <v>1066.69760134875</v>
      </c>
      <c r="N9" s="207">
        <v>1102.38547406082</v>
      </c>
      <c r="P9" s="177" t="s">
        <v>252</v>
      </c>
      <c r="Q9" s="207">
        <v>463.09525134688</v>
      </c>
      <c r="R9" s="207">
        <v>854.399894559078</v>
      </c>
      <c r="S9" s="207">
        <v>1406.13621360221</v>
      </c>
      <c r="T9" s="207">
        <v>2228.46453293964</v>
      </c>
      <c r="U9" s="207">
        <v>11211.4128290118</v>
      </c>
      <c r="V9" s="208"/>
      <c r="W9" s="177" t="s">
        <v>252</v>
      </c>
      <c r="X9" s="207">
        <v>665.94004898959</v>
      </c>
      <c r="Y9" s="207">
        <v>1042.51475461082</v>
      </c>
      <c r="Z9" s="207">
        <v>1437.96570351759</v>
      </c>
      <c r="AA9" s="207">
        <v>2546.05578681804</v>
      </c>
      <c r="AB9" s="207">
        <v>8054.96479365079</v>
      </c>
      <c r="AE9" s="177" t="s">
        <v>252</v>
      </c>
      <c r="AF9" s="177">
        <v>3172.34476565484</v>
      </c>
      <c r="AG9" s="177">
        <v>2726.05696305573</v>
      </c>
      <c r="AI9" s="177" t="s">
        <v>54</v>
      </c>
      <c r="AJ9" s="177">
        <v>825.508071367884</v>
      </c>
      <c r="AK9" s="177" t="s">
        <v>54</v>
      </c>
      <c r="AL9" s="177">
        <v>1079.18947413901</v>
      </c>
    </row>
    <row r="10" spans="1:38">
      <c r="B10" s="177" t="s">
        <v>19</v>
      </c>
      <c r="C10" s="207">
        <v>800.999021363901</v>
      </c>
      <c r="D10" s="207">
        <v>468.085116858868</v>
      </c>
      <c r="E10" s="177" t="s">
        <v>19</v>
      </c>
      <c r="F10" s="207">
        <v>891.379633911368</v>
      </c>
      <c r="G10" s="207">
        <v>466.703595706619</v>
      </c>
      <c r="I10" s="177" t="s">
        <v>56</v>
      </c>
      <c r="J10" s="207">
        <v>1578.08931082982</v>
      </c>
      <c r="K10" s="207">
        <v>1315.65450643777</v>
      </c>
      <c r="L10" s="177" t="s">
        <v>162</v>
      </c>
      <c r="M10" s="207">
        <v>2178.43330057803</v>
      </c>
      <c r="N10" s="207">
        <v>1860.93920286225</v>
      </c>
      <c r="P10" s="177" t="s">
        <v>253</v>
      </c>
      <c r="Q10" s="207">
        <v>118.143392396856</v>
      </c>
      <c r="R10" s="207">
        <v>227.834145507378</v>
      </c>
      <c r="S10" s="207">
        <v>364.718738792757</v>
      </c>
      <c r="T10" s="207">
        <v>605.124732540125</v>
      </c>
      <c r="U10" s="207">
        <v>2087.19609561008</v>
      </c>
      <c r="V10" s="208"/>
      <c r="W10" s="177" t="s">
        <v>253</v>
      </c>
      <c r="X10" s="207">
        <v>170.680404164115</v>
      </c>
      <c r="Y10" s="207">
        <v>291.140450140669</v>
      </c>
      <c r="Z10" s="207">
        <v>453.753894472362</v>
      </c>
      <c r="AA10" s="207">
        <v>808.211226742353</v>
      </c>
      <c r="AB10" s="207">
        <v>2020.63587301587</v>
      </c>
      <c r="AE10" s="177" t="s">
        <v>253</v>
      </c>
      <c r="AF10" s="177">
        <v>669.19113733727</v>
      </c>
      <c r="AG10" s="177">
        <v>742.729724483406</v>
      </c>
      <c r="AI10" s="177" t="s">
        <v>56</v>
      </c>
      <c r="AJ10" s="177">
        <v>1474.18564146134</v>
      </c>
      <c r="AK10" s="177" t="s">
        <v>56</v>
      </c>
      <c r="AL10" s="177">
        <v>2067.30042604884</v>
      </c>
    </row>
    <row r="11" spans="1:38">
      <c r="B11" s="177" t="s">
        <v>20</v>
      </c>
      <c r="C11" s="207">
        <v>3327.61586133648</v>
      </c>
      <c r="D11" s="207">
        <v>2180.54710276709</v>
      </c>
      <c r="E11" s="177" t="s">
        <v>20</v>
      </c>
      <c r="F11" s="207">
        <v>2946.57686897881</v>
      </c>
      <c r="G11" s="207">
        <v>2143.47448121646</v>
      </c>
      <c r="I11" s="177" t="s">
        <v>58</v>
      </c>
      <c r="J11" s="207">
        <v>815.144163150492</v>
      </c>
      <c r="K11" s="207">
        <v>1180.78183118741</v>
      </c>
      <c r="L11" s="177" t="s">
        <v>163</v>
      </c>
      <c r="M11" s="207">
        <v>849.7891522158</v>
      </c>
      <c r="N11" s="207">
        <v>1079.26701252236</v>
      </c>
      <c r="P11" s="177" t="s">
        <v>254</v>
      </c>
      <c r="Q11" s="207">
        <v>964.248322594485</v>
      </c>
      <c r="R11" s="207">
        <v>1427.08751855729</v>
      </c>
      <c r="S11" s="207">
        <v>1840.57435701528</v>
      </c>
      <c r="T11" s="207">
        <v>2430.72356150575</v>
      </c>
      <c r="U11" s="207">
        <v>7899.366600005</v>
      </c>
      <c r="V11" s="208"/>
      <c r="W11" s="177" t="s">
        <v>254</v>
      </c>
      <c r="X11" s="207">
        <v>1380.10724127373</v>
      </c>
      <c r="Y11" s="207">
        <v>1698.75736167552</v>
      </c>
      <c r="Z11" s="207">
        <v>2019.52914572864</v>
      </c>
      <c r="AA11" s="207">
        <v>2834.99659413434</v>
      </c>
      <c r="AB11" s="207">
        <v>5462.15244444444</v>
      </c>
      <c r="AE11" s="177" t="s">
        <v>254</v>
      </c>
      <c r="AF11" s="177">
        <v>2873.46629337272</v>
      </c>
      <c r="AG11" s="177">
        <v>2665.46588916719</v>
      </c>
      <c r="AI11" s="177" t="s">
        <v>58</v>
      </c>
      <c r="AJ11" s="177">
        <v>959.908099688474</v>
      </c>
      <c r="AK11" s="177" t="s">
        <v>58</v>
      </c>
      <c r="AL11" s="177">
        <v>930.113587977456</v>
      </c>
    </row>
    <row r="12" spans="1:38">
      <c r="B12" s="177" t="s">
        <v>21</v>
      </c>
      <c r="C12" s="207">
        <v>2182.91442379012</v>
      </c>
      <c r="D12" s="207">
        <v>1874.25647442672</v>
      </c>
      <c r="E12" s="177" t="s">
        <v>21</v>
      </c>
      <c r="F12" s="207">
        <v>3446.76522157996</v>
      </c>
      <c r="G12" s="207">
        <v>1900.52432915921</v>
      </c>
      <c r="I12" s="177" t="s">
        <v>60</v>
      </c>
      <c r="J12" s="207">
        <v>30.2960618846695</v>
      </c>
      <c r="K12" s="207">
        <v>6.25321888412017</v>
      </c>
      <c r="L12" s="177" t="s">
        <v>164</v>
      </c>
      <c r="M12" s="207">
        <v>29.337166628131</v>
      </c>
      <c r="N12" s="207">
        <v>12.8260465116279</v>
      </c>
      <c r="P12" s="177" t="s">
        <v>255</v>
      </c>
      <c r="Q12" s="207">
        <v>1134.84375924163</v>
      </c>
      <c r="R12" s="207">
        <v>1629.8408648975</v>
      </c>
      <c r="S12" s="207">
        <v>1950.61403365865</v>
      </c>
      <c r="T12" s="207">
        <v>2351.05235599399</v>
      </c>
      <c r="U12" s="207">
        <v>3300.87683968184</v>
      </c>
      <c r="V12" s="208"/>
      <c r="W12" s="177" t="s">
        <v>255</v>
      </c>
      <c r="X12" s="207">
        <v>1972.80985915493</v>
      </c>
      <c r="Y12" s="207">
        <v>2512.77649265395</v>
      </c>
      <c r="Z12" s="207">
        <v>2886.28297738693</v>
      </c>
      <c r="AA12" s="207">
        <v>3266.85083569852</v>
      </c>
      <c r="AB12" s="207">
        <v>3927.19873015873</v>
      </c>
      <c r="AE12" s="177" t="s">
        <v>255</v>
      </c>
      <c r="AF12" s="177">
        <v>2060.71000203707</v>
      </c>
      <c r="AG12" s="177">
        <v>2905.53249843456</v>
      </c>
      <c r="AI12" s="177" t="s">
        <v>60</v>
      </c>
      <c r="AJ12" s="177">
        <v>20.7769753610875</v>
      </c>
      <c r="AK12" s="177" t="s">
        <v>60</v>
      </c>
      <c r="AL12" s="177">
        <v>23.5577576455855</v>
      </c>
    </row>
    <row r="13" spans="1:38">
      <c r="B13" s="177" t="s">
        <v>22</v>
      </c>
      <c r="C13" s="207">
        <v>1566.31458040319</v>
      </c>
      <c r="D13" s="207">
        <v>1601.96101573677</v>
      </c>
      <c r="E13" s="177" t="s">
        <v>22</v>
      </c>
      <c r="F13" s="207">
        <v>1705.99653179191</v>
      </c>
      <c r="G13" s="207">
        <v>1643.52987477639</v>
      </c>
      <c r="I13" s="177" t="s">
        <v>62</v>
      </c>
      <c r="J13" s="207">
        <v>772.299109235818</v>
      </c>
      <c r="K13" s="207">
        <v>982.070100143061</v>
      </c>
      <c r="L13" s="177" t="s">
        <v>165</v>
      </c>
      <c r="M13" s="207">
        <v>990.705678034681</v>
      </c>
      <c r="N13" s="207">
        <v>1287.87000275492</v>
      </c>
      <c r="P13" s="177" t="s">
        <v>256</v>
      </c>
      <c r="Q13" s="207">
        <v>347.325920778318</v>
      </c>
      <c r="R13" s="207">
        <v>655.665269042628</v>
      </c>
      <c r="S13" s="207">
        <v>997.672245467225</v>
      </c>
      <c r="T13" s="207">
        <v>1603.15401301518</v>
      </c>
      <c r="U13" s="207">
        <v>4418.25309090909</v>
      </c>
      <c r="V13" s="208"/>
      <c r="W13" s="177" t="s">
        <v>256</v>
      </c>
      <c r="X13" s="207">
        <v>409.77281077771</v>
      </c>
      <c r="Y13" s="207">
        <v>809.346670834636</v>
      </c>
      <c r="Z13" s="207">
        <v>1301.47613065327</v>
      </c>
      <c r="AA13" s="207">
        <v>2022.91548407442</v>
      </c>
      <c r="AB13" s="207">
        <v>3939.55333333333</v>
      </c>
      <c r="AE13" s="177" t="s">
        <v>256</v>
      </c>
      <c r="AF13" s="177">
        <v>1580.42778249788</v>
      </c>
      <c r="AG13" s="177">
        <v>1684.13124608641</v>
      </c>
      <c r="AI13" s="177" t="s">
        <v>62</v>
      </c>
      <c r="AJ13" s="177">
        <v>855.352024922118</v>
      </c>
      <c r="AK13" s="177" t="s">
        <v>62</v>
      </c>
      <c r="AL13" s="177">
        <v>1094.72249551659</v>
      </c>
    </row>
    <row r="14" spans="1:38">
      <c r="B14" s="177" t="s">
        <v>23</v>
      </c>
      <c r="C14" s="207">
        <v>802.503252865888</v>
      </c>
      <c r="D14" s="207">
        <v>357.494428408825</v>
      </c>
      <c r="E14" s="177" t="s">
        <v>23</v>
      </c>
      <c r="F14" s="207">
        <v>1064.46039499037</v>
      </c>
      <c r="G14" s="207">
        <v>640.310983899821</v>
      </c>
      <c r="I14" s="177" t="s">
        <v>64</v>
      </c>
      <c r="J14" s="207">
        <v>536.198312236287</v>
      </c>
      <c r="K14" s="207">
        <v>666.716022889843</v>
      </c>
      <c r="L14" s="177" t="s">
        <v>166</v>
      </c>
      <c r="M14" s="207">
        <v>855.829605279385</v>
      </c>
      <c r="N14" s="207">
        <v>1098.68318314848</v>
      </c>
      <c r="P14" s="177" t="s">
        <v>257</v>
      </c>
      <c r="Q14" s="207">
        <v>35.2849590623015</v>
      </c>
      <c r="R14" s="207">
        <v>79.1217406956678</v>
      </c>
      <c r="S14" s="207">
        <v>167.738173570172</v>
      </c>
      <c r="T14" s="207">
        <v>317.268585898779</v>
      </c>
      <c r="U14" s="207">
        <v>2603.42984460593</v>
      </c>
      <c r="V14" s="208"/>
      <c r="W14" s="177" t="s">
        <v>257</v>
      </c>
      <c r="X14" s="207">
        <v>150.01209430496</v>
      </c>
      <c r="Y14" s="207">
        <v>253.28746483276</v>
      </c>
      <c r="Z14" s="207">
        <v>469.304114321608</v>
      </c>
      <c r="AA14" s="207">
        <v>1097.62280037843</v>
      </c>
      <c r="AB14" s="207">
        <v>2651.8746031746</v>
      </c>
      <c r="AE14" s="177" t="s">
        <v>257</v>
      </c>
      <c r="AF14" s="177">
        <v>626.314542418146</v>
      </c>
      <c r="AG14" s="177">
        <v>915.994821540388</v>
      </c>
      <c r="AI14" s="177" t="s">
        <v>64</v>
      </c>
      <c r="AJ14" s="177">
        <v>587.873123760974</v>
      </c>
      <c r="AK14" s="177" t="s">
        <v>64</v>
      </c>
      <c r="AL14" s="177">
        <v>940.835960964308</v>
      </c>
    </row>
    <row r="15" spans="1:38">
      <c r="B15" s="177" t="s">
        <v>24</v>
      </c>
      <c r="C15" s="207">
        <v>2571.91623753386</v>
      </c>
      <c r="D15" s="207">
        <v>1643.76484908999</v>
      </c>
      <c r="E15" s="177" t="s">
        <v>24</v>
      </c>
      <c r="F15" s="207">
        <v>3690.81629672447</v>
      </c>
      <c r="G15" s="207">
        <v>2528.36594275492</v>
      </c>
      <c r="I15" s="177" t="s">
        <v>66</v>
      </c>
      <c r="J15" s="207">
        <v>240.2290201594</v>
      </c>
      <c r="K15" s="207">
        <v>82.3011444921316</v>
      </c>
      <c r="L15" s="177" t="s">
        <v>167</v>
      </c>
      <c r="M15" s="207">
        <v>338.118015414258</v>
      </c>
      <c r="N15" s="207">
        <v>160.391395348837</v>
      </c>
      <c r="P15" s="177" t="s">
        <v>258</v>
      </c>
      <c r="Q15" s="207">
        <v>474.799846152866</v>
      </c>
      <c r="R15" s="207">
        <v>788.114141709072</v>
      </c>
      <c r="S15" s="207">
        <v>1325.92985044297</v>
      </c>
      <c r="T15" s="207">
        <v>2260.15856334795</v>
      </c>
      <c r="U15" s="207">
        <v>6348.7637624218</v>
      </c>
      <c r="V15" s="208"/>
      <c r="W15" s="177" t="s">
        <v>258</v>
      </c>
      <c r="X15" s="207">
        <v>962.118646662584</v>
      </c>
      <c r="Y15" s="207">
        <v>1750.70184432635</v>
      </c>
      <c r="Z15" s="207">
        <v>2440.42844849246</v>
      </c>
      <c r="AA15" s="207">
        <v>3652.72220119836</v>
      </c>
      <c r="AB15" s="207">
        <v>7729.6373968254</v>
      </c>
      <c r="AE15" s="177" t="s">
        <v>258</v>
      </c>
      <c r="AF15" s="177">
        <v>2204.44083650171</v>
      </c>
      <c r="AG15" s="177">
        <v>3283.92227802129</v>
      </c>
      <c r="AI15" s="177" t="s">
        <v>66</v>
      </c>
      <c r="AJ15" s="177">
        <v>177.701925800057</v>
      </c>
      <c r="AK15" s="177" t="s">
        <v>66</v>
      </c>
      <c r="AL15" s="177">
        <v>275.908134001252</v>
      </c>
    </row>
    <row r="16" spans="1:38">
      <c r="B16" s="177" t="s">
        <v>25</v>
      </c>
      <c r="C16" s="207">
        <v>1342.56174223245</v>
      </c>
      <c r="D16" s="207">
        <v>1002.27627144959</v>
      </c>
      <c r="E16" s="177" t="s">
        <v>25</v>
      </c>
      <c r="F16" s="207">
        <v>2002.11933526011</v>
      </c>
      <c r="G16" s="207">
        <v>1401.99964221825</v>
      </c>
      <c r="I16" s="177" t="s">
        <v>68</v>
      </c>
      <c r="J16" s="207">
        <v>5.2022972339428</v>
      </c>
      <c r="K16" s="207">
        <v>0</v>
      </c>
      <c r="L16" s="177" t="s">
        <v>168</v>
      </c>
      <c r="M16" s="207">
        <v>9.26857418111753</v>
      </c>
      <c r="N16" s="207">
        <v>3.13023255813953</v>
      </c>
      <c r="P16" s="177" t="s">
        <v>259</v>
      </c>
      <c r="Q16" s="207">
        <v>350.379398066264</v>
      </c>
      <c r="R16" s="207">
        <v>642.038404809848</v>
      </c>
      <c r="S16" s="207">
        <v>977.969454213798</v>
      </c>
      <c r="T16" s="207">
        <v>1519.41019354121</v>
      </c>
      <c r="U16" s="207">
        <v>2620.38359361918</v>
      </c>
      <c r="V16" s="208"/>
      <c r="W16" s="177" t="s">
        <v>259</v>
      </c>
      <c r="X16" s="207">
        <v>836.838273116963</v>
      </c>
      <c r="Y16" s="207">
        <v>1245.31309784308</v>
      </c>
      <c r="Z16" s="207">
        <v>1559.61199748744</v>
      </c>
      <c r="AA16" s="207">
        <v>1929.68987701041</v>
      </c>
      <c r="AB16" s="207">
        <v>3434.11273015873</v>
      </c>
      <c r="AE16" s="177" t="s">
        <v>259</v>
      </c>
      <c r="AF16" s="177">
        <v>1207.835294157</v>
      </c>
      <c r="AG16" s="177">
        <v>1792.05865372574</v>
      </c>
      <c r="AI16" s="177" t="s">
        <v>68</v>
      </c>
      <c r="AJ16" s="177">
        <v>3.14259416595865</v>
      </c>
      <c r="AK16" s="177" t="s">
        <v>68</v>
      </c>
      <c r="AL16" s="177">
        <v>7.11996242955542</v>
      </c>
    </row>
    <row r="17" spans="2:38">
      <c r="B17" s="177" t="s">
        <v>26</v>
      </c>
      <c r="C17" s="207">
        <v>1864.41573970379</v>
      </c>
      <c r="D17" s="207">
        <v>733.947039349817</v>
      </c>
      <c r="E17" s="177" t="s">
        <v>26</v>
      </c>
      <c r="F17" s="207">
        <v>1899.7074566474</v>
      </c>
      <c r="G17" s="207">
        <v>748.898461538462</v>
      </c>
      <c r="I17" s="177" t="s">
        <v>70</v>
      </c>
      <c r="J17" s="207">
        <v>1486.14721050164</v>
      </c>
      <c r="K17" s="207">
        <v>902.000357653791</v>
      </c>
      <c r="L17" s="177" t="s">
        <v>169</v>
      </c>
      <c r="M17" s="207">
        <v>2096.01117148362</v>
      </c>
      <c r="N17" s="207">
        <v>1195.2191627907</v>
      </c>
      <c r="P17" s="177" t="s">
        <v>260</v>
      </c>
      <c r="Q17" s="207">
        <v>241.181475457036</v>
      </c>
      <c r="R17" s="207">
        <v>515.632607368565</v>
      </c>
      <c r="S17" s="207">
        <v>806.332543754615</v>
      </c>
      <c r="T17" s="207">
        <v>1457.00491252198</v>
      </c>
      <c r="U17" s="207">
        <v>4181.42865564313</v>
      </c>
      <c r="V17" s="208"/>
      <c r="W17" s="177" t="s">
        <v>260</v>
      </c>
      <c r="X17" s="207">
        <v>495.89699938763</v>
      </c>
      <c r="Y17" s="207">
        <v>841.673898093154</v>
      </c>
      <c r="Z17" s="207">
        <v>1170.20785175879</v>
      </c>
      <c r="AA17" s="207">
        <v>1670.8280037843</v>
      </c>
      <c r="AB17" s="207">
        <v>3355.25523809524</v>
      </c>
      <c r="AE17" s="177" t="s">
        <v>260</v>
      </c>
      <c r="AF17" s="177">
        <v>1416.83849725269</v>
      </c>
      <c r="AG17" s="177">
        <v>1496.88827802129</v>
      </c>
      <c r="AI17" s="177" t="s">
        <v>70</v>
      </c>
      <c r="AJ17" s="177">
        <v>1254.8707165109</v>
      </c>
      <c r="AK17" s="177" t="s">
        <v>70</v>
      </c>
      <c r="AL17" s="177">
        <v>1780.7057658109</v>
      </c>
    </row>
    <row r="18" spans="2:38">
      <c r="B18" s="177" t="s">
        <v>27</v>
      </c>
      <c r="C18" s="207">
        <v>1671.31200187529</v>
      </c>
      <c r="D18" s="207">
        <v>432.821530758226</v>
      </c>
      <c r="E18" s="177" t="s">
        <v>27</v>
      </c>
      <c r="F18" s="207">
        <v>2465.05997109827</v>
      </c>
      <c r="G18" s="207">
        <v>600.513881932021</v>
      </c>
      <c r="I18" s="177" t="s">
        <v>72</v>
      </c>
      <c r="J18" s="207">
        <v>117.499062353493</v>
      </c>
      <c r="K18" s="207">
        <v>42.8201001430615</v>
      </c>
      <c r="L18" s="177" t="s">
        <v>170</v>
      </c>
      <c r="M18" s="207">
        <v>57.8141811175337</v>
      </c>
      <c r="N18" s="207">
        <v>29.9932021466905</v>
      </c>
      <c r="P18" s="177" t="s">
        <v>261</v>
      </c>
      <c r="Q18" s="207">
        <v>74.8790826963169</v>
      </c>
      <c r="R18" s="207">
        <v>220.777078965758</v>
      </c>
      <c r="S18" s="207">
        <v>574.772663877266</v>
      </c>
      <c r="T18" s="207">
        <v>1040.08821402748</v>
      </c>
      <c r="U18" s="207">
        <v>4111.736</v>
      </c>
      <c r="V18" s="208"/>
      <c r="W18" s="177" t="s">
        <v>261</v>
      </c>
      <c r="X18" s="207">
        <v>280.891977954685</v>
      </c>
      <c r="Y18" s="207">
        <v>623.617693029072</v>
      </c>
      <c r="Z18" s="207">
        <v>1090.95854271357</v>
      </c>
      <c r="AA18" s="207">
        <v>1985.35433617155</v>
      </c>
      <c r="AB18" s="207">
        <v>5162.75501587302</v>
      </c>
      <c r="AE18" s="177" t="s">
        <v>261</v>
      </c>
      <c r="AF18" s="177">
        <v>1180.9665817049</v>
      </c>
      <c r="AG18" s="177">
        <v>1812.41046336882</v>
      </c>
      <c r="AI18" s="177" t="s">
        <v>72</v>
      </c>
      <c r="AJ18" s="177">
        <v>87.9320305862362</v>
      </c>
      <c r="AK18" s="177" t="s">
        <v>72</v>
      </c>
      <c r="AL18" s="177">
        <v>48.075967438948</v>
      </c>
    </row>
    <row r="19" spans="2:38">
      <c r="B19" s="177" t="s">
        <v>28</v>
      </c>
      <c r="C19" s="207">
        <v>8092.02800590502</v>
      </c>
      <c r="D19" s="207">
        <v>2580.76675405415</v>
      </c>
      <c r="E19" s="177" t="s">
        <v>28</v>
      </c>
      <c r="F19" s="207">
        <v>14319.5658381503</v>
      </c>
      <c r="G19" s="207">
        <v>5112.66110912344</v>
      </c>
      <c r="I19" s="177" t="s">
        <v>74</v>
      </c>
      <c r="J19" s="207">
        <v>5.34739803094234</v>
      </c>
      <c r="K19" s="207">
        <v>3.24964234620887</v>
      </c>
      <c r="L19" s="177" t="s">
        <v>171</v>
      </c>
      <c r="M19" s="207">
        <v>10.1589595375723</v>
      </c>
      <c r="N19" s="207">
        <v>14.7374955277281</v>
      </c>
      <c r="P19" s="177" t="s">
        <v>262</v>
      </c>
      <c r="Q19" s="207">
        <v>2353.81093074696</v>
      </c>
      <c r="R19" s="207">
        <v>3653.12446343537</v>
      </c>
      <c r="S19" s="207">
        <v>4779.78700758089</v>
      </c>
      <c r="T19" s="207">
        <v>6307.65935196912</v>
      </c>
      <c r="U19" s="207">
        <v>12759.2384206262</v>
      </c>
      <c r="V19" s="208"/>
      <c r="W19" s="177" t="s">
        <v>262</v>
      </c>
      <c r="X19" s="207">
        <v>5173.04519289651</v>
      </c>
      <c r="Y19" s="207">
        <v>7379.00975304783</v>
      </c>
      <c r="Z19" s="207">
        <v>9299.25188442211</v>
      </c>
      <c r="AA19" s="207">
        <v>12118.9924314096</v>
      </c>
      <c r="AB19" s="207">
        <v>21802.574031746</v>
      </c>
      <c r="AE19" s="177" t="s">
        <v>262</v>
      </c>
      <c r="AF19" s="177">
        <v>5909.99933694792</v>
      </c>
      <c r="AG19" s="177">
        <v>11096.8609267376</v>
      </c>
      <c r="AI19" s="177" t="s">
        <v>74</v>
      </c>
      <c r="AJ19" s="177">
        <v>4.51685075049561</v>
      </c>
      <c r="AK19" s="177" t="s">
        <v>74</v>
      </c>
      <c r="AL19" s="177">
        <v>11.761590482154</v>
      </c>
    </row>
    <row r="20" spans="2:38">
      <c r="B20" s="177" t="s">
        <v>29</v>
      </c>
      <c r="C20" s="207">
        <v>560.315518049695</v>
      </c>
      <c r="D20" s="207">
        <v>106.918812589413</v>
      </c>
      <c r="E20" s="177" t="s">
        <v>29</v>
      </c>
      <c r="F20" s="207">
        <v>1202.87697495183</v>
      </c>
      <c r="G20" s="207">
        <v>169.632245080501</v>
      </c>
      <c r="I20" s="177" t="s">
        <v>76</v>
      </c>
      <c r="J20" s="207">
        <v>920.945616502579</v>
      </c>
      <c r="K20" s="207">
        <v>537.733905579399</v>
      </c>
      <c r="L20" s="177" t="s">
        <v>172</v>
      </c>
      <c r="M20" s="207">
        <v>1214.35502890173</v>
      </c>
      <c r="N20" s="207">
        <v>733.194060822898</v>
      </c>
      <c r="P20" s="177" t="s">
        <v>263</v>
      </c>
      <c r="Q20" s="207">
        <v>33.1952744961779</v>
      </c>
      <c r="R20" s="207">
        <v>66.6687631027254</v>
      </c>
      <c r="S20" s="207">
        <v>120.800557880056</v>
      </c>
      <c r="T20" s="207">
        <v>252.65003615329</v>
      </c>
      <c r="U20" s="207">
        <v>1471.59054545455</v>
      </c>
      <c r="V20" s="208"/>
      <c r="W20" s="177" t="s">
        <v>263</v>
      </c>
      <c r="X20" s="207">
        <v>105.990508266993</v>
      </c>
      <c r="Y20" s="207">
        <v>228.414348233823</v>
      </c>
      <c r="Z20" s="207">
        <v>474.018530150754</v>
      </c>
      <c r="AA20" s="207">
        <v>838.059839167455</v>
      </c>
      <c r="AB20" s="207">
        <v>2600.15301587302</v>
      </c>
      <c r="AE20" s="177" t="s">
        <v>263</v>
      </c>
      <c r="AF20" s="177">
        <v>380.805862361937</v>
      </c>
      <c r="AG20" s="177">
        <v>841.208969943644</v>
      </c>
      <c r="AI20" s="177" t="s">
        <v>76</v>
      </c>
      <c r="AJ20" s="177">
        <v>769.223732653639</v>
      </c>
      <c r="AK20" s="177" t="s">
        <v>76</v>
      </c>
      <c r="AL20" s="177">
        <v>1045.9336255479</v>
      </c>
    </row>
    <row r="21" spans="2:38">
      <c r="B21" s="177" t="s">
        <v>30</v>
      </c>
      <c r="C21" s="207">
        <v>3871.05203938115</v>
      </c>
      <c r="D21" s="207">
        <v>1707.39556509299</v>
      </c>
      <c r="E21" s="177" t="s">
        <v>30</v>
      </c>
      <c r="F21" s="207">
        <v>6919.36798169557</v>
      </c>
      <c r="G21" s="207">
        <v>2842.78178294574</v>
      </c>
      <c r="I21" s="177" t="s">
        <v>78</v>
      </c>
      <c r="J21" s="207">
        <v>371.619081106423</v>
      </c>
      <c r="K21" s="207">
        <v>275.067954220315</v>
      </c>
      <c r="L21" s="177" t="s">
        <v>173</v>
      </c>
      <c r="M21" s="207">
        <v>388.951676300578</v>
      </c>
      <c r="N21" s="207">
        <v>289.459033989267</v>
      </c>
      <c r="P21" s="177" t="s">
        <v>264</v>
      </c>
      <c r="Q21" s="207">
        <v>546.178596247394</v>
      </c>
      <c r="R21" s="207">
        <v>1106.40391334731</v>
      </c>
      <c r="S21" s="207">
        <v>1780.91352859135</v>
      </c>
      <c r="T21" s="207">
        <v>3006</v>
      </c>
      <c r="U21" s="207">
        <v>8878.14036363636</v>
      </c>
      <c r="V21" s="208"/>
      <c r="W21" s="177" t="s">
        <v>264</v>
      </c>
      <c r="X21" s="207">
        <v>1780.64112573995</v>
      </c>
      <c r="Y21" s="207">
        <v>2818.86842242367</v>
      </c>
      <c r="Z21" s="207">
        <v>3836.06519577052</v>
      </c>
      <c r="AA21" s="207">
        <v>5893.75023126248</v>
      </c>
      <c r="AB21" s="207">
        <v>13326.3308730159</v>
      </c>
      <c r="AE21" s="177" t="s">
        <v>264</v>
      </c>
      <c r="AF21" s="177">
        <v>3014.41319739451</v>
      </c>
      <c r="AG21" s="177">
        <v>5492.43517950324</v>
      </c>
      <c r="AI21" s="177" t="s">
        <v>78</v>
      </c>
      <c r="AJ21" s="177">
        <v>333.392381761541</v>
      </c>
      <c r="AK21" s="177" t="s">
        <v>78</v>
      </c>
      <c r="AL21" s="177">
        <v>354.126136505949</v>
      </c>
    </row>
    <row r="22" spans="2:38">
      <c r="B22" s="177" t="s">
        <v>31</v>
      </c>
      <c r="C22" s="207">
        <v>2767.39522826843</v>
      </c>
      <c r="D22" s="207">
        <v>1311.41141378326</v>
      </c>
      <c r="E22" s="177" t="s">
        <v>31</v>
      </c>
      <c r="F22" s="207">
        <v>4079.21379576108</v>
      </c>
      <c r="G22" s="207">
        <v>1615.01295169946</v>
      </c>
      <c r="I22" s="177" t="s">
        <v>80</v>
      </c>
      <c r="J22" s="207">
        <v>41.2151898734177</v>
      </c>
      <c r="K22" s="207">
        <v>33.7918454935622</v>
      </c>
      <c r="L22" s="177" t="s">
        <v>174</v>
      </c>
      <c r="M22" s="207">
        <v>60.4907514450867</v>
      </c>
      <c r="N22" s="207">
        <v>52.1128443649374</v>
      </c>
      <c r="P22" s="177" t="s">
        <v>265</v>
      </c>
      <c r="Q22" s="207">
        <v>430.441098244722</v>
      </c>
      <c r="R22" s="207">
        <v>907.513117195202</v>
      </c>
      <c r="S22" s="207">
        <v>1388.36682995034</v>
      </c>
      <c r="T22" s="207">
        <v>2095.7700549605</v>
      </c>
      <c r="U22" s="207">
        <v>6301.81114581203</v>
      </c>
      <c r="V22" s="208"/>
      <c r="W22" s="177" t="s">
        <v>265</v>
      </c>
      <c r="X22" s="207">
        <v>932.632945499082</v>
      </c>
      <c r="Y22" s="207">
        <v>1561.30840887777</v>
      </c>
      <c r="Z22" s="207">
        <v>2101.61385050251</v>
      </c>
      <c r="AA22" s="207">
        <v>3013.00066225165</v>
      </c>
      <c r="AB22" s="207">
        <v>8598.02958730158</v>
      </c>
      <c r="AE22" s="177" t="s">
        <v>265</v>
      </c>
      <c r="AF22" s="177">
        <v>2190.93944445358</v>
      </c>
      <c r="AG22" s="177">
        <v>3216.66634940513</v>
      </c>
      <c r="AI22" s="177" t="s">
        <v>80</v>
      </c>
      <c r="AJ22" s="177">
        <v>38.2761257434155</v>
      </c>
      <c r="AK22" s="177" t="s">
        <v>80</v>
      </c>
      <c r="AL22" s="177">
        <v>57.558221665623</v>
      </c>
    </row>
    <row r="23" spans="2:38">
      <c r="I23" s="177" t="s">
        <v>82</v>
      </c>
      <c r="J23" s="207">
        <v>177.496718237225</v>
      </c>
      <c r="K23" s="207">
        <v>138.601931330472</v>
      </c>
      <c r="L23" s="177" t="s">
        <v>175</v>
      </c>
      <c r="M23" s="207">
        <v>334.884238921002</v>
      </c>
      <c r="N23" s="207">
        <v>243.301967799642</v>
      </c>
      <c r="AI23" s="177" t="s">
        <v>82</v>
      </c>
      <c r="AJ23" s="177">
        <v>162.097422826395</v>
      </c>
      <c r="AK23" s="177" t="s">
        <v>82</v>
      </c>
      <c r="AL23" s="177">
        <v>302.827576706324</v>
      </c>
    </row>
    <row r="24" spans="2:38">
      <c r="I24" s="177" t="s">
        <v>84</v>
      </c>
      <c r="J24" s="207">
        <v>73.4402250351617</v>
      </c>
      <c r="K24" s="207">
        <v>38.733547925608</v>
      </c>
      <c r="L24" s="177" t="s">
        <v>176</v>
      </c>
      <c r="M24" s="207">
        <v>53.9206936416185</v>
      </c>
      <c r="N24" s="207">
        <v>18.1581395348837</v>
      </c>
      <c r="AI24" s="177" t="s">
        <v>84</v>
      </c>
      <c r="AJ24" s="177">
        <v>59.6990937411498</v>
      </c>
      <c r="AK24" s="177" t="s">
        <v>84</v>
      </c>
      <c r="AL24" s="177">
        <v>41.402680025047</v>
      </c>
    </row>
    <row r="25" spans="2:38">
      <c r="I25" s="177" t="s">
        <v>86</v>
      </c>
      <c r="J25" s="207">
        <v>75.5904828879512</v>
      </c>
      <c r="K25" s="207">
        <v>39.5629470672389</v>
      </c>
      <c r="L25" s="177" t="s">
        <v>177</v>
      </c>
      <c r="M25" s="207">
        <v>74.4725626204239</v>
      </c>
      <c r="N25" s="207">
        <v>58.0805008944544</v>
      </c>
      <c r="P25" s="206">
        <v>2007</v>
      </c>
      <c r="Q25" s="206" t="s">
        <v>266</v>
      </c>
      <c r="R25" s="206" t="s">
        <v>267</v>
      </c>
      <c r="S25" s="206" t="s">
        <v>268</v>
      </c>
      <c r="T25" s="206" t="s">
        <v>269</v>
      </c>
      <c r="U25" s="206" t="s">
        <v>270</v>
      </c>
      <c r="V25" s="179"/>
      <c r="W25" s="206">
        <v>2014</v>
      </c>
      <c r="X25" s="206" t="s">
        <v>150</v>
      </c>
      <c r="Y25" s="206" t="s">
        <v>151</v>
      </c>
      <c r="Z25" s="206" t="s">
        <v>152</v>
      </c>
      <c r="AA25" s="206" t="s">
        <v>153</v>
      </c>
      <c r="AB25" s="206" t="s">
        <v>154</v>
      </c>
      <c r="AI25" s="177" t="s">
        <v>86</v>
      </c>
      <c r="AJ25" s="177">
        <v>61.3263947890116</v>
      </c>
      <c r="AK25" s="177" t="s">
        <v>86</v>
      </c>
      <c r="AL25" s="177">
        <v>68.734827802129</v>
      </c>
    </row>
    <row r="26" spans="2:38">
      <c r="I26" s="177" t="s">
        <v>88</v>
      </c>
      <c r="J26" s="207">
        <v>129.793014533521</v>
      </c>
      <c r="K26" s="207">
        <v>31.0107296137339</v>
      </c>
      <c r="L26" s="177" t="s">
        <v>178</v>
      </c>
      <c r="M26" s="207">
        <v>153.400077071291</v>
      </c>
      <c r="N26" s="207">
        <v>32.573023255814</v>
      </c>
      <c r="P26" s="177" t="s">
        <v>42</v>
      </c>
      <c r="Q26" s="207">
        <v>2991.07066189624</v>
      </c>
      <c r="R26" s="207">
        <v>3831.83266291231</v>
      </c>
      <c r="S26" s="207">
        <v>4148.5280816922</v>
      </c>
      <c r="T26" s="207">
        <v>4529.4128256513</v>
      </c>
      <c r="U26" s="207">
        <v>4912.26459356247</v>
      </c>
      <c r="W26" s="177" t="s">
        <v>42</v>
      </c>
      <c r="X26" s="207">
        <v>3186.95118644067</v>
      </c>
      <c r="Y26" s="207">
        <v>3961.78831360947</v>
      </c>
      <c r="Z26" s="207">
        <v>4322.80296150049</v>
      </c>
      <c r="AA26" s="207">
        <v>4762.47166283085</v>
      </c>
      <c r="AB26" s="207">
        <v>5262.42864404464</v>
      </c>
      <c r="AI26" s="177" t="s">
        <v>88</v>
      </c>
      <c r="AJ26" s="177">
        <v>90.6829510053809</v>
      </c>
      <c r="AK26" s="177" t="s">
        <v>88</v>
      </c>
      <c r="AL26" s="177">
        <v>111.106825297433</v>
      </c>
    </row>
    <row r="27" spans="2:38">
      <c r="I27" s="177" t="s">
        <v>90</v>
      </c>
      <c r="J27" s="207">
        <v>426.344350679794</v>
      </c>
      <c r="K27" s="207">
        <v>259.927038626609</v>
      </c>
      <c r="L27" s="177" t="s">
        <v>179</v>
      </c>
      <c r="M27" s="207">
        <v>497.717842003853</v>
      </c>
      <c r="N27" s="207">
        <v>327.63542039356</v>
      </c>
      <c r="P27" s="177" t="s">
        <v>44</v>
      </c>
      <c r="Q27" s="207">
        <v>694.078711985689</v>
      </c>
      <c r="R27" s="207">
        <v>1122.41110217216</v>
      </c>
      <c r="S27" s="207">
        <v>1492.38730853392</v>
      </c>
      <c r="T27" s="207">
        <v>1936.36406145625</v>
      </c>
      <c r="U27" s="207">
        <v>3206.96072013093</v>
      </c>
      <c r="W27" s="177" t="s">
        <v>44</v>
      </c>
      <c r="X27" s="207">
        <v>1050.44711864407</v>
      </c>
      <c r="Y27" s="207">
        <v>1637.05250739645</v>
      </c>
      <c r="Z27" s="207">
        <v>2048.30685060875</v>
      </c>
      <c r="AA27" s="207">
        <v>2503.44461680092</v>
      </c>
      <c r="AB27" s="207">
        <v>3610.78034342974</v>
      </c>
      <c r="AI27" s="177" t="s">
        <v>90</v>
      </c>
      <c r="AJ27" s="177">
        <v>360.456103086944</v>
      </c>
      <c r="AK27" s="177" t="s">
        <v>90</v>
      </c>
      <c r="AL27" s="177">
        <v>438.183669380088</v>
      </c>
    </row>
    <row r="28" spans="2:38">
      <c r="I28" s="177" t="s">
        <v>92</v>
      </c>
      <c r="J28" s="207">
        <v>7931.29231129864</v>
      </c>
      <c r="K28" s="207">
        <v>2511.67238912732</v>
      </c>
      <c r="L28" s="177" t="s">
        <v>180</v>
      </c>
      <c r="M28" s="207">
        <v>14042.1309248555</v>
      </c>
      <c r="N28" s="207">
        <v>4974.65370304114</v>
      </c>
      <c r="P28" s="177" t="s">
        <v>46</v>
      </c>
      <c r="Q28" s="207">
        <v>1327.54561717352</v>
      </c>
      <c r="R28" s="207">
        <v>1830.09814963797</v>
      </c>
      <c r="S28" s="207">
        <v>2062.47702407002</v>
      </c>
      <c r="T28" s="207">
        <v>2307.31863727455</v>
      </c>
      <c r="U28" s="207">
        <v>2599.95635570104</v>
      </c>
      <c r="W28" s="177" t="s">
        <v>46</v>
      </c>
      <c r="X28" s="207">
        <v>2175.63898305085</v>
      </c>
      <c r="Y28" s="207">
        <v>2634.30214497041</v>
      </c>
      <c r="Z28" s="207">
        <v>2866.82685093781</v>
      </c>
      <c r="AA28" s="207">
        <v>3128.05566743383</v>
      </c>
      <c r="AB28" s="207">
        <v>3388.97371897062</v>
      </c>
      <c r="AI28" s="177" t="s">
        <v>92</v>
      </c>
      <c r="AJ28" s="177">
        <v>5785.54644576607</v>
      </c>
      <c r="AK28" s="177" t="s">
        <v>92</v>
      </c>
      <c r="AL28" s="177">
        <v>10868.2300062617</v>
      </c>
    </row>
    <row r="29" spans="2:38">
      <c r="I29" s="177" t="s">
        <v>94</v>
      </c>
      <c r="J29" s="207">
        <v>1566.31458040319</v>
      </c>
      <c r="K29" s="207">
        <v>1601.96101573677</v>
      </c>
      <c r="L29" s="177" t="s">
        <v>181</v>
      </c>
      <c r="M29" s="207">
        <v>1705.99653179191</v>
      </c>
      <c r="N29" s="207">
        <v>1643.52987477639</v>
      </c>
      <c r="P29" s="177" t="s">
        <v>48</v>
      </c>
      <c r="Q29" s="207">
        <v>2669.5572450805</v>
      </c>
      <c r="R29" s="207">
        <v>4007.04102976669</v>
      </c>
      <c r="S29" s="207">
        <v>4880.82056892779</v>
      </c>
      <c r="T29" s="207">
        <v>6263.38677354709</v>
      </c>
      <c r="U29" s="207">
        <v>9294.79105291871</v>
      </c>
      <c r="W29" s="177" t="s">
        <v>48</v>
      </c>
      <c r="X29" s="207">
        <v>3824.86940677966</v>
      </c>
      <c r="Y29" s="207">
        <v>5112.71098372781</v>
      </c>
      <c r="Z29" s="207">
        <v>5963.28950312603</v>
      </c>
      <c r="AA29" s="207">
        <v>7053.84004602993</v>
      </c>
      <c r="AB29" s="207">
        <v>9152.86053290823</v>
      </c>
      <c r="AI29" s="177" t="s">
        <v>94</v>
      </c>
      <c r="AJ29" s="177">
        <v>1580.42778249788</v>
      </c>
      <c r="AK29" s="177" t="s">
        <v>94</v>
      </c>
      <c r="AL29" s="177">
        <v>1684.13124608641</v>
      </c>
    </row>
    <row r="30" spans="2:38">
      <c r="I30" s="177" t="s">
        <v>96</v>
      </c>
      <c r="J30" s="207">
        <v>4528.05250820441</v>
      </c>
      <c r="K30" s="207">
        <v>3887.79864091559</v>
      </c>
      <c r="L30" s="177" t="s">
        <v>182</v>
      </c>
      <c r="M30" s="207">
        <v>4867.18063583815</v>
      </c>
      <c r="N30" s="207">
        <v>4547.10259391771</v>
      </c>
      <c r="P30" s="177" t="s">
        <v>50</v>
      </c>
      <c r="Q30" s="207">
        <v>358.88282647585</v>
      </c>
      <c r="R30" s="207">
        <v>492.580048270314</v>
      </c>
      <c r="S30" s="207">
        <v>679.328227571116</v>
      </c>
      <c r="T30" s="207">
        <v>817.731462925852</v>
      </c>
      <c r="U30" s="207">
        <v>1580.85324604474</v>
      </c>
      <c r="W30" s="177" t="s">
        <v>50</v>
      </c>
      <c r="X30" s="207">
        <v>479.103983050847</v>
      </c>
      <c r="Y30" s="207">
        <v>678.196153846154</v>
      </c>
      <c r="Z30" s="207">
        <v>870.502073050346</v>
      </c>
      <c r="AA30" s="207">
        <v>1088.29672036824</v>
      </c>
      <c r="AB30" s="207">
        <v>1892.12261443862</v>
      </c>
      <c r="AI30" s="177" t="s">
        <v>96</v>
      </c>
      <c r="AJ30" s="177">
        <v>4274.56202209006</v>
      </c>
      <c r="AK30" s="177" t="s">
        <v>96</v>
      </c>
      <c r="AL30" s="177">
        <v>4755.14329993738</v>
      </c>
    </row>
    <row r="31" spans="2:38">
      <c r="I31" s="177" t="s">
        <v>98</v>
      </c>
      <c r="J31" s="207">
        <v>0</v>
      </c>
      <c r="K31" s="207">
        <v>0.0128755364806867</v>
      </c>
      <c r="L31" s="177" t="s">
        <v>183</v>
      </c>
      <c r="M31" s="207">
        <v>0.783622350674374</v>
      </c>
      <c r="N31" s="207">
        <v>3.16100178890877</v>
      </c>
      <c r="P31" s="177" t="s">
        <v>52</v>
      </c>
      <c r="Q31" s="207">
        <v>1426.94633273703</v>
      </c>
      <c r="R31" s="207">
        <v>1996.3049074819</v>
      </c>
      <c r="S31" s="207">
        <v>2191.96207148067</v>
      </c>
      <c r="T31" s="207">
        <v>2426.78022712091</v>
      </c>
      <c r="U31" s="207">
        <v>2737.85924713584</v>
      </c>
      <c r="W31" s="177" t="s">
        <v>52</v>
      </c>
      <c r="X31" s="207">
        <v>1723.86492067797</v>
      </c>
      <c r="Y31" s="207">
        <v>2177.71112115385</v>
      </c>
      <c r="Z31" s="207">
        <v>2242.10894965449</v>
      </c>
      <c r="AA31" s="207">
        <v>2385.66552485616</v>
      </c>
      <c r="AB31" s="207">
        <v>2476.47979280346</v>
      </c>
      <c r="AI31" s="177" t="s">
        <v>98</v>
      </c>
      <c r="AJ31" s="177">
        <v>0.00509770603228547</v>
      </c>
      <c r="AK31" s="177" t="s">
        <v>98</v>
      </c>
      <c r="AL31" s="177">
        <v>1.61577958672511</v>
      </c>
    </row>
    <row r="32" spans="2:38">
      <c r="I32" s="177" t="s">
        <v>100</v>
      </c>
      <c r="J32" s="207">
        <v>803.58907641819</v>
      </c>
      <c r="K32" s="207">
        <v>415.151645207439</v>
      </c>
      <c r="L32" s="177" t="s">
        <v>184</v>
      </c>
      <c r="M32" s="207">
        <v>786.01880539499</v>
      </c>
      <c r="N32" s="207">
        <v>452.547066189624</v>
      </c>
      <c r="P32" s="177" t="s">
        <v>54</v>
      </c>
      <c r="Q32" s="207">
        <v>491.742397137746</v>
      </c>
      <c r="R32" s="207">
        <v>753.643604183427</v>
      </c>
      <c r="S32" s="207">
        <v>818.397520058352</v>
      </c>
      <c r="T32" s="207">
        <v>916.412157648631</v>
      </c>
      <c r="U32" s="207">
        <v>1008.89198036007</v>
      </c>
      <c r="W32" s="177" t="s">
        <v>54</v>
      </c>
      <c r="X32" s="207">
        <v>798.775169491525</v>
      </c>
      <c r="Y32" s="207">
        <v>953.093000739645</v>
      </c>
      <c r="Z32" s="207">
        <v>1053.85037841395</v>
      </c>
      <c r="AA32" s="207">
        <v>1158.31483084005</v>
      </c>
      <c r="AB32" s="207">
        <v>1262.45260214074</v>
      </c>
      <c r="AI32" s="177" t="s">
        <v>100</v>
      </c>
      <c r="AJ32" s="177">
        <v>649.798215802889</v>
      </c>
      <c r="AK32" s="177" t="s">
        <v>100</v>
      </c>
      <c r="AL32" s="177">
        <v>669.293256105197</v>
      </c>
    </row>
    <row r="33" spans="9:38">
      <c r="I33" s="177" t="s">
        <v>102</v>
      </c>
      <c r="J33" s="207">
        <v>227.179324894515</v>
      </c>
      <c r="K33" s="207">
        <v>231.201001430615</v>
      </c>
      <c r="L33" s="177" t="s">
        <v>185</v>
      </c>
      <c r="M33" s="207">
        <v>305.734633911368</v>
      </c>
      <c r="N33" s="207">
        <v>292.683470483005</v>
      </c>
      <c r="P33" s="177" t="s">
        <v>56</v>
      </c>
      <c r="Q33" s="207">
        <v>474.11717352415</v>
      </c>
      <c r="R33" s="207">
        <v>882.065164923572</v>
      </c>
      <c r="S33" s="207">
        <v>1136.39606126915</v>
      </c>
      <c r="T33" s="207">
        <v>1609.57247828991</v>
      </c>
      <c r="U33" s="207">
        <v>2627.76868521549</v>
      </c>
      <c r="W33" s="177" t="s">
        <v>56</v>
      </c>
      <c r="X33" s="207">
        <v>817.215</v>
      </c>
      <c r="Y33" s="207">
        <v>1308.5051035503</v>
      </c>
      <c r="Z33" s="207">
        <v>1597.56735768345</v>
      </c>
      <c r="AA33" s="207">
        <v>2200.10632911392</v>
      </c>
      <c r="AB33" s="207">
        <v>3426.41443953541</v>
      </c>
      <c r="AI33" s="177" t="s">
        <v>102</v>
      </c>
      <c r="AJ33" s="177">
        <v>228.771594449165</v>
      </c>
      <c r="AK33" s="177" t="s">
        <v>102</v>
      </c>
      <c r="AL33" s="177">
        <v>301.166318096431</v>
      </c>
    </row>
    <row r="34" spans="9:38">
      <c r="I34" s="177" t="s">
        <v>104</v>
      </c>
      <c r="J34" s="207">
        <v>515.284341303329</v>
      </c>
      <c r="K34" s="207">
        <v>245.689556509299</v>
      </c>
      <c r="L34" s="177" t="s">
        <v>186</v>
      </c>
      <c r="M34" s="207">
        <v>482.412090558767</v>
      </c>
      <c r="N34" s="207">
        <v>281.003023255814</v>
      </c>
      <c r="P34" s="177" t="s">
        <v>58</v>
      </c>
      <c r="Q34" s="207">
        <v>825.808586762075</v>
      </c>
      <c r="R34" s="207">
        <v>947.117457763476</v>
      </c>
      <c r="S34" s="207">
        <v>967.390226112327</v>
      </c>
      <c r="T34" s="207">
        <v>978.61456245825</v>
      </c>
      <c r="U34" s="207">
        <v>1029.49918166939</v>
      </c>
      <c r="W34" s="177" t="s">
        <v>58</v>
      </c>
      <c r="X34" s="207">
        <v>766.373813559322</v>
      </c>
      <c r="Y34" s="207">
        <v>811.089275147929</v>
      </c>
      <c r="Z34" s="207">
        <v>837.56044751563</v>
      </c>
      <c r="AA34" s="207">
        <v>915.160069044879</v>
      </c>
      <c r="AB34" s="207">
        <v>1167.30671828741</v>
      </c>
      <c r="AI34" s="177" t="s">
        <v>104</v>
      </c>
      <c r="AJ34" s="177">
        <v>408.545879354291</v>
      </c>
      <c r="AK34" s="177" t="s">
        <v>104</v>
      </c>
      <c r="AL34" s="177">
        <v>411.912611145899</v>
      </c>
    </row>
    <row r="35" spans="9:38">
      <c r="I35" s="177" t="s">
        <v>106</v>
      </c>
      <c r="J35" s="207">
        <v>34.5269573370839</v>
      </c>
      <c r="K35" s="207">
        <v>28.3129470672389</v>
      </c>
      <c r="L35" s="177" t="s">
        <v>187</v>
      </c>
      <c r="M35" s="207">
        <v>66.936859344894</v>
      </c>
      <c r="N35" s="207">
        <v>99.9932915921288</v>
      </c>
      <c r="P35" s="177" t="s">
        <v>60</v>
      </c>
      <c r="Q35" s="207">
        <v>2.17352415026834</v>
      </c>
      <c r="R35" s="207">
        <v>5.78761061946903</v>
      </c>
      <c r="S35" s="207">
        <v>9.67687819110139</v>
      </c>
      <c r="T35" s="207">
        <v>14.813627254509</v>
      </c>
      <c r="U35" s="207">
        <v>55.4609929078014</v>
      </c>
      <c r="W35" s="177" t="s">
        <v>60</v>
      </c>
      <c r="X35" s="207">
        <v>3.52542372881356</v>
      </c>
      <c r="Y35" s="207">
        <v>11.0961538461538</v>
      </c>
      <c r="Z35" s="207">
        <v>12.6192826587693</v>
      </c>
      <c r="AA35" s="207">
        <v>22.5218612197929</v>
      </c>
      <c r="AB35" s="207">
        <v>50.3888408107493</v>
      </c>
      <c r="AI35" s="177" t="s">
        <v>106</v>
      </c>
      <c r="AJ35" s="177">
        <v>32.0666949872557</v>
      </c>
      <c r="AK35" s="177" t="s">
        <v>106</v>
      </c>
      <c r="AL35" s="177">
        <v>78.5076455854728</v>
      </c>
    </row>
    <row r="36" spans="9:38">
      <c r="I36" s="177" t="s">
        <v>108</v>
      </c>
      <c r="J36" s="207">
        <v>2.21917487107361</v>
      </c>
      <c r="K36" s="207">
        <v>2.689556509299</v>
      </c>
      <c r="L36" s="177" t="s">
        <v>188</v>
      </c>
      <c r="M36" s="207">
        <v>3.20818882466281</v>
      </c>
      <c r="N36" s="207">
        <v>5.75803220035778</v>
      </c>
      <c r="P36" s="177" t="s">
        <v>62</v>
      </c>
      <c r="Q36" s="207">
        <v>630.817531305903</v>
      </c>
      <c r="R36" s="207">
        <v>787.05631536605</v>
      </c>
      <c r="S36" s="207">
        <v>831.113785557987</v>
      </c>
      <c r="T36" s="207">
        <v>933.208416833667</v>
      </c>
      <c r="U36" s="207">
        <v>993.159301691217</v>
      </c>
      <c r="W36" s="177" t="s">
        <v>62</v>
      </c>
      <c r="X36" s="207">
        <v>873.044216949152</v>
      </c>
      <c r="Y36" s="207">
        <v>1030.99010029586</v>
      </c>
      <c r="Z36" s="207">
        <v>1062.51513530767</v>
      </c>
      <c r="AA36" s="207">
        <v>1136.38938434983</v>
      </c>
      <c r="AB36" s="207">
        <v>1242.41942017764</v>
      </c>
      <c r="AI36" s="177" t="s">
        <v>108</v>
      </c>
      <c r="AJ36" s="177">
        <v>2.40540923251204</v>
      </c>
      <c r="AK36" s="177" t="s">
        <v>108</v>
      </c>
      <c r="AL36" s="177">
        <v>4.10071383844709</v>
      </c>
    </row>
    <row r="37" spans="9:38">
      <c r="I37" s="177" t="s">
        <v>110</v>
      </c>
      <c r="J37" s="207">
        <v>731.998827941866</v>
      </c>
      <c r="K37" s="207">
        <v>631.241058655222</v>
      </c>
      <c r="L37" s="177" t="s">
        <v>189</v>
      </c>
      <c r="M37" s="207">
        <v>892.911078998073</v>
      </c>
      <c r="N37" s="207">
        <v>775.754203935599</v>
      </c>
      <c r="P37" s="177" t="s">
        <v>64</v>
      </c>
      <c r="Q37" s="207">
        <v>429.477638640429</v>
      </c>
      <c r="R37" s="207">
        <v>522.163314561545</v>
      </c>
      <c r="S37" s="207">
        <v>572.457330415755</v>
      </c>
      <c r="T37" s="207">
        <v>641.373413493654</v>
      </c>
      <c r="U37" s="207">
        <v>696.879432624114</v>
      </c>
      <c r="W37" s="177" t="s">
        <v>64</v>
      </c>
      <c r="X37" s="207">
        <v>702.890466101695</v>
      </c>
      <c r="Y37" s="207">
        <v>863.940433431953</v>
      </c>
      <c r="Z37" s="207">
        <v>934.088010134913</v>
      </c>
      <c r="AA37" s="207">
        <v>980.445620655928</v>
      </c>
      <c r="AB37" s="207">
        <v>1089.38998506035</v>
      </c>
      <c r="AI37" s="177" t="s">
        <v>110</v>
      </c>
      <c r="AJ37" s="177">
        <v>692.106627017842</v>
      </c>
      <c r="AK37" s="177" t="s">
        <v>110</v>
      </c>
      <c r="AL37" s="177">
        <v>851.902504696305</v>
      </c>
    </row>
    <row r="38" spans="9:38">
      <c r="I38" s="177" t="s">
        <v>112</v>
      </c>
      <c r="J38" s="207">
        <v>2.14955461790905</v>
      </c>
      <c r="K38" s="207">
        <v>0.160944206008584</v>
      </c>
      <c r="L38" s="177" t="s">
        <v>190</v>
      </c>
      <c r="M38" s="207">
        <v>4.79055876685934</v>
      </c>
      <c r="N38" s="207">
        <v>4.01914132379249</v>
      </c>
      <c r="P38" s="177" t="s">
        <v>66</v>
      </c>
      <c r="Q38" s="207">
        <v>23.6404293381038</v>
      </c>
      <c r="R38" s="207">
        <v>56.3563958165728</v>
      </c>
      <c r="S38" s="207">
        <v>84.2990517870168</v>
      </c>
      <c r="T38" s="207">
        <v>149.803607214429</v>
      </c>
      <c r="U38" s="207">
        <v>446.601200218221</v>
      </c>
      <c r="W38" s="177" t="s">
        <v>66</v>
      </c>
      <c r="X38" s="207">
        <v>71.5416949152542</v>
      </c>
      <c r="Y38" s="207">
        <v>99.4009615384616</v>
      </c>
      <c r="Z38" s="207">
        <v>161.159591971043</v>
      </c>
      <c r="AA38" s="207">
        <v>275.097382048331</v>
      </c>
      <c r="AB38" s="207">
        <v>574.500523798679</v>
      </c>
      <c r="AI38" s="177" t="s">
        <v>112</v>
      </c>
      <c r="AJ38" s="177">
        <v>1.36222033418295</v>
      </c>
      <c r="AK38" s="177" t="s">
        <v>112</v>
      </c>
      <c r="AL38" s="177">
        <v>4.5205385097057</v>
      </c>
    </row>
    <row r="39" spans="9:38">
      <c r="I39" s="177" t="s">
        <v>114</v>
      </c>
      <c r="J39" s="207">
        <v>1771.20721987811</v>
      </c>
      <c r="K39" s="207">
        <v>633.640557939914</v>
      </c>
      <c r="L39" s="177" t="s">
        <v>191</v>
      </c>
      <c r="M39" s="207">
        <v>2477.36201926782</v>
      </c>
      <c r="N39" s="207">
        <v>1081.63647584973</v>
      </c>
      <c r="P39" s="177" t="s">
        <v>68</v>
      </c>
      <c r="Q39" s="207">
        <v>0</v>
      </c>
      <c r="R39" s="207">
        <v>0</v>
      </c>
      <c r="S39" s="207">
        <v>0</v>
      </c>
      <c r="T39" s="207">
        <v>0.198396793587174</v>
      </c>
      <c r="U39" s="207">
        <v>11.9454446262957</v>
      </c>
      <c r="W39" s="177" t="s">
        <v>68</v>
      </c>
      <c r="X39" s="207">
        <v>0</v>
      </c>
      <c r="Y39" s="207">
        <v>1.00961538461538</v>
      </c>
      <c r="Z39" s="207">
        <v>4.00394866732478</v>
      </c>
      <c r="AA39" s="207">
        <v>0</v>
      </c>
      <c r="AB39" s="207">
        <v>22.5023457071282</v>
      </c>
      <c r="AI39" s="177" t="s">
        <v>114</v>
      </c>
      <c r="AJ39" s="177">
        <v>1320.81973945058</v>
      </c>
      <c r="AK39" s="177" t="s">
        <v>114</v>
      </c>
      <c r="AL39" s="177">
        <v>1988.81438071384</v>
      </c>
    </row>
    <row r="40" spans="9:38">
      <c r="I40" s="177" t="s">
        <v>116</v>
      </c>
      <c r="J40" s="207">
        <v>3096.27871542429</v>
      </c>
      <c r="K40" s="207">
        <v>1748.84406294707</v>
      </c>
      <c r="L40" s="177" t="s">
        <v>192</v>
      </c>
      <c r="M40" s="207">
        <v>5517.57235067437</v>
      </c>
      <c r="N40" s="207">
        <v>3197.2259391771</v>
      </c>
      <c r="P40" s="177" t="s">
        <v>70</v>
      </c>
      <c r="Q40" s="207">
        <v>348.284436493739</v>
      </c>
      <c r="R40" s="207">
        <v>673.604183427192</v>
      </c>
      <c r="S40" s="207">
        <v>1019.02261123268</v>
      </c>
      <c r="T40" s="207">
        <v>1362.09752839011</v>
      </c>
      <c r="U40" s="207">
        <v>2290.82651391162</v>
      </c>
      <c r="W40" s="177" t="s">
        <v>70</v>
      </c>
      <c r="X40" s="207">
        <v>540.58186440678</v>
      </c>
      <c r="Y40" s="207">
        <v>892.577810650888</v>
      </c>
      <c r="Z40" s="207">
        <v>1321.5488384337</v>
      </c>
      <c r="AA40" s="207">
        <v>1773.82075949367</v>
      </c>
      <c r="AB40" s="207">
        <v>3317.37180596675</v>
      </c>
      <c r="AI40" s="177" t="s">
        <v>116</v>
      </c>
      <c r="AJ40" s="177">
        <v>2562.79991503823</v>
      </c>
      <c r="AK40" s="177" t="s">
        <v>116</v>
      </c>
      <c r="AL40" s="177">
        <v>4705.37845961177</v>
      </c>
    </row>
    <row r="41" spans="9:38">
      <c r="I41" s="177" t="s">
        <v>118</v>
      </c>
      <c r="J41" s="207">
        <v>165.291139240506</v>
      </c>
      <c r="K41" s="207">
        <v>311.508583690987</v>
      </c>
      <c r="L41" s="177" t="s">
        <v>193</v>
      </c>
      <c r="M41" s="207">
        <v>4.37832369942197</v>
      </c>
      <c r="N41" s="207">
        <v>1.99606440071556</v>
      </c>
      <c r="P41" s="177" t="s">
        <v>72</v>
      </c>
      <c r="Q41" s="207">
        <v>67.5858676207513</v>
      </c>
      <c r="R41" s="207">
        <v>116.996781979083</v>
      </c>
      <c r="S41" s="207">
        <v>109.37345003647</v>
      </c>
      <c r="T41" s="207">
        <v>97.8450233800935</v>
      </c>
      <c r="U41" s="207">
        <v>56.4991816693944</v>
      </c>
      <c r="W41" s="177" t="s">
        <v>72</v>
      </c>
      <c r="X41" s="207">
        <v>34.9703389830509</v>
      </c>
      <c r="Y41" s="207">
        <v>51.2043639053255</v>
      </c>
      <c r="Z41" s="207">
        <v>60.6735768344851</v>
      </c>
      <c r="AA41" s="207">
        <v>50.8922899884925</v>
      </c>
      <c r="AB41" s="207">
        <v>42.245046686404</v>
      </c>
      <c r="AI41" s="177" t="s">
        <v>118</v>
      </c>
      <c r="AJ41" s="177">
        <v>223.181818181818</v>
      </c>
      <c r="AK41" s="177" t="s">
        <v>118</v>
      </c>
      <c r="AL41" s="177">
        <v>3.54445835942392</v>
      </c>
    </row>
    <row r="42" spans="9:38">
      <c r="I42" s="177" t="s">
        <v>120</v>
      </c>
      <c r="J42" s="207">
        <v>5071.94866385373</v>
      </c>
      <c r="K42" s="207">
        <v>2133.73640915594</v>
      </c>
      <c r="L42" s="177" t="s">
        <v>194</v>
      </c>
      <c r="M42" s="207">
        <v>4634.12412331407</v>
      </c>
      <c r="N42" s="207">
        <v>2282.10505366726</v>
      </c>
      <c r="P42" s="177" t="s">
        <v>74</v>
      </c>
      <c r="Q42" s="207">
        <v>0.923076923076923</v>
      </c>
      <c r="R42" s="207">
        <v>1.93724859211585</v>
      </c>
      <c r="S42" s="207">
        <v>3.15317286652079</v>
      </c>
      <c r="T42" s="207">
        <v>4.19305277221109</v>
      </c>
      <c r="U42" s="207">
        <v>9.74249863611566</v>
      </c>
      <c r="W42" s="177" t="s">
        <v>74</v>
      </c>
      <c r="X42" s="207">
        <v>0</v>
      </c>
      <c r="Y42" s="207">
        <v>0</v>
      </c>
      <c r="Z42" s="207">
        <v>9.15518262586377</v>
      </c>
      <c r="AA42" s="207">
        <v>22.7848101265823</v>
      </c>
      <c r="AB42" s="207">
        <v>18.4035527214757</v>
      </c>
      <c r="AI42" s="177" t="s">
        <v>120</v>
      </c>
      <c r="AJ42" s="177">
        <v>3908.64627584254</v>
      </c>
      <c r="AK42" s="177" t="s">
        <v>120</v>
      </c>
      <c r="AL42" s="177">
        <v>3810.84381026925</v>
      </c>
    </row>
    <row r="43" spans="9:38">
      <c r="I43" s="177" t="s">
        <v>122</v>
      </c>
      <c r="J43" s="207">
        <v>1121.67955930614</v>
      </c>
      <c r="K43" s="207">
        <v>926.736766809728</v>
      </c>
      <c r="L43" s="177" t="s">
        <v>195</v>
      </c>
      <c r="M43" s="207">
        <v>1427.4470327553</v>
      </c>
      <c r="N43" s="207">
        <v>1302.05760286225</v>
      </c>
      <c r="P43" s="177" t="s">
        <v>76</v>
      </c>
      <c r="Q43" s="207">
        <v>198.53488372093</v>
      </c>
      <c r="R43" s="207">
        <v>362.521319388576</v>
      </c>
      <c r="S43" s="207">
        <v>528.993435448578</v>
      </c>
      <c r="T43" s="207">
        <v>712.919171676687</v>
      </c>
      <c r="U43" s="207">
        <v>1618.76268412439</v>
      </c>
      <c r="W43" s="177" t="s">
        <v>76</v>
      </c>
      <c r="X43" s="207">
        <v>295.187457627119</v>
      </c>
      <c r="Y43" s="207">
        <v>476.877218934911</v>
      </c>
      <c r="Z43" s="207">
        <v>732.918196775255</v>
      </c>
      <c r="AA43" s="207">
        <v>1005.79850402762</v>
      </c>
      <c r="AB43" s="207">
        <v>2048.26864040082</v>
      </c>
      <c r="AI43" s="177" t="s">
        <v>122</v>
      </c>
      <c r="AJ43" s="177">
        <v>1044.49745114698</v>
      </c>
      <c r="AK43" s="177" t="s">
        <v>122</v>
      </c>
      <c r="AL43" s="177">
        <v>1383.55680651221</v>
      </c>
    </row>
    <row r="44" spans="9:38">
      <c r="I44" s="177" t="s">
        <v>124</v>
      </c>
      <c r="J44" s="207">
        <v>2103.10478199719</v>
      </c>
      <c r="K44" s="207">
        <v>827.909513590844</v>
      </c>
      <c r="L44" s="177" t="s">
        <v>196</v>
      </c>
      <c r="M44" s="207">
        <v>2119.38650289017</v>
      </c>
      <c r="N44" s="207">
        <v>834.395241502683</v>
      </c>
      <c r="P44" s="177" t="s">
        <v>78</v>
      </c>
      <c r="Q44" s="207">
        <v>172.828264758497</v>
      </c>
      <c r="R44" s="207">
        <v>272.649235720032</v>
      </c>
      <c r="S44" s="207">
        <v>324.886943836616</v>
      </c>
      <c r="T44" s="207">
        <v>331.337341349365</v>
      </c>
      <c r="U44" s="207">
        <v>480.556464811784</v>
      </c>
      <c r="W44" s="177" t="s">
        <v>78</v>
      </c>
      <c r="X44" s="207">
        <v>230.25186440678</v>
      </c>
      <c r="Y44" s="207">
        <v>323.442603550296</v>
      </c>
      <c r="Z44" s="207">
        <v>349.222507403751</v>
      </c>
      <c r="AA44" s="207">
        <v>376.420598388953</v>
      </c>
      <c r="AB44" s="207">
        <v>425.344112958324</v>
      </c>
      <c r="AI44" s="177" t="s">
        <v>124</v>
      </c>
      <c r="AJ44" s="177">
        <v>1598.22713112433</v>
      </c>
      <c r="AK44" s="177" t="s">
        <v>124</v>
      </c>
      <c r="AL44" s="177">
        <v>1669.59932999374</v>
      </c>
    </row>
    <row r="45" spans="9:38">
      <c r="I45" s="177" t="s">
        <v>126</v>
      </c>
      <c r="J45" s="207">
        <v>396.53164556962</v>
      </c>
      <c r="K45" s="207">
        <v>274.821173104435</v>
      </c>
      <c r="L45" s="177" t="s">
        <v>197</v>
      </c>
      <c r="M45" s="207">
        <v>484.801936416185</v>
      </c>
      <c r="N45" s="207">
        <v>140.304203935599</v>
      </c>
      <c r="P45" s="177" t="s">
        <v>80</v>
      </c>
      <c r="Q45" s="207">
        <v>13.4275491949911</v>
      </c>
      <c r="R45" s="207">
        <v>22.2083668543846</v>
      </c>
      <c r="S45" s="207">
        <v>29.1196207148067</v>
      </c>
      <c r="T45" s="207">
        <v>35.6018704074816</v>
      </c>
      <c r="U45" s="207">
        <v>73.3606110201855</v>
      </c>
      <c r="W45" s="177" t="s">
        <v>80</v>
      </c>
      <c r="X45" s="207">
        <v>22.2805084745763</v>
      </c>
      <c r="Y45" s="207">
        <v>33.4566568047337</v>
      </c>
      <c r="Z45" s="207">
        <v>51.3004277722935</v>
      </c>
      <c r="AA45" s="207">
        <v>58.728998849252</v>
      </c>
      <c r="AB45" s="207">
        <v>94.7647460715099</v>
      </c>
      <c r="AI45" s="177" t="s">
        <v>126</v>
      </c>
      <c r="AJ45" s="177">
        <v>348.343811951289</v>
      </c>
      <c r="AK45" s="177" t="s">
        <v>126</v>
      </c>
      <c r="AL45" s="177">
        <v>364.216944270507</v>
      </c>
    </row>
    <row r="46" spans="9:38">
      <c r="I46" s="177" t="s">
        <v>128</v>
      </c>
      <c r="J46" s="207">
        <v>83.4906235349273</v>
      </c>
      <c r="K46" s="207">
        <v>67.0432761087268</v>
      </c>
      <c r="L46" s="177" t="s">
        <v>198</v>
      </c>
      <c r="M46" s="207">
        <v>81.823429672447</v>
      </c>
      <c r="N46" s="207">
        <v>97.6569051878354</v>
      </c>
      <c r="P46" s="177" t="s">
        <v>82</v>
      </c>
      <c r="Q46" s="207">
        <v>56.8407871198569</v>
      </c>
      <c r="R46" s="207">
        <v>99.4754625905068</v>
      </c>
      <c r="S46" s="207">
        <v>132.07366885485</v>
      </c>
      <c r="T46" s="207">
        <v>178.292585170341</v>
      </c>
      <c r="U46" s="207">
        <v>277.991816693944</v>
      </c>
      <c r="W46" s="177" t="s">
        <v>82</v>
      </c>
      <c r="X46" s="207">
        <v>126.707627118644</v>
      </c>
      <c r="Y46" s="207">
        <v>192.540680473373</v>
      </c>
      <c r="Z46" s="207">
        <v>245.682790391576</v>
      </c>
      <c r="AA46" s="207">
        <v>303.192865362486</v>
      </c>
      <c r="AB46" s="207">
        <v>504.661352767023</v>
      </c>
      <c r="AI46" s="177" t="s">
        <v>128</v>
      </c>
      <c r="AJ46" s="177">
        <v>76.9787595581988</v>
      </c>
      <c r="AK46" s="177" t="s">
        <v>128</v>
      </c>
      <c r="AL46" s="177">
        <v>87.3656418284283</v>
      </c>
    </row>
    <row r="47" spans="9:38">
      <c r="I47" s="177" t="s">
        <v>130</v>
      </c>
      <c r="J47" s="207">
        <v>327.50070323488</v>
      </c>
      <c r="K47" s="207">
        <v>44.2117310443491</v>
      </c>
      <c r="L47" s="177" t="s">
        <v>199</v>
      </c>
      <c r="M47" s="207">
        <v>201.840366088632</v>
      </c>
      <c r="N47" s="207">
        <v>37.1768157423971</v>
      </c>
      <c r="P47" s="177" t="s">
        <v>84</v>
      </c>
      <c r="Q47" s="207">
        <v>14.2298747763864</v>
      </c>
      <c r="R47" s="207">
        <v>27.4971842316975</v>
      </c>
      <c r="S47" s="207">
        <v>34.8409919766594</v>
      </c>
      <c r="T47" s="207">
        <v>44.1676686706747</v>
      </c>
      <c r="U47" s="207">
        <v>140.54609929078</v>
      </c>
      <c r="W47" s="177" t="s">
        <v>84</v>
      </c>
      <c r="X47" s="207">
        <v>8.11347457627119</v>
      </c>
      <c r="Y47" s="207">
        <v>12.505325443787</v>
      </c>
      <c r="Z47" s="207">
        <v>25.1732148733136</v>
      </c>
      <c r="AA47" s="207">
        <v>37.475086306099</v>
      </c>
      <c r="AB47" s="207">
        <v>91.4310635390572</v>
      </c>
      <c r="AI47" s="177" t="s">
        <v>130</v>
      </c>
      <c r="AJ47" s="177">
        <v>215.3404134806</v>
      </c>
      <c r="AK47" s="177" t="s">
        <v>130</v>
      </c>
      <c r="AL47" s="177">
        <v>144.202968065122</v>
      </c>
    </row>
    <row r="48" spans="9:38">
      <c r="I48" s="177" t="s">
        <v>132</v>
      </c>
      <c r="J48" s="207">
        <v>387.093999062353</v>
      </c>
      <c r="K48" s="207">
        <v>133.398426323319</v>
      </c>
      <c r="L48" s="177" t="s">
        <v>200</v>
      </c>
      <c r="M48" s="207">
        <v>1104.60536608863</v>
      </c>
      <c r="N48" s="207">
        <v>325.536493738819</v>
      </c>
      <c r="P48" s="177" t="s">
        <v>86</v>
      </c>
      <c r="Q48" s="207">
        <v>24.0527728085868</v>
      </c>
      <c r="R48" s="207">
        <v>34.4014481094127</v>
      </c>
      <c r="S48" s="207">
        <v>49.3741794310722</v>
      </c>
      <c r="T48" s="207">
        <v>92.6446225784903</v>
      </c>
      <c r="U48" s="207">
        <v>85.6813966175668</v>
      </c>
      <c r="W48" s="177" t="s">
        <v>86</v>
      </c>
      <c r="X48" s="207">
        <v>41.3525423728814</v>
      </c>
      <c r="Y48" s="207">
        <v>56.9600591715976</v>
      </c>
      <c r="Z48" s="207">
        <v>57.1668311944719</v>
      </c>
      <c r="AA48" s="207">
        <v>80.3255466052934</v>
      </c>
      <c r="AB48" s="207">
        <v>89.5335003416078</v>
      </c>
      <c r="AI48" s="177" t="s">
        <v>132</v>
      </c>
      <c r="AJ48" s="177">
        <v>286.650382327952</v>
      </c>
      <c r="AK48" s="177" t="s">
        <v>132</v>
      </c>
      <c r="AL48" s="177">
        <v>831.906869129618</v>
      </c>
    </row>
    <row r="49" spans="9:38">
      <c r="I49" s="177" t="s">
        <v>134</v>
      </c>
      <c r="J49" s="207">
        <v>16.8347398030942</v>
      </c>
      <c r="K49" s="207">
        <v>12.8018597997139</v>
      </c>
      <c r="L49" s="177" t="s">
        <v>201</v>
      </c>
      <c r="M49" s="207">
        <v>3331.19300578035</v>
      </c>
      <c r="N49" s="207">
        <v>887.773106738223</v>
      </c>
      <c r="P49" s="177" t="s">
        <v>88</v>
      </c>
      <c r="Q49" s="207">
        <v>8.88372093023256</v>
      </c>
      <c r="R49" s="207">
        <v>15.0716009654063</v>
      </c>
      <c r="S49" s="207">
        <v>36.6870897155361</v>
      </c>
      <c r="T49" s="207">
        <v>76.436873747495</v>
      </c>
      <c r="U49" s="207">
        <v>243.869612656847</v>
      </c>
      <c r="W49" s="177" t="s">
        <v>88</v>
      </c>
      <c r="X49" s="207">
        <v>9.87627118644068</v>
      </c>
      <c r="Y49" s="207">
        <v>21.3971893491124</v>
      </c>
      <c r="Z49" s="207">
        <v>52.1270154656137</v>
      </c>
      <c r="AA49" s="207">
        <v>90.6626006904488</v>
      </c>
      <c r="AB49" s="207">
        <v>277.761967661125</v>
      </c>
      <c r="AI49" s="177" t="s">
        <v>134</v>
      </c>
      <c r="AJ49" s="177">
        <v>15.2380345511187</v>
      </c>
      <c r="AK49" s="177" t="s">
        <v>134</v>
      </c>
      <c r="AL49" s="177">
        <v>2475.91954080568</v>
      </c>
    </row>
    <row r="50" spans="9:38">
      <c r="I50" s="177" t="s">
        <v>136</v>
      </c>
      <c r="J50" s="207">
        <v>2144.44116268167</v>
      </c>
      <c r="K50" s="207">
        <v>534.007868383405</v>
      </c>
      <c r="L50" s="177" t="s">
        <v>202</v>
      </c>
      <c r="M50" s="207">
        <v>170.817654142582</v>
      </c>
      <c r="N50" s="207">
        <v>22.9999105545617</v>
      </c>
      <c r="P50" s="177" t="s">
        <v>90</v>
      </c>
      <c r="Q50" s="207">
        <v>121.507155635063</v>
      </c>
      <c r="R50" s="207">
        <v>217.738535800483</v>
      </c>
      <c r="S50" s="207">
        <v>298.768052516411</v>
      </c>
      <c r="T50" s="207">
        <v>336.081496325985</v>
      </c>
      <c r="U50" s="207">
        <v>669.024549918167</v>
      </c>
      <c r="W50" s="177" t="s">
        <v>90</v>
      </c>
      <c r="X50" s="207">
        <v>161.848305084746</v>
      </c>
      <c r="Y50" s="207">
        <v>255.981065088757</v>
      </c>
      <c r="Z50" s="207">
        <v>347.848502796973</v>
      </c>
      <c r="AA50" s="207">
        <v>448.536823935558</v>
      </c>
      <c r="AB50" s="207">
        <v>753.229970393988</v>
      </c>
      <c r="AI50" s="177" t="s">
        <v>136</v>
      </c>
      <c r="AJ50" s="177">
        <v>1506.83545737751</v>
      </c>
      <c r="AK50" s="177" t="s">
        <v>136</v>
      </c>
      <c r="AL50" s="177">
        <v>119.076815904822</v>
      </c>
    </row>
    <row r="51" spans="9:38">
      <c r="I51" s="177" t="s">
        <v>137</v>
      </c>
      <c r="J51" s="207">
        <v>94.0724331926864</v>
      </c>
      <c r="K51" s="207">
        <v>47.7768240343348</v>
      </c>
      <c r="L51" s="177" t="s">
        <v>204</v>
      </c>
      <c r="M51" s="207">
        <v>139.3704238921</v>
      </c>
      <c r="N51" s="207">
        <v>4.77728085867621</v>
      </c>
      <c r="P51" s="177" t="s">
        <v>92</v>
      </c>
      <c r="Q51" s="207">
        <v>2330.77459749553</v>
      </c>
      <c r="R51" s="207">
        <v>3377.69106999195</v>
      </c>
      <c r="S51" s="207">
        <v>4478.98395331875</v>
      </c>
      <c r="T51" s="207">
        <v>5376.37541750167</v>
      </c>
      <c r="U51" s="207">
        <v>10836.9514457174</v>
      </c>
      <c r="W51" s="177" t="s">
        <v>92</v>
      </c>
      <c r="X51" s="207">
        <v>4771.74601694915</v>
      </c>
      <c r="Y51" s="207">
        <v>6544.53394970414</v>
      </c>
      <c r="Z51" s="207">
        <v>8364.47864429089</v>
      </c>
      <c r="AA51" s="207">
        <v>10550.6776179517</v>
      </c>
      <c r="AB51" s="207">
        <v>18791.6389888408</v>
      </c>
      <c r="AI51" s="177" t="s">
        <v>137</v>
      </c>
      <c r="AJ51" s="177">
        <v>75.7429906542056</v>
      </c>
      <c r="AK51" s="177" t="s">
        <v>203</v>
      </c>
      <c r="AL51" s="177">
        <v>92.2586098935504</v>
      </c>
    </row>
    <row r="52" spans="9:38">
      <c r="I52" s="177" t="s">
        <v>138</v>
      </c>
      <c r="J52" s="207">
        <v>6.54242850445382</v>
      </c>
      <c r="K52" s="207">
        <v>1.60944206008584</v>
      </c>
      <c r="L52" s="177" t="s">
        <v>205</v>
      </c>
      <c r="M52" s="207">
        <v>109.111705202312</v>
      </c>
      <c r="N52" s="207">
        <v>50.5503577817531</v>
      </c>
      <c r="P52" s="177" t="s">
        <v>94</v>
      </c>
      <c r="Q52" s="207">
        <v>444.008050089445</v>
      </c>
      <c r="R52" s="207">
        <v>788.34835076428</v>
      </c>
      <c r="S52" s="207">
        <v>1014.28738147338</v>
      </c>
      <c r="T52" s="207">
        <v>1645.27588510354</v>
      </c>
      <c r="U52" s="207">
        <v>3181.1767594108</v>
      </c>
      <c r="W52" s="177" t="s">
        <v>94</v>
      </c>
      <c r="X52" s="207">
        <v>319.356779661017</v>
      </c>
      <c r="Y52" s="207">
        <v>702.319526627219</v>
      </c>
      <c r="Z52" s="207">
        <v>1062.87693320171</v>
      </c>
      <c r="AA52" s="207">
        <v>1673.5581127733</v>
      </c>
      <c r="AB52" s="207">
        <v>3460.59007059895</v>
      </c>
      <c r="AI52" s="177" t="s">
        <v>138</v>
      </c>
      <c r="AJ52" s="177">
        <v>4.58935145851034</v>
      </c>
      <c r="AK52" s="177" t="s">
        <v>137</v>
      </c>
      <c r="AL52" s="177">
        <v>88.6134001252348</v>
      </c>
    </row>
    <row r="53" spans="9:38">
      <c r="I53" s="177" t="s">
        <v>139</v>
      </c>
      <c r="J53" s="207">
        <v>22.3321612751993</v>
      </c>
      <c r="K53" s="207">
        <v>7.59978540772532</v>
      </c>
      <c r="L53" s="177" t="s">
        <v>206</v>
      </c>
      <c r="M53" s="207">
        <v>21.6290173410405</v>
      </c>
      <c r="N53" s="207">
        <v>7.35187835420394</v>
      </c>
      <c r="P53" s="177" t="s">
        <v>96</v>
      </c>
      <c r="Q53" s="207">
        <v>3036.97316636852</v>
      </c>
      <c r="R53" s="207">
        <v>3526.01609010459</v>
      </c>
      <c r="S53" s="207">
        <v>4107.88621444201</v>
      </c>
      <c r="T53" s="207">
        <v>4340.77755511022</v>
      </c>
      <c r="U53" s="207">
        <v>5607.5979268958</v>
      </c>
      <c r="W53" s="177" t="s">
        <v>96</v>
      </c>
      <c r="X53" s="207">
        <v>3904.04088983051</v>
      </c>
      <c r="Y53" s="207">
        <v>4334.56656804734</v>
      </c>
      <c r="Z53" s="207">
        <v>4630.38696939783</v>
      </c>
      <c r="AA53" s="207">
        <v>4889.51611047181</v>
      </c>
      <c r="AB53" s="207">
        <v>5451.54406741061</v>
      </c>
      <c r="AI53" s="177" t="s">
        <v>139</v>
      </c>
      <c r="AJ53" s="177">
        <v>16.4992919852733</v>
      </c>
      <c r="AK53" s="177" t="s">
        <v>138</v>
      </c>
      <c r="AL53" s="177">
        <v>16.6315716969317</v>
      </c>
    </row>
    <row r="54" spans="9:38">
      <c r="I54" s="177" t="s">
        <v>140</v>
      </c>
      <c r="J54" s="207">
        <v>6.99695264885138</v>
      </c>
      <c r="K54" s="207">
        <v>7.89592274678112</v>
      </c>
      <c r="L54" s="177" t="s">
        <v>207</v>
      </c>
      <c r="M54" s="207">
        <v>60.2682080924856</v>
      </c>
      <c r="N54" s="207">
        <v>21.6085867620751</v>
      </c>
      <c r="P54" s="177" t="s">
        <v>98</v>
      </c>
      <c r="Q54" s="207">
        <v>0</v>
      </c>
      <c r="R54" s="207">
        <v>0</v>
      </c>
      <c r="S54" s="207">
        <v>0.0262582056892779</v>
      </c>
      <c r="T54" s="207">
        <v>0</v>
      </c>
      <c r="U54" s="207">
        <v>0</v>
      </c>
      <c r="W54" s="177" t="s">
        <v>98</v>
      </c>
      <c r="X54" s="207">
        <v>5.1271186440678</v>
      </c>
      <c r="Y54" s="207">
        <v>2.04955621301775</v>
      </c>
      <c r="Z54" s="207">
        <v>0.0612043435340573</v>
      </c>
      <c r="AA54" s="207">
        <v>0.952243958573073</v>
      </c>
      <c r="AB54" s="207">
        <v>1.06262810293783</v>
      </c>
      <c r="AI54" s="177" t="s">
        <v>140</v>
      </c>
      <c r="AJ54" s="177">
        <v>7.35287453979043</v>
      </c>
      <c r="AK54" s="177" t="s">
        <v>139</v>
      </c>
      <c r="AL54" s="177">
        <v>46.7361302442079</v>
      </c>
    </row>
    <row r="55" spans="9:38">
      <c r="I55" s="177" t="s">
        <v>141</v>
      </c>
      <c r="J55" s="207">
        <v>1153.90107829348</v>
      </c>
      <c r="K55" s="207">
        <v>858.81652360515</v>
      </c>
      <c r="L55" s="177" t="s">
        <v>208</v>
      </c>
      <c r="M55" s="207">
        <v>18.6609826589595</v>
      </c>
      <c r="N55" s="207">
        <v>10.2128801431127</v>
      </c>
      <c r="P55" s="177" t="s">
        <v>100</v>
      </c>
      <c r="Q55" s="207">
        <v>104.21824686941</v>
      </c>
      <c r="R55" s="207">
        <v>230.399839098954</v>
      </c>
      <c r="S55" s="207">
        <v>315.5587162655</v>
      </c>
      <c r="T55" s="207">
        <v>578.965263861055</v>
      </c>
      <c r="U55" s="207">
        <v>1574.81178396072</v>
      </c>
      <c r="W55" s="177" t="s">
        <v>100</v>
      </c>
      <c r="X55" s="207">
        <v>123.319491525424</v>
      </c>
      <c r="Y55" s="207">
        <v>215.635687869823</v>
      </c>
      <c r="Z55" s="207">
        <v>350.284929253044</v>
      </c>
      <c r="AA55" s="207">
        <v>603.539700805524</v>
      </c>
      <c r="AB55" s="207">
        <v>1514.93520838078</v>
      </c>
      <c r="AI55" s="177" t="s">
        <v>141</v>
      </c>
      <c r="AJ55" s="177">
        <v>1037.07065986973</v>
      </c>
      <c r="AK55" s="177" t="s">
        <v>140</v>
      </c>
      <c r="AL55" s="177">
        <v>15.7038822792736</v>
      </c>
    </row>
    <row r="56" spans="9:38">
      <c r="I56" s="177" t="s">
        <v>142</v>
      </c>
      <c r="J56" s="207">
        <v>1.80496952648851</v>
      </c>
      <c r="K56" s="207">
        <v>2.19957081545064</v>
      </c>
      <c r="L56" s="177" t="s">
        <v>209</v>
      </c>
      <c r="M56" s="207">
        <v>1994.96454720617</v>
      </c>
      <c r="N56" s="207">
        <v>1402.40474060823</v>
      </c>
      <c r="P56" s="177" t="s">
        <v>102</v>
      </c>
      <c r="Q56" s="207">
        <v>101.615384615385</v>
      </c>
      <c r="R56" s="207">
        <v>134.921962992759</v>
      </c>
      <c r="S56" s="207">
        <v>193.570386579139</v>
      </c>
      <c r="T56" s="207">
        <v>241</v>
      </c>
      <c r="U56" s="207">
        <v>386.311511183852</v>
      </c>
      <c r="W56" s="177" t="s">
        <v>102</v>
      </c>
      <c r="X56" s="207">
        <v>128.404491525424</v>
      </c>
      <c r="Y56" s="207">
        <v>193.765384615385</v>
      </c>
      <c r="Z56" s="207">
        <v>252.882560052649</v>
      </c>
      <c r="AA56" s="207">
        <v>312.645943613349</v>
      </c>
      <c r="AB56" s="207">
        <v>484.4870189023</v>
      </c>
      <c r="AI56" s="177" t="s">
        <v>142</v>
      </c>
      <c r="AJ56" s="177">
        <v>1.96120079297649</v>
      </c>
      <c r="AK56" s="177" t="s">
        <v>141</v>
      </c>
      <c r="AL56" s="177">
        <v>1787.55006261741</v>
      </c>
    </row>
    <row r="57" spans="9:38">
      <c r="I57" s="177" t="s">
        <v>143</v>
      </c>
      <c r="J57" s="207">
        <v>1418.41233005157</v>
      </c>
      <c r="K57" s="207">
        <v>406.517882689557</v>
      </c>
      <c r="L57" s="177" t="s">
        <v>210</v>
      </c>
      <c r="M57" s="207">
        <v>39.9446050096339</v>
      </c>
      <c r="N57" s="207">
        <v>88.0785330948122</v>
      </c>
      <c r="P57" s="177" t="s">
        <v>104</v>
      </c>
      <c r="Q57" s="207">
        <v>106.698568872987</v>
      </c>
      <c r="R57" s="207">
        <v>170.440868865648</v>
      </c>
      <c r="S57" s="207">
        <v>322.653537563822</v>
      </c>
      <c r="T57" s="207">
        <v>388.480961923848</v>
      </c>
      <c r="U57" s="207">
        <v>834.746317512275</v>
      </c>
      <c r="W57" s="177" t="s">
        <v>104</v>
      </c>
      <c r="X57" s="207">
        <v>150.347881355932</v>
      </c>
      <c r="Y57" s="207">
        <v>249.98298816568</v>
      </c>
      <c r="Z57" s="207">
        <v>294.41707798618</v>
      </c>
      <c r="AA57" s="207">
        <v>390.85080552359</v>
      </c>
      <c r="AB57" s="207">
        <v>750.202345707128</v>
      </c>
      <c r="AI57" s="177" t="s">
        <v>143</v>
      </c>
      <c r="AJ57" s="177">
        <v>1017.78122344945</v>
      </c>
      <c r="AK57" s="177" t="s">
        <v>142</v>
      </c>
      <c r="AL57" s="177">
        <v>56.7929868503444</v>
      </c>
    </row>
    <row r="58" spans="9:38">
      <c r="I58" s="177" t="s">
        <v>144</v>
      </c>
      <c r="J58" s="207">
        <v>10.1990154711674</v>
      </c>
      <c r="K58" s="207">
        <v>1.98712446351931</v>
      </c>
      <c r="L58" s="177" t="s">
        <v>211</v>
      </c>
      <c r="M58" s="207">
        <v>2157.22675337187</v>
      </c>
      <c r="N58" s="207">
        <v>556.848407871199</v>
      </c>
      <c r="P58" s="177" t="s">
        <v>106</v>
      </c>
      <c r="Q58" s="207">
        <v>12.5089445438283</v>
      </c>
      <c r="R58" s="207">
        <v>17.0579243765084</v>
      </c>
      <c r="S58" s="207">
        <v>19.5010940919037</v>
      </c>
      <c r="T58" s="207">
        <v>28.4455577822311</v>
      </c>
      <c r="U58" s="207">
        <v>66.5291871249318</v>
      </c>
      <c r="W58" s="177" t="s">
        <v>106</v>
      </c>
      <c r="X58" s="207">
        <v>69.4327542372881</v>
      </c>
      <c r="Y58" s="207">
        <v>66.9255547337278</v>
      </c>
      <c r="Z58" s="207">
        <v>66.9031260282988</v>
      </c>
      <c r="AA58" s="207">
        <v>63.671001150748</v>
      </c>
      <c r="AB58" s="207">
        <v>110.293805511273</v>
      </c>
      <c r="AI58" s="177" t="s">
        <v>144</v>
      </c>
      <c r="AJ58" s="177">
        <v>6.94774851316907</v>
      </c>
      <c r="AK58" s="177" t="s">
        <v>143</v>
      </c>
      <c r="AL58" s="177">
        <v>1597.04422667502</v>
      </c>
    </row>
    <row r="59" spans="9:38">
      <c r="I59" s="177" t="s">
        <v>145</v>
      </c>
      <c r="J59" s="207">
        <v>1242.22058134083</v>
      </c>
      <c r="K59" s="207">
        <v>1038.51144492132</v>
      </c>
      <c r="L59" s="177" t="s">
        <v>212</v>
      </c>
      <c r="M59" s="207">
        <v>49.4146242774566</v>
      </c>
      <c r="N59" s="207">
        <v>13.9212880143113</v>
      </c>
      <c r="P59" s="177" t="s">
        <v>108</v>
      </c>
      <c r="Q59" s="207">
        <v>0.547406082289803</v>
      </c>
      <c r="R59" s="207">
        <v>1.63555913113435</v>
      </c>
      <c r="S59" s="207">
        <v>1.2290299051787</v>
      </c>
      <c r="T59" s="207">
        <v>1.75818303273213</v>
      </c>
      <c r="U59" s="207">
        <v>5.46917621385706</v>
      </c>
      <c r="W59" s="177" t="s">
        <v>108</v>
      </c>
      <c r="X59" s="207">
        <v>1.41991525423729</v>
      </c>
      <c r="Y59" s="207">
        <v>1.91235207100592</v>
      </c>
      <c r="Z59" s="207">
        <v>2.08358012504113</v>
      </c>
      <c r="AA59" s="207">
        <v>7.03866513233602</v>
      </c>
      <c r="AB59" s="207">
        <v>5.95946253700752</v>
      </c>
      <c r="AI59" s="177" t="s">
        <v>145</v>
      </c>
      <c r="AJ59" s="177">
        <v>1161.56768620787</v>
      </c>
      <c r="AK59" s="177" t="s">
        <v>144</v>
      </c>
      <c r="AL59" s="177">
        <v>36.9908453350031</v>
      </c>
    </row>
    <row r="60" spans="9:38">
      <c r="I60" s="177" t="s">
        <v>146</v>
      </c>
      <c r="J60" s="207">
        <v>560.315518049695</v>
      </c>
      <c r="K60" s="207">
        <v>106.918812589413</v>
      </c>
      <c r="L60" s="177" t="s">
        <v>213</v>
      </c>
      <c r="M60" s="207">
        <v>1106.28793834297</v>
      </c>
      <c r="N60" s="207">
        <v>1047.33023255814</v>
      </c>
      <c r="P60" s="177" t="s">
        <v>110</v>
      </c>
      <c r="Q60" s="207">
        <v>382.698568872987</v>
      </c>
      <c r="R60" s="207">
        <v>523.22445695897</v>
      </c>
      <c r="S60" s="207">
        <v>628.622173595915</v>
      </c>
      <c r="T60" s="207">
        <v>725.942551770207</v>
      </c>
      <c r="U60" s="207">
        <v>1015.19639934534</v>
      </c>
      <c r="W60" s="177" t="s">
        <v>110</v>
      </c>
      <c r="X60" s="207">
        <v>477.405338983051</v>
      </c>
      <c r="Y60" s="207">
        <v>655.921819526627</v>
      </c>
      <c r="Z60" s="207">
        <v>726.01511023363</v>
      </c>
      <c r="AA60" s="207">
        <v>876.039838895282</v>
      </c>
      <c r="AB60" s="207">
        <v>1241.88553860168</v>
      </c>
      <c r="AI60" s="177" t="s">
        <v>146</v>
      </c>
      <c r="AJ60" s="177">
        <v>380.805862361937</v>
      </c>
      <c r="AK60" s="177" t="s">
        <v>145</v>
      </c>
      <c r="AL60" s="177">
        <v>1085.65089542893</v>
      </c>
    </row>
    <row r="61" spans="9:38">
      <c r="I61" s="177" t="s">
        <v>147</v>
      </c>
      <c r="J61" s="207">
        <v>1072.76277543366</v>
      </c>
      <c r="K61" s="207">
        <v>585.452789699571</v>
      </c>
      <c r="L61" s="177" t="s">
        <v>214</v>
      </c>
      <c r="M61" s="207">
        <v>1202.87697495183</v>
      </c>
      <c r="N61" s="207">
        <v>169.632245080501</v>
      </c>
      <c r="P61" s="177" t="s">
        <v>112</v>
      </c>
      <c r="Q61" s="207">
        <v>0.402504472271914</v>
      </c>
      <c r="R61" s="207">
        <v>0</v>
      </c>
      <c r="S61" s="207">
        <v>0</v>
      </c>
      <c r="T61" s="207">
        <v>0</v>
      </c>
      <c r="U61" s="207">
        <v>5.00272776868522</v>
      </c>
      <c r="W61" s="177" t="s">
        <v>112</v>
      </c>
      <c r="X61" s="207">
        <v>0.134745762711864</v>
      </c>
      <c r="Y61" s="207">
        <v>0.445266272189349</v>
      </c>
      <c r="Z61" s="207">
        <v>0.402435011516946</v>
      </c>
      <c r="AA61" s="207">
        <v>1.59062140391254</v>
      </c>
      <c r="AB61" s="207">
        <v>14.5568207697563</v>
      </c>
      <c r="AI61" s="177" t="s">
        <v>147</v>
      </c>
      <c r="AJ61" s="177">
        <v>879.826111583121</v>
      </c>
      <c r="AK61" s="177" t="s">
        <v>146</v>
      </c>
      <c r="AL61" s="177">
        <v>841.208969943644</v>
      </c>
    </row>
    <row r="62" spans="9:38">
      <c r="I62" s="177" t="s">
        <v>148</v>
      </c>
      <c r="J62" s="207">
        <v>160.294186591655</v>
      </c>
      <c r="K62" s="207">
        <v>319.040772532189</v>
      </c>
      <c r="L62" s="177" t="s">
        <v>215</v>
      </c>
      <c r="M62" s="207">
        <v>1666.69441233141</v>
      </c>
      <c r="N62" s="207">
        <v>818.521252236136</v>
      </c>
      <c r="P62" s="177" t="s">
        <v>114</v>
      </c>
      <c r="Q62" s="207">
        <v>518.722719141324</v>
      </c>
      <c r="R62" s="207">
        <v>901.790828640386</v>
      </c>
      <c r="S62" s="207">
        <v>1172.48358862144</v>
      </c>
      <c r="T62" s="207">
        <v>1365.03206412826</v>
      </c>
      <c r="U62" s="207">
        <v>2169.03600654664</v>
      </c>
      <c r="W62" s="177" t="s">
        <v>114</v>
      </c>
      <c r="X62" s="207">
        <v>838.432474576271</v>
      </c>
      <c r="Y62" s="207">
        <v>1343.22650887574</v>
      </c>
      <c r="Z62" s="207">
        <v>1704.55713326752</v>
      </c>
      <c r="AA62" s="207">
        <v>2082.1960552359</v>
      </c>
      <c r="AB62" s="207">
        <v>3127.46935185607</v>
      </c>
      <c r="AI62" s="177" t="s">
        <v>148</v>
      </c>
      <c r="AJ62" s="177">
        <v>223.145426224865</v>
      </c>
      <c r="AK62" s="177" t="s">
        <v>147</v>
      </c>
      <c r="AL62" s="177">
        <v>1369.8072510958</v>
      </c>
    </row>
    <row r="63" spans="9:38">
      <c r="I63" s="177" t="s">
        <v>149</v>
      </c>
      <c r="J63" s="207">
        <v>242.700656352555</v>
      </c>
      <c r="K63" s="207">
        <v>24.3165236051502</v>
      </c>
      <c r="L63" s="177" t="s">
        <v>216</v>
      </c>
      <c r="M63" s="207">
        <v>235.549614643545</v>
      </c>
      <c r="N63" s="207">
        <v>275.888729874776</v>
      </c>
      <c r="P63" s="177" t="s">
        <v>116</v>
      </c>
      <c r="Q63" s="207">
        <v>699.932021466905</v>
      </c>
      <c r="R63" s="207">
        <v>1302.16733708769</v>
      </c>
      <c r="S63" s="207">
        <v>1851.69511305616</v>
      </c>
      <c r="T63" s="207">
        <v>2499.68804275217</v>
      </c>
      <c r="U63" s="207">
        <v>5137.29841789416</v>
      </c>
      <c r="W63" s="177" t="s">
        <v>116</v>
      </c>
      <c r="X63" s="207">
        <v>1385.58305084746</v>
      </c>
      <c r="Y63" s="207">
        <v>2381.40384615385</v>
      </c>
      <c r="Z63" s="207">
        <v>3094.25468904245</v>
      </c>
      <c r="AA63" s="207">
        <v>4471.13434982739</v>
      </c>
      <c r="AB63" s="207">
        <v>9221.24777954908</v>
      </c>
      <c r="AI63" s="177" t="s">
        <v>149</v>
      </c>
      <c r="AJ63" s="177">
        <v>156.237609742283</v>
      </c>
      <c r="AK63" s="177" t="s">
        <v>148</v>
      </c>
      <c r="AL63" s="177">
        <v>249.669567939887</v>
      </c>
    </row>
    <row r="64" spans="9:38">
      <c r="P64" s="177" t="s">
        <v>118</v>
      </c>
      <c r="Q64" s="207">
        <v>105.90518783542</v>
      </c>
      <c r="R64" s="207">
        <v>127.532582461786</v>
      </c>
      <c r="S64" s="207">
        <v>171.189642596645</v>
      </c>
      <c r="T64" s="207">
        <v>253.25918503674</v>
      </c>
      <c r="U64" s="207">
        <v>373.897981451173</v>
      </c>
      <c r="W64" s="177" t="s">
        <v>118</v>
      </c>
      <c r="X64" s="207">
        <v>1.03898305084746</v>
      </c>
      <c r="Y64" s="207">
        <v>1.13572485207101</v>
      </c>
      <c r="Z64" s="207">
        <v>1.3030602171767</v>
      </c>
      <c r="AA64" s="207">
        <v>0.838032220943613</v>
      </c>
      <c r="AB64" s="207">
        <v>10.0680938282851</v>
      </c>
      <c r="AK64" s="177" t="s">
        <v>149</v>
      </c>
      <c r="AL64" s="177">
        <v>178.375391358798</v>
      </c>
    </row>
    <row r="65" spans="16:38">
      <c r="P65" s="177" t="s">
        <v>120</v>
      </c>
      <c r="Q65" s="207">
        <v>257.614490161002</v>
      </c>
      <c r="R65" s="207">
        <v>557.989541432019</v>
      </c>
      <c r="S65" s="207">
        <v>895.593727206419</v>
      </c>
      <c r="T65" s="207">
        <v>2054.23580494322</v>
      </c>
      <c r="U65" s="207">
        <v>12175.7861429351</v>
      </c>
      <c r="W65" s="177" t="s">
        <v>120</v>
      </c>
      <c r="X65" s="207">
        <v>374.989216101695</v>
      </c>
      <c r="Y65" s="207">
        <v>849.205399408284</v>
      </c>
      <c r="Z65" s="207">
        <v>1344.08532411978</v>
      </c>
      <c r="AA65" s="207">
        <v>2372.86544879171</v>
      </c>
      <c r="AB65" s="207">
        <v>10326.8490321111</v>
      </c>
      <c r="AK65" s="177" t="s">
        <v>218</v>
      </c>
      <c r="AL65" s="177">
        <v>1.0738885410144</v>
      </c>
    </row>
    <row r="66" spans="16:38">
      <c r="P66" s="177" t="s">
        <v>122</v>
      </c>
      <c r="Q66" s="207">
        <v>471.273703041145</v>
      </c>
      <c r="R66" s="207">
        <v>686.584875301689</v>
      </c>
      <c r="S66" s="207">
        <v>908.836615609045</v>
      </c>
      <c r="T66" s="207">
        <v>1191.51837007348</v>
      </c>
      <c r="U66" s="207">
        <v>1618.22913256956</v>
      </c>
      <c r="W66" s="177" t="s">
        <v>122</v>
      </c>
      <c r="X66" s="207">
        <v>697.236525423729</v>
      </c>
      <c r="Y66" s="207">
        <v>1078.41397928994</v>
      </c>
      <c r="Z66" s="207">
        <v>1339.35807831524</v>
      </c>
      <c r="AA66" s="207">
        <v>1526.69706559264</v>
      </c>
      <c r="AB66" s="207">
        <v>1857.61430198133</v>
      </c>
    </row>
    <row r="67" spans="16:38">
      <c r="P67" s="177" t="s">
        <v>124</v>
      </c>
      <c r="Q67" s="207">
        <v>347.782647584973</v>
      </c>
      <c r="R67" s="207">
        <v>643.408688656476</v>
      </c>
      <c r="S67" s="207">
        <v>935.231218088986</v>
      </c>
      <c r="T67" s="207">
        <v>1404.45691382766</v>
      </c>
      <c r="U67" s="207">
        <v>3662.53573376978</v>
      </c>
      <c r="W67" s="177" t="s">
        <v>124</v>
      </c>
      <c r="X67" s="207">
        <v>486.013898305085</v>
      </c>
      <c r="Y67" s="207">
        <v>812.843786982248</v>
      </c>
      <c r="Z67" s="207">
        <v>1088.0962816716</v>
      </c>
      <c r="AA67" s="207">
        <v>1573.30175489068</v>
      </c>
      <c r="AB67" s="207">
        <v>3312.01489410157</v>
      </c>
    </row>
    <row r="68" spans="16:38">
      <c r="P68" s="177" t="s">
        <v>126</v>
      </c>
      <c r="Q68" s="207">
        <v>135.571556350626</v>
      </c>
      <c r="R68" s="207">
        <v>215.298471440064</v>
      </c>
      <c r="S68" s="207">
        <v>244.784099197666</v>
      </c>
      <c r="T68" s="207">
        <v>322.241148964596</v>
      </c>
      <c r="U68" s="207">
        <v>667.116748499727</v>
      </c>
      <c r="W68" s="177" t="s">
        <v>126</v>
      </c>
      <c r="X68" s="207">
        <v>67.9031779661017</v>
      </c>
      <c r="Y68" s="207">
        <v>107.99149408284</v>
      </c>
      <c r="Z68" s="207">
        <v>176.66929911155</v>
      </c>
      <c r="AA68" s="207">
        <v>312.2166283084</v>
      </c>
      <c r="AB68" s="207">
        <v>852.225256205876</v>
      </c>
    </row>
    <row r="69" spans="16:38">
      <c r="P69" s="177" t="s">
        <v>128</v>
      </c>
      <c r="Q69" s="207">
        <v>51.7683363148479</v>
      </c>
      <c r="R69" s="207">
        <v>33.5897023330652</v>
      </c>
      <c r="S69" s="207">
        <v>51.6571845368344</v>
      </c>
      <c r="T69" s="207">
        <v>51.2738810955244</v>
      </c>
      <c r="U69" s="207">
        <v>161.710856519367</v>
      </c>
      <c r="W69" s="177" t="s">
        <v>128</v>
      </c>
      <c r="X69" s="207">
        <v>23.4088983050847</v>
      </c>
      <c r="Y69" s="207">
        <v>51.8664940828402</v>
      </c>
      <c r="Z69" s="207">
        <v>60.2749917736097</v>
      </c>
      <c r="AA69" s="207">
        <v>86.9745684695052</v>
      </c>
      <c r="AB69" s="207">
        <v>162.659530858574</v>
      </c>
    </row>
    <row r="70" spans="16:38">
      <c r="P70" s="177" t="s">
        <v>130</v>
      </c>
      <c r="Q70" s="207">
        <v>12.7844364937388</v>
      </c>
      <c r="R70" s="207">
        <v>31.4979887369268</v>
      </c>
      <c r="S70" s="207">
        <v>79.3544857768052</v>
      </c>
      <c r="T70" s="207">
        <v>118.223112892452</v>
      </c>
      <c r="U70" s="207">
        <v>644.57937806874</v>
      </c>
      <c r="W70" s="177" t="s">
        <v>130</v>
      </c>
      <c r="X70" s="207">
        <v>12.1084745762712</v>
      </c>
      <c r="Y70" s="207">
        <v>33.1176035502959</v>
      </c>
      <c r="Z70" s="207">
        <v>58.0623889437315</v>
      </c>
      <c r="AA70" s="207">
        <v>97.3482738780207</v>
      </c>
      <c r="AB70" s="207">
        <v>380.314552493737</v>
      </c>
    </row>
    <row r="71" spans="16:38">
      <c r="P71" s="177" t="s">
        <v>132</v>
      </c>
      <c r="Q71" s="207">
        <v>29.2647584973166</v>
      </c>
      <c r="R71" s="207">
        <v>92.065164923572</v>
      </c>
      <c r="S71" s="207">
        <v>130.17067833698</v>
      </c>
      <c r="T71" s="207">
        <v>179.595190380762</v>
      </c>
      <c r="U71" s="207">
        <v>780.061102018549</v>
      </c>
      <c r="W71" s="177" t="s">
        <v>132</v>
      </c>
      <c r="X71" s="207">
        <v>51.6097457627119</v>
      </c>
      <c r="Y71" s="207">
        <v>143.70525147929</v>
      </c>
      <c r="Z71" s="207">
        <v>228.771240539651</v>
      </c>
      <c r="AA71" s="207">
        <v>458.078538550058</v>
      </c>
      <c r="AB71" s="207">
        <v>2388.44406741061</v>
      </c>
    </row>
    <row r="72" spans="16:38">
      <c r="P72" s="177" t="s">
        <v>134</v>
      </c>
      <c r="Q72" s="207">
        <v>9.47227191413238</v>
      </c>
      <c r="R72" s="207">
        <v>12.5736122284795</v>
      </c>
      <c r="S72" s="207">
        <v>16.1794310722101</v>
      </c>
      <c r="T72" s="207">
        <v>8.08951235804943</v>
      </c>
      <c r="U72" s="207">
        <v>25.6955810147299</v>
      </c>
      <c r="W72" s="177" t="s">
        <v>134</v>
      </c>
      <c r="X72" s="207">
        <v>820.865572033898</v>
      </c>
      <c r="Y72" s="207">
        <v>1083.4826183432</v>
      </c>
      <c r="Z72" s="207">
        <v>1450.67357683449</v>
      </c>
      <c r="AA72" s="207">
        <v>1972.58119485999</v>
      </c>
      <c r="AB72" s="207">
        <v>5330.9419456464</v>
      </c>
    </row>
    <row r="73" spans="16:38">
      <c r="P73" s="177" t="s">
        <v>136</v>
      </c>
      <c r="Q73" s="207">
        <v>527.777280858676</v>
      </c>
      <c r="R73" s="207">
        <v>703.678197908286</v>
      </c>
      <c r="S73" s="207">
        <v>953.043034281546</v>
      </c>
      <c r="T73" s="207">
        <v>1103.29458917836</v>
      </c>
      <c r="U73" s="207">
        <v>3392.41189307147</v>
      </c>
      <c r="W73" s="177" t="s">
        <v>136</v>
      </c>
      <c r="X73" s="207">
        <v>40.0166666666667</v>
      </c>
      <c r="Y73" s="207">
        <v>45.7072855029586</v>
      </c>
      <c r="Z73" s="207">
        <v>66.1351321706702</v>
      </c>
      <c r="AA73" s="207">
        <v>132.685030686613</v>
      </c>
      <c r="AB73" s="207">
        <v>232.618329158126</v>
      </c>
    </row>
    <row r="74" spans="16:38">
      <c r="P74" s="177" t="s">
        <v>137</v>
      </c>
      <c r="Q74" s="207">
        <v>3.74239713774597</v>
      </c>
      <c r="R74" s="207">
        <v>11.9654062751408</v>
      </c>
      <c r="S74" s="207">
        <v>11.2647702407002</v>
      </c>
      <c r="T74" s="207">
        <v>41.2150968603874</v>
      </c>
      <c r="U74" s="207">
        <v>239.332787779596</v>
      </c>
      <c r="W74" s="177" t="s">
        <v>203</v>
      </c>
      <c r="X74" s="207">
        <v>6.25805084745763</v>
      </c>
      <c r="Y74" s="207">
        <v>7.45192307692308</v>
      </c>
      <c r="Z74" s="207">
        <v>21.6485686080948</v>
      </c>
      <c r="AA74" s="207">
        <v>55.7422324510932</v>
      </c>
      <c r="AB74" s="207">
        <v>268.481211569119</v>
      </c>
    </row>
    <row r="75" spans="16:38">
      <c r="P75" s="177" t="s">
        <v>138</v>
      </c>
      <c r="Q75" s="207">
        <v>1.58497316636852</v>
      </c>
      <c r="R75" s="207">
        <v>0.728881737731295</v>
      </c>
      <c r="S75" s="207">
        <v>1.98978847556528</v>
      </c>
      <c r="T75" s="207">
        <v>1.44422177688711</v>
      </c>
      <c r="U75" s="207">
        <v>13.5526459356247</v>
      </c>
      <c r="W75" s="177" t="s">
        <v>137</v>
      </c>
      <c r="X75" s="207">
        <v>2.97309322033898</v>
      </c>
      <c r="Y75" s="207">
        <v>6.47855029585799</v>
      </c>
      <c r="Z75" s="207">
        <v>28.5360315893386</v>
      </c>
      <c r="AA75" s="207">
        <v>57.1349252013809</v>
      </c>
      <c r="AB75" s="207">
        <v>251.71931222956</v>
      </c>
    </row>
    <row r="76" spans="16:38">
      <c r="P76" s="177" t="s">
        <v>139</v>
      </c>
      <c r="Q76" s="207">
        <v>0.319320214669052</v>
      </c>
      <c r="R76" s="207">
        <v>5.72727272727273</v>
      </c>
      <c r="S76" s="207">
        <v>3.80306345733042</v>
      </c>
      <c r="T76" s="207">
        <v>9.7875751503006</v>
      </c>
      <c r="U76" s="207">
        <v>48.6503000545554</v>
      </c>
      <c r="W76" s="177" t="s">
        <v>138</v>
      </c>
      <c r="X76" s="207">
        <v>1.14661016949153</v>
      </c>
      <c r="Y76" s="207">
        <v>10.5081360946746</v>
      </c>
      <c r="Z76" s="207">
        <v>6.7502467917078</v>
      </c>
      <c r="AA76" s="207">
        <v>6.60414269275029</v>
      </c>
      <c r="AB76" s="207">
        <v>43.5017535868823</v>
      </c>
    </row>
    <row r="77" spans="16:38">
      <c r="P77" s="177" t="s">
        <v>140</v>
      </c>
      <c r="Q77" s="207">
        <v>3.41502683363148</v>
      </c>
      <c r="R77" s="207">
        <v>4.43121480289622</v>
      </c>
      <c r="S77" s="207">
        <v>6.59299781181619</v>
      </c>
      <c r="T77" s="207">
        <v>5.69472277889112</v>
      </c>
      <c r="U77" s="207">
        <v>13.658483360611</v>
      </c>
      <c r="W77" s="177" t="s">
        <v>139</v>
      </c>
      <c r="X77" s="207">
        <v>4.3271186440678</v>
      </c>
      <c r="Y77" s="207">
        <v>9.11760355029586</v>
      </c>
      <c r="Z77" s="207">
        <v>23.0148075024679</v>
      </c>
      <c r="AA77" s="207">
        <v>39.3296892980437</v>
      </c>
      <c r="AB77" s="207">
        <v>114.975631974493</v>
      </c>
    </row>
    <row r="78" spans="16:38">
      <c r="P78" s="177" t="s">
        <v>141</v>
      </c>
      <c r="Q78" s="207">
        <v>227.527728085868</v>
      </c>
      <c r="R78" s="207">
        <v>324.176991150442</v>
      </c>
      <c r="S78" s="207">
        <v>488.481400437637</v>
      </c>
      <c r="T78" s="207">
        <v>915.284569138277</v>
      </c>
      <c r="U78" s="207">
        <v>2524.04582651391</v>
      </c>
      <c r="W78" s="177" t="s">
        <v>140</v>
      </c>
      <c r="X78" s="207">
        <v>4.83533898305085</v>
      </c>
      <c r="Y78" s="207">
        <v>7.68417159763314</v>
      </c>
      <c r="Z78" s="207">
        <v>8.7502467917078</v>
      </c>
      <c r="AA78" s="207">
        <v>13.2189873417722</v>
      </c>
      <c r="AB78" s="207">
        <v>33.2635846048736</v>
      </c>
    </row>
    <row r="79" spans="16:38">
      <c r="P79" s="177" t="s">
        <v>142</v>
      </c>
      <c r="Q79" s="207">
        <v>0</v>
      </c>
      <c r="R79" s="207">
        <v>1.56878519710378</v>
      </c>
      <c r="S79" s="207">
        <v>1.85995623632385</v>
      </c>
      <c r="T79" s="207">
        <v>2.30460921843687</v>
      </c>
      <c r="U79" s="207">
        <v>3.21876704855428</v>
      </c>
      <c r="W79" s="177" t="s">
        <v>141</v>
      </c>
      <c r="X79" s="207">
        <v>348.324788135593</v>
      </c>
      <c r="Y79" s="207">
        <v>627.614275147929</v>
      </c>
      <c r="Z79" s="207">
        <v>916.639190523198</v>
      </c>
      <c r="AA79" s="207">
        <v>1479.14859033372</v>
      </c>
      <c r="AB79" s="207">
        <v>4122.26645411068</v>
      </c>
    </row>
    <row r="80" spans="16:38">
      <c r="P80" s="177" t="s">
        <v>143</v>
      </c>
      <c r="Q80" s="207">
        <v>61.6386404293381</v>
      </c>
      <c r="R80" s="207">
        <v>167.306516492357</v>
      </c>
      <c r="S80" s="207">
        <v>362.260393873085</v>
      </c>
      <c r="T80" s="207">
        <v>740.329993319973</v>
      </c>
      <c r="U80" s="207">
        <v>2894.57937806874</v>
      </c>
      <c r="W80" s="177" t="s">
        <v>142</v>
      </c>
      <c r="X80" s="207">
        <v>10.5885593220339</v>
      </c>
      <c r="Y80" s="207">
        <v>19.2603550295858</v>
      </c>
      <c r="Z80" s="207">
        <v>38.4567291872326</v>
      </c>
      <c r="AA80" s="207">
        <v>58.5155350978136</v>
      </c>
      <c r="AB80" s="207">
        <v>116.065816442724</v>
      </c>
    </row>
    <row r="81" spans="16:28">
      <c r="P81" s="177" t="s">
        <v>144</v>
      </c>
      <c r="Q81" s="207">
        <v>0</v>
      </c>
      <c r="R81" s="207">
        <v>0</v>
      </c>
      <c r="S81" s="207">
        <v>2.75711159737418</v>
      </c>
      <c r="T81" s="207">
        <v>2.61723446893788</v>
      </c>
      <c r="U81" s="207">
        <v>22.5679214402619</v>
      </c>
      <c r="W81" s="177" t="s">
        <v>143</v>
      </c>
      <c r="X81" s="207">
        <v>219.130042372881</v>
      </c>
      <c r="Y81" s="207">
        <v>431.994933431953</v>
      </c>
      <c r="Z81" s="207">
        <v>788.854063836788</v>
      </c>
      <c r="AA81" s="207">
        <v>1283.38150172612</v>
      </c>
      <c r="AB81" s="207">
        <v>3862.71316328854</v>
      </c>
    </row>
    <row r="82" spans="16:28">
      <c r="P82" s="177" t="s">
        <v>145</v>
      </c>
      <c r="Q82" s="207">
        <v>639.352415026834</v>
      </c>
      <c r="R82" s="207">
        <v>988.086886564763</v>
      </c>
      <c r="S82" s="207">
        <v>1169.72574762947</v>
      </c>
      <c r="T82" s="207">
        <v>1325.33132932532</v>
      </c>
      <c r="U82" s="207">
        <v>1457.87670485543</v>
      </c>
      <c r="W82" s="177" t="s">
        <v>144</v>
      </c>
      <c r="X82" s="207">
        <v>5.89576271186441</v>
      </c>
      <c r="Y82" s="207">
        <v>8.08801775147929</v>
      </c>
      <c r="Z82" s="207">
        <v>15.9380717341231</v>
      </c>
      <c r="AA82" s="207">
        <v>61.157997698504</v>
      </c>
      <c r="AB82" s="207">
        <v>66.9411979048053</v>
      </c>
    </row>
    <row r="83" spans="16:28">
      <c r="P83" s="177" t="s">
        <v>146</v>
      </c>
      <c r="Q83" s="207">
        <v>36.7182468694097</v>
      </c>
      <c r="R83" s="207">
        <v>79.4062751407884</v>
      </c>
      <c r="S83" s="207">
        <v>128.892778993435</v>
      </c>
      <c r="T83" s="207">
        <v>230.128256513026</v>
      </c>
      <c r="U83" s="207">
        <v>1106.53791598472</v>
      </c>
      <c r="W83" s="177" t="s">
        <v>145</v>
      </c>
      <c r="X83" s="207">
        <v>586.753898305085</v>
      </c>
      <c r="Y83" s="207">
        <v>960.265384615385</v>
      </c>
      <c r="Z83" s="207">
        <v>1212.71905231984</v>
      </c>
      <c r="AA83" s="207">
        <v>1223.0830840046</v>
      </c>
      <c r="AB83" s="207">
        <v>1234.26508767934</v>
      </c>
    </row>
    <row r="84" spans="16:28">
      <c r="P84" s="177" t="s">
        <v>147</v>
      </c>
      <c r="Q84" s="207">
        <v>125.480322003578</v>
      </c>
      <c r="R84" s="207">
        <v>214.514883346742</v>
      </c>
      <c r="S84" s="207">
        <v>364.315827862874</v>
      </c>
      <c r="T84" s="207">
        <v>570.65130260521</v>
      </c>
      <c r="U84" s="207">
        <v>2429.16584833606</v>
      </c>
      <c r="W84" s="177" t="s">
        <v>146</v>
      </c>
      <c r="X84" s="207">
        <v>86.9256355932203</v>
      </c>
      <c r="Y84" s="207">
        <v>183.981323964497</v>
      </c>
      <c r="Z84" s="207">
        <v>311.28134254689</v>
      </c>
      <c r="AA84" s="207">
        <v>659.116225546605</v>
      </c>
      <c r="AB84" s="207">
        <v>2162.24214301981</v>
      </c>
    </row>
    <row r="85" spans="16:28">
      <c r="P85" s="177" t="s">
        <v>148</v>
      </c>
      <c r="Q85" s="207">
        <v>94.8228980322004</v>
      </c>
      <c r="R85" s="207">
        <v>130.737731295253</v>
      </c>
      <c r="S85" s="207">
        <v>156.586433260394</v>
      </c>
      <c r="T85" s="207">
        <v>238.329993319973</v>
      </c>
      <c r="U85" s="207">
        <v>401.458810692853</v>
      </c>
      <c r="W85" s="177" t="s">
        <v>147</v>
      </c>
      <c r="X85" s="207">
        <v>263.713389830508</v>
      </c>
      <c r="Y85" s="207">
        <v>432.709097633136</v>
      </c>
      <c r="Z85" s="207">
        <v>508.49779532741</v>
      </c>
      <c r="AA85" s="207">
        <v>851.839758342923</v>
      </c>
      <c r="AB85" s="207">
        <v>3547.5046686404</v>
      </c>
    </row>
    <row r="86" spans="16:28">
      <c r="P86" s="177" t="s">
        <v>149</v>
      </c>
      <c r="Q86" s="207">
        <v>19.9928443649374</v>
      </c>
      <c r="R86" s="207">
        <v>48.0957361222848</v>
      </c>
      <c r="S86" s="207">
        <v>79.6083150984683</v>
      </c>
      <c r="T86" s="207">
        <v>162.181696726787</v>
      </c>
      <c r="U86" s="207">
        <v>365.131478450627</v>
      </c>
      <c r="W86" s="177" t="s">
        <v>148</v>
      </c>
      <c r="X86" s="207">
        <v>114.11186440678</v>
      </c>
      <c r="Y86" s="207">
        <v>144.931213017751</v>
      </c>
      <c r="Z86" s="207">
        <v>170.682790391576</v>
      </c>
      <c r="AA86" s="207">
        <v>220.61334867664</v>
      </c>
      <c r="AB86" s="207">
        <v>464.693236164883</v>
      </c>
    </row>
    <row r="87" spans="16:28">
      <c r="Q87" s="207"/>
      <c r="R87" s="207"/>
      <c r="S87" s="207"/>
      <c r="T87" s="207"/>
      <c r="U87" s="207"/>
      <c r="W87" s="177" t="s">
        <v>149</v>
      </c>
      <c r="X87" s="207">
        <v>13.9529661016949</v>
      </c>
      <c r="Y87" s="207">
        <v>30.7011834319527</v>
      </c>
      <c r="Z87" s="207">
        <v>61.2369200394867</v>
      </c>
      <c r="AA87" s="207">
        <v>110.467203682394</v>
      </c>
      <c r="AB87" s="207">
        <v>492.51355044409</v>
      </c>
    </row>
    <row r="88" spans="16:28">
      <c r="Q88" s="207"/>
      <c r="R88" s="207"/>
      <c r="S88" s="207"/>
      <c r="T88" s="207"/>
      <c r="U88" s="207"/>
      <c r="W88" s="177" t="s">
        <v>218</v>
      </c>
      <c r="X88" s="207">
        <v>0.211864406779661</v>
      </c>
      <c r="Y88" s="207">
        <v>0</v>
      </c>
      <c r="Z88" s="207">
        <v>0.987166831194472</v>
      </c>
      <c r="AA88" s="207">
        <v>3.73993095512083</v>
      </c>
      <c r="AB88" s="207">
        <v>0.14803006148941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7"/>
  <sheetViews>
    <sheetView workbookViewId="0">
      <selection activeCell="B75" sqref="B75:K97"/>
    </sheetView>
  </sheetViews>
  <sheetFormatPr defaultColWidth="11" defaultRowHeight="14.4"/>
  <cols>
    <col min="1" max="1" width="4.71296296296296" style="96" customWidth="1"/>
    <col min="2" max="2" width="22.287037037037" style="177" customWidth="1"/>
    <col min="3" max="3" width="1.71296296296296" style="96" customWidth="1"/>
    <col min="4" max="4" width="8.57407407407407" style="177" customWidth="1"/>
    <col min="5" max="5" width="5.57407407407407" style="96" customWidth="1"/>
    <col min="6" max="6" width="7" style="177" customWidth="1"/>
    <col min="7" max="7" width="7.57407407407407" style="177" customWidth="1"/>
    <col min="8" max="8" width="1.71296296296296" style="96" customWidth="1"/>
    <col min="9" max="13" width="9.71296296296296" style="177" customWidth="1"/>
    <col min="14" max="14" width="7.57407407407407" style="96" customWidth="1"/>
    <col min="15" max="15" width="17.712962962963" style="177" customWidth="1"/>
    <col min="16" max="16" width="1.71296296296296" style="96" customWidth="1"/>
    <col min="17" max="17" width="8.57407407407407" style="177" customWidth="1"/>
    <col min="18" max="18" width="1.71296296296296" style="96" customWidth="1"/>
    <col min="19" max="19" width="7" style="177" customWidth="1"/>
    <col min="20" max="20" width="6.85185185185185" style="177" customWidth="1"/>
    <col min="21" max="21" width="1.71296296296296" style="96" customWidth="1"/>
    <col min="22" max="26" width="9.71296296296296" style="177" customWidth="1"/>
    <col min="27" max="27" width="4.71296296296296" style="96" customWidth="1"/>
    <col min="28" max="30" width="10.712962962963" style="133" customWidth="1"/>
    <col min="31" max="33" width="10.712962962963" style="177" customWidth="1"/>
    <col min="34" max="34" width="4.71296296296296" style="96" customWidth="1"/>
    <col min="35" max="16384" width="11.4259259259259" style="177"/>
  </cols>
  <sheetData>
    <row r="1" s="96" customFormat="1" ht="9" customHeight="1" spans="1:34">
      <c r="AB1" s="178"/>
      <c r="AC1" s="178"/>
      <c r="AD1" s="178"/>
    </row>
    <row r="2" ht="29.55" spans="1:34">
      <c r="A2" s="179"/>
      <c r="B2" s="139" t="s">
        <v>8</v>
      </c>
      <c r="C2" s="99"/>
      <c r="D2" s="98" t="s">
        <v>271</v>
      </c>
      <c r="E2" s="180"/>
      <c r="F2" s="98" t="s">
        <v>272</v>
      </c>
      <c r="G2" s="98" t="s">
        <v>273</v>
      </c>
      <c r="H2" s="180"/>
      <c r="I2" s="98" t="s">
        <v>274</v>
      </c>
      <c r="J2" s="98" t="s">
        <v>275</v>
      </c>
      <c r="K2" s="98" t="s">
        <v>276</v>
      </c>
      <c r="L2" s="98" t="s">
        <v>277</v>
      </c>
      <c r="M2" s="98" t="s">
        <v>278</v>
      </c>
      <c r="N2" s="101"/>
      <c r="O2" s="139" t="s">
        <v>9</v>
      </c>
      <c r="P2" s="99"/>
      <c r="Q2" s="98" t="s">
        <v>271</v>
      </c>
      <c r="R2" s="180"/>
      <c r="S2" s="98" t="s">
        <v>272</v>
      </c>
      <c r="T2" s="98" t="s">
        <v>273</v>
      </c>
      <c r="U2" s="180"/>
      <c r="V2" s="98" t="s">
        <v>274</v>
      </c>
      <c r="W2" s="98" t="s">
        <v>275</v>
      </c>
      <c r="X2" s="98" t="s">
        <v>276</v>
      </c>
      <c r="Y2" s="98" t="s">
        <v>277</v>
      </c>
      <c r="Z2" s="98" t="s">
        <v>278</v>
      </c>
      <c r="AA2" s="179"/>
      <c r="AB2" s="181" t="s">
        <v>279</v>
      </c>
      <c r="AC2" s="182" t="s">
        <v>280</v>
      </c>
      <c r="AD2" s="183" t="s">
        <v>281</v>
      </c>
      <c r="AE2" s="181" t="s">
        <v>282</v>
      </c>
      <c r="AF2" s="182" t="s">
        <v>283</v>
      </c>
      <c r="AG2" s="183" t="s">
        <v>284</v>
      </c>
      <c r="AH2" s="179"/>
    </row>
    <row r="3" s="96" customFormat="1" ht="9" customHeight="1" spans="1:34">
      <c r="A3" s="17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101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179"/>
      <c r="AB3" s="184"/>
      <c r="AC3" s="185"/>
      <c r="AD3" s="186"/>
      <c r="AE3" s="184"/>
      <c r="AF3" s="185"/>
      <c r="AG3" s="186"/>
      <c r="AH3" s="179"/>
    </row>
    <row r="4" s="176" customFormat="1" ht="17.4" spans="1:34">
      <c r="A4" s="101"/>
      <c r="B4" s="187" t="s">
        <v>12</v>
      </c>
      <c r="C4" s="188"/>
      <c r="D4" s="189">
        <v>0.618265338312376</v>
      </c>
      <c r="E4" s="190"/>
      <c r="F4" s="189">
        <v>0.604695708410038</v>
      </c>
      <c r="G4" s="189">
        <v>0.864850863218035</v>
      </c>
      <c r="H4" s="190"/>
      <c r="I4" s="189">
        <v>1.05948177275013</v>
      </c>
      <c r="J4" s="189">
        <v>1.00430473775396</v>
      </c>
      <c r="K4" s="189">
        <v>0.76665567022553</v>
      </c>
      <c r="L4" s="189">
        <v>0.874441900287917</v>
      </c>
      <c r="M4" s="189">
        <v>0.505131218059668</v>
      </c>
      <c r="N4" s="188"/>
      <c r="O4" s="187" t="s">
        <v>12</v>
      </c>
      <c r="P4" s="188"/>
      <c r="Q4" s="189">
        <v>-0.65922936781599</v>
      </c>
      <c r="R4" s="190"/>
      <c r="S4" s="189">
        <v>-0.637894395670571</v>
      </c>
      <c r="T4" s="189">
        <v>-0.931092977355449</v>
      </c>
      <c r="U4" s="190"/>
      <c r="V4" s="189">
        <v>-1.0635157313244</v>
      </c>
      <c r="W4" s="189">
        <v>-1.02364817607857</v>
      </c>
      <c r="X4" s="189">
        <v>-0.848293273789231</v>
      </c>
      <c r="Y4" s="189">
        <v>-0.929186227264343</v>
      </c>
      <c r="Z4" s="189">
        <v>-0.468002368488974</v>
      </c>
      <c r="AA4" s="101"/>
      <c r="AB4" s="191">
        <f>D4</f>
        <v>0.618265338312376</v>
      </c>
      <c r="AC4" s="192">
        <f>AVERAGE(F4:G4)</f>
        <v>0.734773285814037</v>
      </c>
      <c r="AD4" s="193">
        <f>AVERAGE(I4:M4)</f>
        <v>0.842003059815441</v>
      </c>
      <c r="AE4" s="194">
        <f>Q4</f>
        <v>-0.65922936781599</v>
      </c>
      <c r="AF4" s="195">
        <f>AVERAGE(S4:T4)</f>
        <v>-0.78449368651301</v>
      </c>
      <c r="AG4" s="196">
        <f>AVERAGE(V4:Z4)</f>
        <v>-0.866529155389105</v>
      </c>
      <c r="AH4" s="101"/>
    </row>
    <row r="5" s="176" customFormat="1" ht="17.4" spans="1:34">
      <c r="A5" s="101"/>
      <c r="B5" s="187" t="s">
        <v>13</v>
      </c>
      <c r="C5" s="188"/>
      <c r="D5" s="189">
        <v>0.877965838412718</v>
      </c>
      <c r="E5" s="190"/>
      <c r="F5" s="189">
        <v>0.796724140082713</v>
      </c>
      <c r="G5" s="189">
        <v>0.905881473785776</v>
      </c>
      <c r="H5" s="190"/>
      <c r="I5" s="189">
        <v>1.20822651386976</v>
      </c>
      <c r="J5" s="189">
        <v>0.914544872738923</v>
      </c>
      <c r="K5" s="189">
        <v>1.01656719545427</v>
      </c>
      <c r="L5" s="189">
        <v>0.912567753699157</v>
      </c>
      <c r="M5" s="189">
        <v>0.807144194655531</v>
      </c>
      <c r="N5" s="188"/>
      <c r="O5" s="187" t="s">
        <v>13</v>
      </c>
      <c r="P5" s="188"/>
      <c r="Q5" s="189">
        <v>-0.954766597606162</v>
      </c>
      <c r="R5" s="190"/>
      <c r="S5" s="189">
        <v>-0.806503563393383</v>
      </c>
      <c r="T5" s="189">
        <v>-1.7090431118951</v>
      </c>
      <c r="U5" s="190"/>
      <c r="V5" s="189">
        <v>-1.40688588872377</v>
      </c>
      <c r="W5" s="189">
        <v>-1.197349629159</v>
      </c>
      <c r="X5" s="189">
        <v>-1.69867771146442</v>
      </c>
      <c r="Y5" s="189">
        <v>-1.3728091091464</v>
      </c>
      <c r="Z5" s="189">
        <v>-0.159075448872453</v>
      </c>
      <c r="AA5" s="101"/>
      <c r="AB5" s="191">
        <f t="shared" ref="AB5:AB23" si="0">D5</f>
        <v>0.877965838412718</v>
      </c>
      <c r="AC5" s="192">
        <f t="shared" ref="AC5:AC23" si="1">AVERAGE(F5:G5)</f>
        <v>0.851302806934245</v>
      </c>
      <c r="AD5" s="193">
        <f t="shared" ref="AD5:AD23" si="2">AVERAGE(I5:M5)</f>
        <v>0.971810106083528</v>
      </c>
      <c r="AE5" s="194">
        <f t="shared" ref="AE5:AE23" si="3">Q5</f>
        <v>-0.954766597606162</v>
      </c>
      <c r="AF5" s="195">
        <f t="shared" ref="AF5:AF23" si="4">AVERAGE(S5:T5)</f>
        <v>-1.25777333764424</v>
      </c>
      <c r="AG5" s="196">
        <f t="shared" ref="AG5:AG23" si="5">AVERAGE(V5:Z5)</f>
        <v>-1.16695955747321</v>
      </c>
      <c r="AH5" s="101"/>
    </row>
    <row r="6" s="176" customFormat="1" ht="17.4" spans="1:34">
      <c r="A6" s="101"/>
      <c r="B6" s="187" t="s">
        <v>14</v>
      </c>
      <c r="C6" s="188"/>
      <c r="D6" s="189">
        <v>0.312823985539041</v>
      </c>
      <c r="E6" s="190"/>
      <c r="F6" s="189">
        <v>0.354946907840899</v>
      </c>
      <c r="G6" s="189">
        <v>0.533440619847053</v>
      </c>
      <c r="H6" s="190"/>
      <c r="I6" s="189">
        <v>0.900763112413138</v>
      </c>
      <c r="J6" s="189">
        <v>0.800872896642448</v>
      </c>
      <c r="K6" s="189">
        <v>0.653728045613587</v>
      </c>
      <c r="L6" s="189">
        <v>0.580687324412341</v>
      </c>
      <c r="M6" s="189">
        <v>0.212176236387444</v>
      </c>
      <c r="N6" s="188"/>
      <c r="O6" s="187" t="s">
        <v>14</v>
      </c>
      <c r="P6" s="188"/>
      <c r="Q6" s="189">
        <v>-1.82628677392878</v>
      </c>
      <c r="R6" s="190"/>
      <c r="S6" s="189">
        <v>-0.556866780225896</v>
      </c>
      <c r="T6" s="189">
        <v>-9.24789467746283</v>
      </c>
      <c r="U6" s="190"/>
      <c r="V6" s="189">
        <v>-3.53591337537537</v>
      </c>
      <c r="W6" s="189">
        <v>-4.75440324371239</v>
      </c>
      <c r="X6" s="189">
        <v>-11.3915730728513</v>
      </c>
      <c r="Y6" s="189">
        <v>-9.26501077163491</v>
      </c>
      <c r="Z6" s="189">
        <v>19.1833674810229</v>
      </c>
      <c r="AA6" s="101"/>
      <c r="AB6" s="191">
        <f t="shared" si="0"/>
        <v>0.312823985539041</v>
      </c>
      <c r="AC6" s="192">
        <f t="shared" si="1"/>
        <v>0.444193763843976</v>
      </c>
      <c r="AD6" s="193">
        <f t="shared" si="2"/>
        <v>0.629645523093792</v>
      </c>
      <c r="AE6" s="194">
        <f t="shared" si="3"/>
        <v>-1.82628677392878</v>
      </c>
      <c r="AF6" s="195">
        <f t="shared" si="4"/>
        <v>-4.90238072884436</v>
      </c>
      <c r="AG6" s="196">
        <f t="shared" si="5"/>
        <v>-1.95270659651023</v>
      </c>
      <c r="AH6" s="101"/>
    </row>
    <row r="7" s="176" customFormat="1" ht="17.4" spans="1:34">
      <c r="A7" s="101"/>
      <c r="B7" s="187" t="s">
        <v>15</v>
      </c>
      <c r="C7" s="188"/>
      <c r="D7" s="189">
        <v>0.437568379281185</v>
      </c>
      <c r="E7" s="190"/>
      <c r="F7" s="189">
        <v>0.447341053288337</v>
      </c>
      <c r="G7" s="189">
        <v>0.661421942553687</v>
      </c>
      <c r="H7" s="190"/>
      <c r="I7" s="189">
        <v>0.953103512383691</v>
      </c>
      <c r="J7" s="189">
        <v>0.928611479319078</v>
      </c>
      <c r="K7" s="189">
        <v>0.593940587516405</v>
      </c>
      <c r="L7" s="189">
        <v>0.781015426825763</v>
      </c>
      <c r="M7" s="189">
        <v>0.320797173917246</v>
      </c>
      <c r="N7" s="188"/>
      <c r="O7" s="187" t="s">
        <v>15</v>
      </c>
      <c r="P7" s="188"/>
      <c r="Q7" s="189">
        <v>-0.504718869768233</v>
      </c>
      <c r="R7" s="190"/>
      <c r="S7" s="189">
        <v>-0.503572524957393</v>
      </c>
      <c r="T7" s="189">
        <v>-0.757216819440444</v>
      </c>
      <c r="U7" s="190"/>
      <c r="V7" s="189">
        <v>-0.974173841630177</v>
      </c>
      <c r="W7" s="189">
        <v>-0.959134873708701</v>
      </c>
      <c r="X7" s="189">
        <v>-0.695280369861034</v>
      </c>
      <c r="Y7" s="189">
        <v>-0.848975872591165</v>
      </c>
      <c r="Z7" s="189">
        <v>-0.318615660987057</v>
      </c>
      <c r="AA7" s="101"/>
      <c r="AB7" s="191">
        <f t="shared" si="0"/>
        <v>0.437568379281185</v>
      </c>
      <c r="AC7" s="192">
        <f t="shared" si="1"/>
        <v>0.554381497921012</v>
      </c>
      <c r="AD7" s="193">
        <f t="shared" si="2"/>
        <v>0.715493635992437</v>
      </c>
      <c r="AE7" s="194">
        <f t="shared" si="3"/>
        <v>-0.504718869768233</v>
      </c>
      <c r="AF7" s="195">
        <f t="shared" si="4"/>
        <v>-0.630394672198919</v>
      </c>
      <c r="AG7" s="196">
        <f t="shared" si="5"/>
        <v>-0.759236123755627</v>
      </c>
      <c r="AH7" s="101"/>
    </row>
    <row r="8" s="176" customFormat="1" ht="17.4" spans="1:34">
      <c r="A8" s="101"/>
      <c r="B8" s="187" t="s">
        <v>16</v>
      </c>
      <c r="C8" s="188"/>
      <c r="D8" s="189">
        <v>1.14189039515574</v>
      </c>
      <c r="E8" s="190"/>
      <c r="F8" s="189">
        <v>1.12838712966823</v>
      </c>
      <c r="G8" s="189">
        <v>1.12085918120607</v>
      </c>
      <c r="H8" s="190"/>
      <c r="I8" s="189">
        <v>1.49512453667373</v>
      </c>
      <c r="J8" s="189">
        <v>1.58851872160766</v>
      </c>
      <c r="K8" s="189">
        <v>1.25024216967319</v>
      </c>
      <c r="L8" s="189">
        <v>1.37398457494911</v>
      </c>
      <c r="M8" s="189">
        <v>0.927535089801782</v>
      </c>
      <c r="N8" s="188"/>
      <c r="O8" s="187" t="s">
        <v>16</v>
      </c>
      <c r="P8" s="188"/>
      <c r="Q8" s="189">
        <v>-1.16149362622057</v>
      </c>
      <c r="R8" s="190"/>
      <c r="S8" s="189">
        <v>-1.12524848902713</v>
      </c>
      <c r="T8" s="189">
        <v>-1.34963866958306</v>
      </c>
      <c r="U8" s="190"/>
      <c r="V8" s="189">
        <v>-1.57984058672639</v>
      </c>
      <c r="W8" s="189">
        <v>-1.68421827986754</v>
      </c>
      <c r="X8" s="189">
        <v>-1.51228623796923</v>
      </c>
      <c r="Y8" s="189">
        <v>-1.51410494774529</v>
      </c>
      <c r="Z8" s="189">
        <v>-0.738002205377876</v>
      </c>
      <c r="AA8" s="101"/>
      <c r="AB8" s="191">
        <f t="shared" si="0"/>
        <v>1.14189039515574</v>
      </c>
      <c r="AC8" s="192">
        <f t="shared" si="1"/>
        <v>1.12462315543715</v>
      </c>
      <c r="AD8" s="193">
        <f t="shared" si="2"/>
        <v>1.3270810185411</v>
      </c>
      <c r="AE8" s="194">
        <f t="shared" si="3"/>
        <v>-1.16149362622057</v>
      </c>
      <c r="AF8" s="195">
        <f t="shared" si="4"/>
        <v>-1.23744357930509</v>
      </c>
      <c r="AG8" s="196">
        <f t="shared" si="5"/>
        <v>-1.40569045153726</v>
      </c>
      <c r="AH8" s="101"/>
    </row>
    <row r="9" s="176" customFormat="1" ht="17.4" spans="1:34">
      <c r="A9" s="101"/>
      <c r="B9" s="187" t="s">
        <v>17</v>
      </c>
      <c r="C9" s="188"/>
      <c r="D9" s="189">
        <v>0.685367010416078</v>
      </c>
      <c r="E9" s="190"/>
      <c r="F9" s="189">
        <v>0.626435898717174</v>
      </c>
      <c r="G9" s="189">
        <v>0.874464621055748</v>
      </c>
      <c r="H9" s="190"/>
      <c r="I9" s="189">
        <v>1.15077894988322</v>
      </c>
      <c r="J9" s="189">
        <v>0.808820623834407</v>
      </c>
      <c r="K9" s="189">
        <v>1.13431086732546</v>
      </c>
      <c r="L9" s="189">
        <v>1.0577608021773</v>
      </c>
      <c r="M9" s="189">
        <v>0.512121388844157</v>
      </c>
      <c r="N9" s="188"/>
      <c r="O9" s="187" t="s">
        <v>17</v>
      </c>
      <c r="P9" s="188"/>
      <c r="Q9" s="189">
        <v>-0.719107337379179</v>
      </c>
      <c r="R9" s="190"/>
      <c r="S9" s="189">
        <v>-0.639055148250494</v>
      </c>
      <c r="T9" s="189">
        <v>-1.09922164608875</v>
      </c>
      <c r="U9" s="190"/>
      <c r="V9" s="189">
        <v>-1.20965033907588</v>
      </c>
      <c r="W9" s="189">
        <v>-0.900506966025247</v>
      </c>
      <c r="X9" s="189">
        <v>-1.32990053379881</v>
      </c>
      <c r="Y9" s="189">
        <v>-1.19784164748933</v>
      </c>
      <c r="Z9" s="189">
        <v>-0.292258308703471</v>
      </c>
      <c r="AA9" s="101"/>
      <c r="AB9" s="191">
        <f t="shared" si="0"/>
        <v>0.685367010416078</v>
      </c>
      <c r="AC9" s="192">
        <f t="shared" si="1"/>
        <v>0.750450259886461</v>
      </c>
      <c r="AD9" s="193">
        <f t="shared" si="2"/>
        <v>0.932758526412909</v>
      </c>
      <c r="AE9" s="194">
        <f t="shared" si="3"/>
        <v>-0.719107337379179</v>
      </c>
      <c r="AF9" s="195">
        <f t="shared" si="4"/>
        <v>-0.869138397169621</v>
      </c>
      <c r="AG9" s="196">
        <f t="shared" si="5"/>
        <v>-0.986031559018547</v>
      </c>
      <c r="AH9" s="101"/>
    </row>
    <row r="10" s="176" customFormat="1" ht="17.4" spans="1:34">
      <c r="A10" s="101"/>
      <c r="B10" s="187" t="s">
        <v>18</v>
      </c>
      <c r="C10" s="188"/>
      <c r="D10" s="189">
        <v>2.45139625231847</v>
      </c>
      <c r="E10" s="190"/>
      <c r="F10" s="189">
        <v>2.37576013446674</v>
      </c>
      <c r="G10" s="189">
        <v>2.24445933387293</v>
      </c>
      <c r="H10" s="190"/>
      <c r="I10" s="189">
        <v>1.33734224347324</v>
      </c>
      <c r="J10" s="189">
        <v>1.27004280132967</v>
      </c>
      <c r="K10" s="189">
        <v>1.73164793118082</v>
      </c>
      <c r="L10" s="189">
        <v>1.40804871796054</v>
      </c>
      <c r="M10" s="189">
        <v>2.16039166639925</v>
      </c>
      <c r="N10" s="188"/>
      <c r="O10" s="187" t="s">
        <v>18</v>
      </c>
      <c r="P10" s="188"/>
      <c r="Q10" s="189">
        <v>-2.26953369514929</v>
      </c>
      <c r="R10" s="190"/>
      <c r="S10" s="189">
        <v>-2.17849653890656</v>
      </c>
      <c r="T10" s="189">
        <v>-2.30749855970455</v>
      </c>
      <c r="U10" s="190"/>
      <c r="V10" s="189">
        <v>-1.43778222857783</v>
      </c>
      <c r="W10" s="189">
        <v>-1.40406624476843</v>
      </c>
      <c r="X10" s="189">
        <v>-1.98077978220858</v>
      </c>
      <c r="Y10" s="189">
        <v>-1.5668546388537</v>
      </c>
      <c r="Z10" s="189">
        <v>-1.8623260183087</v>
      </c>
      <c r="AA10" s="101"/>
      <c r="AB10" s="191">
        <f t="shared" si="0"/>
        <v>2.45139625231847</v>
      </c>
      <c r="AC10" s="192">
        <f t="shared" si="1"/>
        <v>2.31010973416984</v>
      </c>
      <c r="AD10" s="193">
        <f t="shared" si="2"/>
        <v>1.58149467206871</v>
      </c>
      <c r="AE10" s="194">
        <f t="shared" si="3"/>
        <v>-2.26953369514929</v>
      </c>
      <c r="AF10" s="195">
        <f t="shared" si="4"/>
        <v>-2.24299754930555</v>
      </c>
      <c r="AG10" s="196">
        <f t="shared" si="5"/>
        <v>-1.65036178254345</v>
      </c>
      <c r="AH10" s="101"/>
    </row>
    <row r="11" s="176" customFormat="1" ht="17.4" spans="1:34">
      <c r="A11" s="101"/>
      <c r="B11" s="187" t="s">
        <v>19</v>
      </c>
      <c r="C11" s="188"/>
      <c r="D11" s="189">
        <v>1.53535249642766</v>
      </c>
      <c r="E11" s="190"/>
      <c r="F11" s="189">
        <v>1.52659957442401</v>
      </c>
      <c r="G11" s="189">
        <v>1.4186744436791</v>
      </c>
      <c r="H11" s="190"/>
      <c r="I11" s="189">
        <v>1.35558446910889</v>
      </c>
      <c r="J11" s="189">
        <v>1.5692897796622</v>
      </c>
      <c r="K11" s="189">
        <v>1.53403993359329</v>
      </c>
      <c r="L11" s="189">
        <v>1.608594310817</v>
      </c>
      <c r="M11" s="189">
        <v>1.17015744887274</v>
      </c>
      <c r="N11" s="188"/>
      <c r="O11" s="187" t="s">
        <v>19</v>
      </c>
      <c r="P11" s="188"/>
      <c r="Q11" s="189">
        <v>-1.61490735904144</v>
      </c>
      <c r="R11" s="190"/>
      <c r="S11" s="189">
        <v>-1.52584993783257</v>
      </c>
      <c r="T11" s="189">
        <v>-2.24798861776157</v>
      </c>
      <c r="U11" s="190"/>
      <c r="V11" s="189">
        <v>-1.80101858050052</v>
      </c>
      <c r="W11" s="189">
        <v>-2.11312707508224</v>
      </c>
      <c r="X11" s="189">
        <v>-2.69597486608664</v>
      </c>
      <c r="Y11" s="189">
        <v>-2.28546634509929</v>
      </c>
      <c r="Z11" s="189">
        <v>-0.610847692353174</v>
      </c>
      <c r="AA11" s="101"/>
      <c r="AB11" s="191">
        <f t="shared" si="0"/>
        <v>1.53535249642766</v>
      </c>
      <c r="AC11" s="192">
        <f t="shared" si="1"/>
        <v>1.47263700905155</v>
      </c>
      <c r="AD11" s="193">
        <f t="shared" si="2"/>
        <v>1.44753318841082</v>
      </c>
      <c r="AE11" s="194">
        <f t="shared" si="3"/>
        <v>-1.61490735904144</v>
      </c>
      <c r="AF11" s="195">
        <f t="shared" si="4"/>
        <v>-1.88691927779707</v>
      </c>
      <c r="AG11" s="196">
        <f t="shared" si="5"/>
        <v>-1.90128691182437</v>
      </c>
      <c r="AH11" s="101"/>
    </row>
    <row r="12" s="176" customFormat="1" ht="17.4" spans="1:34">
      <c r="A12" s="101"/>
      <c r="B12" s="187" t="s">
        <v>20</v>
      </c>
      <c r="C12" s="188"/>
      <c r="D12" s="189">
        <v>1.69451565104643</v>
      </c>
      <c r="E12" s="190"/>
      <c r="F12" s="189">
        <v>1.77020430489713</v>
      </c>
      <c r="G12" s="189">
        <v>1.37337009716524</v>
      </c>
      <c r="H12" s="190"/>
      <c r="I12" s="189">
        <v>0.748369596311687</v>
      </c>
      <c r="J12" s="189">
        <v>0.750279711776798</v>
      </c>
      <c r="K12" s="189">
        <v>0.621011135829252</v>
      </c>
      <c r="L12" s="189">
        <v>0.890229983981797</v>
      </c>
      <c r="M12" s="189">
        <v>1.90052096510213</v>
      </c>
      <c r="N12" s="188"/>
      <c r="O12" s="187" t="s">
        <v>20</v>
      </c>
      <c r="P12" s="188"/>
      <c r="Q12" s="189">
        <v>-1.65442047089264</v>
      </c>
      <c r="R12" s="190"/>
      <c r="S12" s="189">
        <v>-1.70308539144177</v>
      </c>
      <c r="T12" s="189">
        <v>-1.51735387505553</v>
      </c>
      <c r="U12" s="190"/>
      <c r="V12" s="189">
        <v>-0.81134677435527</v>
      </c>
      <c r="W12" s="189">
        <v>-0.844602941627483</v>
      </c>
      <c r="X12" s="189">
        <v>-0.859401228895835</v>
      </c>
      <c r="Y12" s="189">
        <v>-1.06165079435908</v>
      </c>
      <c r="Z12" s="189">
        <v>-1.66585226967778</v>
      </c>
      <c r="AA12" s="101"/>
      <c r="AB12" s="191">
        <f t="shared" si="0"/>
        <v>1.69451565104643</v>
      </c>
      <c r="AC12" s="192">
        <f t="shared" si="1"/>
        <v>1.57178720103118</v>
      </c>
      <c r="AD12" s="193">
        <f t="shared" si="2"/>
        <v>0.982082278600332</v>
      </c>
      <c r="AE12" s="194">
        <f t="shared" si="3"/>
        <v>-1.65442047089264</v>
      </c>
      <c r="AF12" s="195">
        <f t="shared" si="4"/>
        <v>-1.61021963324865</v>
      </c>
      <c r="AG12" s="196">
        <f t="shared" si="5"/>
        <v>-1.04857080178309</v>
      </c>
      <c r="AH12" s="101"/>
    </row>
    <row r="13" s="176" customFormat="1" ht="17.4" spans="1:34">
      <c r="A13" s="101"/>
      <c r="B13" s="187" t="s">
        <v>21</v>
      </c>
      <c r="C13" s="188"/>
      <c r="D13" s="189">
        <v>0.387932614044005</v>
      </c>
      <c r="E13" s="190"/>
      <c r="F13" s="189">
        <v>0.385719311450105</v>
      </c>
      <c r="G13" s="189">
        <v>0.510672500738804</v>
      </c>
      <c r="H13" s="190"/>
      <c r="I13" s="189">
        <v>0.707831702388216</v>
      </c>
      <c r="J13" s="189">
        <v>0.643414704418264</v>
      </c>
      <c r="K13" s="189">
        <v>0.487706994671802</v>
      </c>
      <c r="L13" s="189">
        <v>0.61225275832281</v>
      </c>
      <c r="M13" s="189">
        <v>0.380286382678758</v>
      </c>
      <c r="N13" s="188"/>
      <c r="O13" s="187" t="s">
        <v>21</v>
      </c>
      <c r="P13" s="188"/>
      <c r="Q13" s="189">
        <v>-0.425627870947727</v>
      </c>
      <c r="R13" s="190"/>
      <c r="S13" s="189">
        <v>-0.396948328816857</v>
      </c>
      <c r="T13" s="189">
        <v>-0.728706219261416</v>
      </c>
      <c r="U13" s="190"/>
      <c r="V13" s="189">
        <v>-0.76542552629583</v>
      </c>
      <c r="W13" s="189">
        <v>-0.730490584407015</v>
      </c>
      <c r="X13" s="189">
        <v>-0.715423391934076</v>
      </c>
      <c r="Y13" s="189">
        <v>-0.796715553003852</v>
      </c>
      <c r="Z13" s="189">
        <v>-0.0312629160241786</v>
      </c>
      <c r="AA13" s="101"/>
      <c r="AB13" s="191">
        <f t="shared" si="0"/>
        <v>0.387932614044005</v>
      </c>
      <c r="AC13" s="192">
        <f t="shared" si="1"/>
        <v>0.448195906094454</v>
      </c>
      <c r="AD13" s="193">
        <f t="shared" si="2"/>
        <v>0.56629850849597</v>
      </c>
      <c r="AE13" s="194">
        <f t="shared" si="3"/>
        <v>-0.425627870947727</v>
      </c>
      <c r="AF13" s="195">
        <f t="shared" si="4"/>
        <v>-0.562827274039136</v>
      </c>
      <c r="AG13" s="196">
        <f t="shared" si="5"/>
        <v>-0.60786359433299</v>
      </c>
      <c r="AH13" s="101"/>
    </row>
    <row r="14" s="176" customFormat="1" ht="17.4" spans="1:34">
      <c r="A14" s="101"/>
      <c r="B14" s="187" t="s">
        <v>22</v>
      </c>
      <c r="C14" s="188"/>
      <c r="D14" s="189">
        <v>1.18681539587733</v>
      </c>
      <c r="E14" s="190"/>
      <c r="F14" s="189">
        <v>1.31125577622658</v>
      </c>
      <c r="G14" s="189">
        <v>1.47656617705745</v>
      </c>
      <c r="H14" s="190"/>
      <c r="I14" s="189">
        <v>1.67115367627581</v>
      </c>
      <c r="J14" s="189">
        <v>2.23005309786126</v>
      </c>
      <c r="K14" s="189">
        <v>1.26230074101326</v>
      </c>
      <c r="L14" s="189">
        <v>0.671526462977224</v>
      </c>
      <c r="M14" s="189">
        <v>0.871650618065884</v>
      </c>
      <c r="N14" s="188"/>
      <c r="O14" s="187" t="s">
        <v>22</v>
      </c>
      <c r="P14" s="188"/>
      <c r="Q14" s="189">
        <v>-1.217860770249</v>
      </c>
      <c r="R14" s="190"/>
      <c r="S14" s="189">
        <v>-1.30608856893576</v>
      </c>
      <c r="T14" s="189">
        <v>-1.68519560236299</v>
      </c>
      <c r="U14" s="190"/>
      <c r="V14" s="189">
        <v>-1.79947238572975</v>
      </c>
      <c r="W14" s="189">
        <v>-2.35746635634243</v>
      </c>
      <c r="X14" s="189">
        <v>-1.6750632631989</v>
      </c>
      <c r="Y14" s="189">
        <v>-0.936008804717344</v>
      </c>
      <c r="Z14" s="189">
        <v>-0.615478776687426</v>
      </c>
      <c r="AA14" s="101"/>
      <c r="AB14" s="191">
        <f t="shared" si="0"/>
        <v>1.18681539587733</v>
      </c>
      <c r="AC14" s="192">
        <f t="shared" si="1"/>
        <v>1.39391097664201</v>
      </c>
      <c r="AD14" s="193">
        <f t="shared" si="2"/>
        <v>1.34133691923869</v>
      </c>
      <c r="AE14" s="194">
        <f t="shared" si="3"/>
        <v>-1.217860770249</v>
      </c>
      <c r="AF14" s="195">
        <f t="shared" si="4"/>
        <v>-1.49564208564937</v>
      </c>
      <c r="AG14" s="196">
        <f t="shared" si="5"/>
        <v>-1.47669791733517</v>
      </c>
      <c r="AH14" s="101"/>
    </row>
    <row r="15" s="176" customFormat="1" ht="17.4" spans="1:34">
      <c r="A15" s="101"/>
      <c r="B15" s="187" t="s">
        <v>23</v>
      </c>
      <c r="C15" s="188"/>
      <c r="D15" s="189">
        <v>3.26096594428639</v>
      </c>
      <c r="E15" s="190"/>
      <c r="F15" s="189">
        <v>3.13455578325534</v>
      </c>
      <c r="G15" s="189">
        <v>3.03767400712058</v>
      </c>
      <c r="H15" s="190"/>
      <c r="I15" s="189">
        <v>1.5272769137773</v>
      </c>
      <c r="J15" s="189">
        <v>2.05644928805845</v>
      </c>
      <c r="K15" s="189">
        <v>1.20225766889895</v>
      </c>
      <c r="L15" s="189">
        <v>1.84331855319738</v>
      </c>
      <c r="M15" s="189">
        <v>2.56993607362524</v>
      </c>
      <c r="N15" s="188"/>
      <c r="O15" s="187" t="s">
        <v>23</v>
      </c>
      <c r="P15" s="188"/>
      <c r="Q15" s="189">
        <v>-3.27339470086574</v>
      </c>
      <c r="R15" s="190"/>
      <c r="S15" s="189">
        <v>-3.06158798978766</v>
      </c>
      <c r="T15" s="189">
        <v>-4.07034335498018</v>
      </c>
      <c r="U15" s="190"/>
      <c r="V15" s="189">
        <v>-3.03595678763277</v>
      </c>
      <c r="W15" s="189">
        <v>-3.64546869307611</v>
      </c>
      <c r="X15" s="189">
        <v>-3.76375026680408</v>
      </c>
      <c r="Y15" s="189">
        <v>-3.15317668473394</v>
      </c>
      <c r="Z15" s="189">
        <v>-2.0594184122564</v>
      </c>
      <c r="AA15" s="101"/>
      <c r="AB15" s="191">
        <f t="shared" si="0"/>
        <v>3.26096594428639</v>
      </c>
      <c r="AC15" s="192">
        <f t="shared" si="1"/>
        <v>3.08611489518796</v>
      </c>
      <c r="AD15" s="193">
        <f t="shared" si="2"/>
        <v>1.83984769951146</v>
      </c>
      <c r="AE15" s="194">
        <f t="shared" si="3"/>
        <v>-3.27339470086574</v>
      </c>
      <c r="AF15" s="195">
        <f t="shared" si="4"/>
        <v>-3.56596567238392</v>
      </c>
      <c r="AG15" s="196">
        <f t="shared" si="5"/>
        <v>-3.13155416890066</v>
      </c>
      <c r="AH15" s="101"/>
    </row>
    <row r="16" s="176" customFormat="1" ht="17.4" spans="1:34">
      <c r="A16" s="101"/>
      <c r="B16" s="187" t="s">
        <v>24</v>
      </c>
      <c r="C16" s="188"/>
      <c r="D16" s="189">
        <v>1.37690942754018</v>
      </c>
      <c r="E16" s="190"/>
      <c r="F16" s="189">
        <v>1.35634853864284</v>
      </c>
      <c r="G16" s="189">
        <v>1.53796248480476</v>
      </c>
      <c r="H16" s="190"/>
      <c r="I16" s="189">
        <v>0.75365890190486</v>
      </c>
      <c r="J16" s="189">
        <v>1.25310607344076</v>
      </c>
      <c r="K16" s="189">
        <v>1.77850346866293</v>
      </c>
      <c r="L16" s="189">
        <v>1.43670015481355</v>
      </c>
      <c r="M16" s="189">
        <v>1.12234793556936</v>
      </c>
      <c r="N16" s="188"/>
      <c r="O16" s="187" t="s">
        <v>24</v>
      </c>
      <c r="P16" s="188"/>
      <c r="Q16" s="189">
        <v>-1.38291015203511</v>
      </c>
      <c r="R16" s="190"/>
      <c r="S16" s="189">
        <v>-1.34012750630289</v>
      </c>
      <c r="T16" s="189">
        <v>-1.73438311342314</v>
      </c>
      <c r="U16" s="190"/>
      <c r="V16" s="189">
        <v>-0.86876870651379</v>
      </c>
      <c r="W16" s="189">
        <v>-1.40104842840922</v>
      </c>
      <c r="X16" s="189">
        <v>-2.04450334310633</v>
      </c>
      <c r="Y16" s="189">
        <v>-1.59040203861404</v>
      </c>
      <c r="Z16" s="189">
        <v>-0.939505568497596</v>
      </c>
      <c r="AA16" s="101"/>
      <c r="AB16" s="191">
        <f t="shared" si="0"/>
        <v>1.37690942754018</v>
      </c>
      <c r="AC16" s="192">
        <f t="shared" si="1"/>
        <v>1.4471555117238</v>
      </c>
      <c r="AD16" s="193">
        <f t="shared" si="2"/>
        <v>1.26886330687829</v>
      </c>
      <c r="AE16" s="194">
        <f t="shared" si="3"/>
        <v>-1.38291015203511</v>
      </c>
      <c r="AF16" s="195">
        <f t="shared" si="4"/>
        <v>-1.53725530986301</v>
      </c>
      <c r="AG16" s="196">
        <f t="shared" si="5"/>
        <v>-1.3688456170282</v>
      </c>
      <c r="AH16" s="101"/>
    </row>
    <row r="17" s="176" customFormat="1" ht="17.4" spans="1:34">
      <c r="A17" s="101"/>
      <c r="B17" s="187" t="s">
        <v>25</v>
      </c>
      <c r="C17" s="188"/>
      <c r="D17" s="189">
        <v>0.700442207000552</v>
      </c>
      <c r="E17" s="190"/>
      <c r="F17" s="189">
        <v>0.702884005270112</v>
      </c>
      <c r="G17" s="189">
        <v>0.777000041341209</v>
      </c>
      <c r="H17" s="190"/>
      <c r="I17" s="189">
        <v>1.39751740567965</v>
      </c>
      <c r="J17" s="189">
        <v>1.27420341327499</v>
      </c>
      <c r="K17" s="189">
        <v>1.24261199718145</v>
      </c>
      <c r="L17" s="189">
        <v>1.16393086660876</v>
      </c>
      <c r="M17" s="189">
        <v>0.457833863452295</v>
      </c>
      <c r="N17" s="188"/>
      <c r="O17" s="187" t="s">
        <v>25</v>
      </c>
      <c r="P17" s="188"/>
      <c r="Q17" s="189">
        <v>-0.754491728865016</v>
      </c>
      <c r="R17" s="190"/>
      <c r="S17" s="189">
        <v>-0.712585833582901</v>
      </c>
      <c r="T17" s="189">
        <v>-1.17022728859826</v>
      </c>
      <c r="U17" s="190"/>
      <c r="V17" s="189">
        <v>-1.53566966229931</v>
      </c>
      <c r="W17" s="189">
        <v>-1.45948328925275</v>
      </c>
      <c r="X17" s="189">
        <v>-1.66510328125795</v>
      </c>
      <c r="Y17" s="189">
        <v>-1.42901369381528</v>
      </c>
      <c r="Z17" s="189">
        <v>-0.0154984313523786</v>
      </c>
      <c r="AA17" s="101"/>
      <c r="AB17" s="191">
        <f t="shared" si="0"/>
        <v>0.700442207000552</v>
      </c>
      <c r="AC17" s="192">
        <f t="shared" si="1"/>
        <v>0.739942023305661</v>
      </c>
      <c r="AD17" s="193">
        <f t="shared" si="2"/>
        <v>1.10721950923943</v>
      </c>
      <c r="AE17" s="194">
        <f t="shared" si="3"/>
        <v>-0.754491728865016</v>
      </c>
      <c r="AF17" s="195">
        <f t="shared" si="4"/>
        <v>-0.94140656109058</v>
      </c>
      <c r="AG17" s="196">
        <f t="shared" si="5"/>
        <v>-1.22095367159554</v>
      </c>
      <c r="AH17" s="101"/>
    </row>
    <row r="18" s="176" customFormat="1" ht="17.4" spans="1:34">
      <c r="A18" s="101"/>
      <c r="B18" s="187" t="s">
        <v>26</v>
      </c>
      <c r="C18" s="188"/>
      <c r="D18" s="189">
        <v>1.38318516506499</v>
      </c>
      <c r="E18" s="190"/>
      <c r="F18" s="189">
        <v>1.21639217388429</v>
      </c>
      <c r="G18" s="189">
        <v>1.69837937401929</v>
      </c>
      <c r="H18" s="190"/>
      <c r="I18" s="189">
        <v>1.48878231315383</v>
      </c>
      <c r="J18" s="189">
        <v>1.76369957846194</v>
      </c>
      <c r="K18" s="189">
        <v>1.6630947664526</v>
      </c>
      <c r="L18" s="189">
        <v>1.82714938217547</v>
      </c>
      <c r="M18" s="189">
        <v>1.05499812348886</v>
      </c>
      <c r="N18" s="188"/>
      <c r="O18" s="187" t="s">
        <v>26</v>
      </c>
      <c r="P18" s="188"/>
      <c r="Q18" s="189">
        <v>-1.41142286488087</v>
      </c>
      <c r="R18" s="190"/>
      <c r="S18" s="189">
        <v>-1.21274509573817</v>
      </c>
      <c r="T18" s="189">
        <v>-2.20413819441576</v>
      </c>
      <c r="U18" s="190"/>
      <c r="V18" s="189">
        <v>-1.69675728739874</v>
      </c>
      <c r="W18" s="189">
        <v>-1.98052409867263</v>
      </c>
      <c r="X18" s="189">
        <v>-2.16179109088282</v>
      </c>
      <c r="Y18" s="189">
        <v>-2.06830936913006</v>
      </c>
      <c r="Z18" s="189">
        <v>-0.779745097157419</v>
      </c>
      <c r="AA18" s="101"/>
      <c r="AB18" s="191">
        <f t="shared" si="0"/>
        <v>1.38318516506499</v>
      </c>
      <c r="AC18" s="192">
        <f t="shared" si="1"/>
        <v>1.45738577395179</v>
      </c>
      <c r="AD18" s="193">
        <f t="shared" si="2"/>
        <v>1.55954483274654</v>
      </c>
      <c r="AE18" s="194">
        <f t="shared" si="3"/>
        <v>-1.41142286488087</v>
      </c>
      <c r="AF18" s="195">
        <f t="shared" si="4"/>
        <v>-1.70844164507697</v>
      </c>
      <c r="AG18" s="196">
        <f t="shared" si="5"/>
        <v>-1.73742538864834</v>
      </c>
      <c r="AH18" s="101"/>
    </row>
    <row r="19" s="176" customFormat="1" ht="17.4" spans="1:34">
      <c r="A19" s="101"/>
      <c r="B19" s="187" t="s">
        <v>27</v>
      </c>
      <c r="C19" s="188"/>
      <c r="D19" s="189">
        <v>1.65926271642991</v>
      </c>
      <c r="E19" s="190"/>
      <c r="F19" s="189">
        <v>1.36785666051934</v>
      </c>
      <c r="G19" s="189">
        <v>2.54603911421165</v>
      </c>
      <c r="H19" s="190"/>
      <c r="I19" s="189">
        <v>1.15684957721971</v>
      </c>
      <c r="J19" s="189">
        <v>1.64269315770483</v>
      </c>
      <c r="K19" s="189">
        <v>2.50357386535822</v>
      </c>
      <c r="L19" s="189">
        <v>2.20989528855005</v>
      </c>
      <c r="M19" s="189">
        <v>1.02832471023052</v>
      </c>
      <c r="N19" s="188"/>
      <c r="O19" s="187" t="s">
        <v>27</v>
      </c>
      <c r="P19" s="188"/>
      <c r="Q19" s="189">
        <v>-1.68626927050458</v>
      </c>
      <c r="R19" s="190"/>
      <c r="S19" s="189">
        <v>-1.35931143991415</v>
      </c>
      <c r="T19" s="189">
        <v>-3.40149423731761</v>
      </c>
      <c r="U19" s="190"/>
      <c r="V19" s="189">
        <v>-1.86653440093351</v>
      </c>
      <c r="W19" s="189">
        <v>-1.55931892567838</v>
      </c>
      <c r="X19" s="189">
        <v>-3.18049927861839</v>
      </c>
      <c r="Y19" s="189">
        <v>-2.55509772260648</v>
      </c>
      <c r="Z19" s="189">
        <v>-0.748967048291603</v>
      </c>
      <c r="AA19" s="101"/>
      <c r="AB19" s="191">
        <f t="shared" si="0"/>
        <v>1.65926271642991</v>
      </c>
      <c r="AC19" s="192">
        <f t="shared" si="1"/>
        <v>1.95694788736549</v>
      </c>
      <c r="AD19" s="193">
        <f t="shared" si="2"/>
        <v>1.70826731981267</v>
      </c>
      <c r="AE19" s="194">
        <f t="shared" si="3"/>
        <v>-1.68626927050458</v>
      </c>
      <c r="AF19" s="195">
        <f t="shared" si="4"/>
        <v>-2.38040283861588</v>
      </c>
      <c r="AG19" s="196">
        <f t="shared" si="5"/>
        <v>-1.98208347522567</v>
      </c>
      <c r="AH19" s="101"/>
    </row>
    <row r="20" s="176" customFormat="1" ht="17.4" spans="1:34">
      <c r="A20" s="101"/>
      <c r="B20" s="187" t="s">
        <v>28</v>
      </c>
      <c r="C20" s="188"/>
      <c r="D20" s="189">
        <v>0.982249093065184</v>
      </c>
      <c r="E20" s="190"/>
      <c r="F20" s="189">
        <v>0.853234255689011</v>
      </c>
      <c r="G20" s="189">
        <v>0.617065251050622</v>
      </c>
      <c r="H20" s="190"/>
      <c r="I20" s="189">
        <v>0.77067166231921</v>
      </c>
      <c r="J20" s="189">
        <v>0.731792020701094</v>
      </c>
      <c r="K20" s="189">
        <v>1.1543103097471</v>
      </c>
      <c r="L20" s="189">
        <v>0.811201222388874</v>
      </c>
      <c r="M20" s="189">
        <v>1.19888966394336</v>
      </c>
      <c r="N20" s="188"/>
      <c r="O20" s="187" t="s">
        <v>28</v>
      </c>
      <c r="P20" s="188"/>
      <c r="Q20" s="189">
        <v>-0.993299096312787</v>
      </c>
      <c r="R20" s="190"/>
      <c r="S20" s="189">
        <v>-0.869495750121762</v>
      </c>
      <c r="T20" s="189">
        <v>-0.779354492891874</v>
      </c>
      <c r="U20" s="190"/>
      <c r="V20" s="189">
        <v>-0.813372935727007</v>
      </c>
      <c r="W20" s="189">
        <v>-0.786297472662056</v>
      </c>
      <c r="X20" s="189">
        <v>-1.21371857953453</v>
      </c>
      <c r="Y20" s="189">
        <v>-0.888320563792954</v>
      </c>
      <c r="Z20" s="189">
        <v>-1.09395722066305</v>
      </c>
      <c r="AA20" s="101"/>
      <c r="AB20" s="191">
        <f t="shared" si="0"/>
        <v>0.982249093065184</v>
      </c>
      <c r="AC20" s="192">
        <f t="shared" si="1"/>
        <v>0.735149753369817</v>
      </c>
      <c r="AD20" s="193">
        <f t="shared" si="2"/>
        <v>0.933372975819928</v>
      </c>
      <c r="AE20" s="194">
        <f t="shared" si="3"/>
        <v>-0.993299096312787</v>
      </c>
      <c r="AF20" s="195">
        <f t="shared" si="4"/>
        <v>-0.824425121506818</v>
      </c>
      <c r="AG20" s="196">
        <f t="shared" si="5"/>
        <v>-0.95913335447592</v>
      </c>
      <c r="AH20" s="101"/>
    </row>
    <row r="21" s="176" customFormat="1" ht="17.4" spans="1:34">
      <c r="A21" s="101"/>
      <c r="B21" s="187" t="s">
        <v>29</v>
      </c>
      <c r="C21" s="188"/>
      <c r="D21" s="189">
        <v>1.95272736128961</v>
      </c>
      <c r="E21" s="190"/>
      <c r="F21" s="189">
        <v>1.62228839367294</v>
      </c>
      <c r="G21" s="189">
        <v>2.33845407466858</v>
      </c>
      <c r="H21" s="190"/>
      <c r="I21" s="189">
        <v>0.921732226846428</v>
      </c>
      <c r="J21" s="189">
        <v>1.95819962370157</v>
      </c>
      <c r="K21" s="189">
        <v>2.67507207418549</v>
      </c>
      <c r="L21" s="189">
        <v>3.01976300411404</v>
      </c>
      <c r="M21" s="189">
        <v>1.16596633655726</v>
      </c>
      <c r="N21" s="188"/>
      <c r="O21" s="187" t="s">
        <v>29</v>
      </c>
      <c r="P21" s="188"/>
      <c r="Q21" s="189">
        <v>-2.097867294101</v>
      </c>
      <c r="R21" s="190"/>
      <c r="S21" s="189">
        <v>-1.62668551936635</v>
      </c>
      <c r="T21" s="189">
        <v>-4.6650294883739</v>
      </c>
      <c r="U21" s="190"/>
      <c r="V21" s="189">
        <v>-2.5291359170654</v>
      </c>
      <c r="W21" s="189">
        <v>-3.84848963867878</v>
      </c>
      <c r="X21" s="189">
        <v>-4.52881450695113</v>
      </c>
      <c r="Y21" s="189">
        <v>-4.64470560846222</v>
      </c>
      <c r="Z21" s="189">
        <v>-0.370580399615352</v>
      </c>
      <c r="AA21" s="101"/>
      <c r="AB21" s="191">
        <f t="shared" si="0"/>
        <v>1.95272736128961</v>
      </c>
      <c r="AC21" s="192">
        <f t="shared" si="1"/>
        <v>1.98037123417076</v>
      </c>
      <c r="AD21" s="193">
        <f t="shared" si="2"/>
        <v>1.94814665308096</v>
      </c>
      <c r="AE21" s="194">
        <f t="shared" si="3"/>
        <v>-2.097867294101</v>
      </c>
      <c r="AF21" s="195">
        <f t="shared" si="4"/>
        <v>-3.14585750387013</v>
      </c>
      <c r="AG21" s="196">
        <f t="shared" si="5"/>
        <v>-3.18434521415458</v>
      </c>
      <c r="AH21" s="101"/>
    </row>
    <row r="22" s="176" customFormat="1" ht="17.4" spans="1:34">
      <c r="A22" s="101"/>
      <c r="B22" s="187" t="s">
        <v>30</v>
      </c>
      <c r="C22" s="188"/>
      <c r="D22" s="189">
        <v>1.46833677993131</v>
      </c>
      <c r="E22" s="190"/>
      <c r="F22" s="189">
        <v>1.38066765672123</v>
      </c>
      <c r="G22" s="189">
        <v>1.22565974599912</v>
      </c>
      <c r="H22" s="190"/>
      <c r="I22" s="189">
        <v>1.16332970278173</v>
      </c>
      <c r="J22" s="189">
        <v>1.15175009240405</v>
      </c>
      <c r="K22" s="189">
        <v>1.95377277696872</v>
      </c>
      <c r="L22" s="189">
        <v>1.19224886423466</v>
      </c>
      <c r="M22" s="189">
        <v>1.21664092939238</v>
      </c>
      <c r="N22" s="188"/>
      <c r="O22" s="187" t="s">
        <v>30</v>
      </c>
      <c r="P22" s="188"/>
      <c r="Q22" s="189">
        <v>-1.45050038249726</v>
      </c>
      <c r="R22" s="190"/>
      <c r="S22" s="189">
        <v>-0.98429545856733</v>
      </c>
      <c r="T22" s="189">
        <v>-1.43629922996067</v>
      </c>
      <c r="U22" s="190"/>
      <c r="V22" s="189">
        <v>-1.25232194195344</v>
      </c>
      <c r="W22" s="189">
        <v>-1.25560356254367</v>
      </c>
      <c r="X22" s="189">
        <v>-2.10085543424324</v>
      </c>
      <c r="Y22" s="189">
        <v>-1.31320507174203</v>
      </c>
      <c r="Z22" s="189">
        <v>-1.0766413915987</v>
      </c>
      <c r="AA22" s="101"/>
      <c r="AB22" s="191">
        <f t="shared" si="0"/>
        <v>1.46833677993131</v>
      </c>
      <c r="AC22" s="192">
        <f t="shared" si="1"/>
        <v>1.30316370136018</v>
      </c>
      <c r="AD22" s="193">
        <f t="shared" si="2"/>
        <v>1.33554847315631</v>
      </c>
      <c r="AE22" s="194">
        <f t="shared" si="3"/>
        <v>-1.45050038249726</v>
      </c>
      <c r="AF22" s="195">
        <f t="shared" si="4"/>
        <v>-1.210297344264</v>
      </c>
      <c r="AG22" s="196">
        <f t="shared" si="5"/>
        <v>-1.39972548041622</v>
      </c>
      <c r="AH22" s="101"/>
    </row>
    <row r="23" s="176" customFormat="1" ht="17.4" spans="1:34">
      <c r="A23" s="101"/>
      <c r="B23" s="187" t="s">
        <v>31</v>
      </c>
      <c r="C23" s="188"/>
      <c r="D23" s="189">
        <v>1.50073819233444</v>
      </c>
      <c r="E23" s="190"/>
      <c r="F23" s="189">
        <v>1.41129762565068</v>
      </c>
      <c r="G23" s="189">
        <v>1.46665989921864</v>
      </c>
      <c r="H23" s="190"/>
      <c r="I23" s="189">
        <v>1.32020032593397</v>
      </c>
      <c r="J23" s="189">
        <v>1.0095392400663</v>
      </c>
      <c r="K23" s="189">
        <v>2.06595689232033</v>
      </c>
      <c r="L23" s="189">
        <v>1.32389731884916</v>
      </c>
      <c r="M23" s="189">
        <v>1.35295725949737</v>
      </c>
      <c r="N23" s="188"/>
      <c r="O23" s="187" t="s">
        <v>31</v>
      </c>
      <c r="P23" s="188"/>
      <c r="Q23" s="189">
        <v>-1.49794567358798</v>
      </c>
      <c r="R23" s="190"/>
      <c r="S23" s="189">
        <v>-1.38932991421235</v>
      </c>
      <c r="T23" s="189">
        <v>-1.7355895142691</v>
      </c>
      <c r="U23" s="190"/>
      <c r="V23" s="189">
        <v>-1.43088254110276</v>
      </c>
      <c r="W23" s="189">
        <v>-1.14494054362403</v>
      </c>
      <c r="X23" s="189">
        <v>-1.23678709444123</v>
      </c>
      <c r="Y23" s="189">
        <v>-1.50151672693546</v>
      </c>
      <c r="Z23" s="189">
        <v>-1.15467017266849</v>
      </c>
      <c r="AA23" s="101"/>
      <c r="AB23" s="191">
        <f t="shared" si="0"/>
        <v>1.50073819233444</v>
      </c>
      <c r="AC23" s="192">
        <f t="shared" si="1"/>
        <v>1.43897876243466</v>
      </c>
      <c r="AD23" s="193">
        <f t="shared" si="2"/>
        <v>1.41451020733343</v>
      </c>
      <c r="AE23" s="194">
        <f t="shared" si="3"/>
        <v>-1.49794567358798</v>
      </c>
      <c r="AF23" s="195">
        <f t="shared" si="4"/>
        <v>-1.56245971424072</v>
      </c>
      <c r="AG23" s="196">
        <f t="shared" si="5"/>
        <v>-1.29375941575439</v>
      </c>
      <c r="AH23" s="101"/>
    </row>
    <row r="24" s="173" customFormat="1" ht="9" customHeight="1" spans="1:34">
      <c r="A24" s="101"/>
      <c r="B24" s="150"/>
      <c r="C24" s="150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01"/>
      <c r="O24" s="150"/>
      <c r="P24" s="150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01"/>
      <c r="AB24" s="197"/>
      <c r="AC24" s="198"/>
      <c r="AD24" s="199"/>
      <c r="AE24" s="200"/>
      <c r="AF24" s="201"/>
      <c r="AG24" s="202"/>
      <c r="AH24" s="101"/>
    </row>
    <row r="25" s="96" customFormat="1" ht="9" customHeight="1" spans="1:34">
      <c r="AB25" s="178"/>
      <c r="AC25" s="178"/>
      <c r="AD25" s="178"/>
    </row>
    <row r="26" s="176" customFormat="1" ht="29.55" spans="1:34">
      <c r="A26" s="101"/>
      <c r="B26" s="139" t="s">
        <v>36</v>
      </c>
      <c r="C26" s="99"/>
      <c r="D26" s="98" t="s">
        <v>271</v>
      </c>
      <c r="E26" s="180"/>
      <c r="F26" s="98" t="s">
        <v>272</v>
      </c>
      <c r="G26" s="98" t="s">
        <v>273</v>
      </c>
      <c r="H26" s="180"/>
      <c r="I26" s="98" t="s">
        <v>274</v>
      </c>
      <c r="J26" s="98" t="s">
        <v>275</v>
      </c>
      <c r="K26" s="98" t="s">
        <v>276</v>
      </c>
      <c r="L26" s="98" t="s">
        <v>277</v>
      </c>
      <c r="M26" s="98" t="s">
        <v>278</v>
      </c>
      <c r="N26" s="101"/>
      <c r="O26" s="139" t="s">
        <v>37</v>
      </c>
      <c r="P26" s="99"/>
      <c r="Q26" s="98" t="s">
        <v>271</v>
      </c>
      <c r="R26" s="180"/>
      <c r="S26" s="98" t="s">
        <v>272</v>
      </c>
      <c r="T26" s="98" t="s">
        <v>273</v>
      </c>
      <c r="U26" s="180"/>
      <c r="V26" s="98" t="s">
        <v>274</v>
      </c>
      <c r="W26" s="98" t="s">
        <v>275</v>
      </c>
      <c r="X26" s="98" t="s">
        <v>276</v>
      </c>
      <c r="Y26" s="98" t="s">
        <v>277</v>
      </c>
      <c r="Z26" s="98" t="s">
        <v>278</v>
      </c>
      <c r="AA26" s="101"/>
      <c r="AB26" s="182" t="s">
        <v>285</v>
      </c>
      <c r="AC26" s="182" t="s">
        <v>286</v>
      </c>
      <c r="AD26" s="182" t="s">
        <v>287</v>
      </c>
      <c r="AE26" s="182" t="s">
        <v>288</v>
      </c>
      <c r="AF26" s="182" t="s">
        <v>289</v>
      </c>
      <c r="AG26" s="182" t="s">
        <v>290</v>
      </c>
      <c r="AH26" s="101"/>
    </row>
    <row r="27" s="173" customFormat="1" ht="9" customHeight="1" spans="1:34">
      <c r="A27" s="101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101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101"/>
      <c r="AB27" s="185"/>
      <c r="AC27" s="185"/>
      <c r="AD27" s="185"/>
      <c r="AE27" s="185"/>
      <c r="AF27" s="185"/>
      <c r="AG27" s="185"/>
      <c r="AH27" s="101"/>
    </row>
    <row r="28" s="176" customFormat="1" ht="17.4" spans="1:34">
      <c r="A28" s="101"/>
      <c r="B28" s="187" t="s">
        <v>12</v>
      </c>
      <c r="C28" s="188"/>
      <c r="D28" s="189">
        <v>0.40012939265987</v>
      </c>
      <c r="E28" s="190"/>
      <c r="F28" s="189">
        <v>0.439415707472235</v>
      </c>
      <c r="G28" s="189">
        <v>0.687267634037585</v>
      </c>
      <c r="H28" s="190"/>
      <c r="I28" s="189">
        <v>1.00812831650257</v>
      </c>
      <c r="J28" s="189">
        <v>0.921025585193057</v>
      </c>
      <c r="K28" s="189">
        <v>0.936018629597534</v>
      </c>
      <c r="L28" s="189">
        <v>0.784742597227138</v>
      </c>
      <c r="M28" s="189">
        <v>0.449121208423391</v>
      </c>
      <c r="N28" s="188"/>
      <c r="O28" s="187" t="s">
        <v>12</v>
      </c>
      <c r="P28" s="188"/>
      <c r="Q28" s="189">
        <v>-0.439173640050531</v>
      </c>
      <c r="R28" s="190"/>
      <c r="S28" s="189">
        <v>-0.469251465193615</v>
      </c>
      <c r="T28" s="189">
        <v>-0.767648860083966</v>
      </c>
      <c r="U28" s="190"/>
      <c r="V28" s="189">
        <v>-1.01599871161061</v>
      </c>
      <c r="W28" s="189">
        <v>-0.957137303130522</v>
      </c>
      <c r="X28" s="189">
        <v>-0.969998940591794</v>
      </c>
      <c r="Y28" s="189">
        <v>-0.837748633892292</v>
      </c>
      <c r="Z28" s="189">
        <v>-0.439866014341069</v>
      </c>
      <c r="AA28" s="101"/>
      <c r="AB28" s="191">
        <f>D28</f>
        <v>0.40012939265987</v>
      </c>
      <c r="AC28" s="192">
        <f>AVERAGE(F28:G28)</f>
        <v>0.56334167075491</v>
      </c>
      <c r="AD28" s="193">
        <f>AVERAGE(I28:M28)</f>
        <v>0.819807267388739</v>
      </c>
      <c r="AE28" s="194">
        <f>Q28</f>
        <v>-0.439173640050531</v>
      </c>
      <c r="AF28" s="195">
        <f>AVERAGE(S28:T28)</f>
        <v>-0.618450162638791</v>
      </c>
      <c r="AG28" s="196">
        <f>AVERAGE(V28:Z28)</f>
        <v>-0.844149920713258</v>
      </c>
      <c r="AH28" s="101"/>
    </row>
    <row r="29" s="176" customFormat="1" ht="17.4" spans="1:34">
      <c r="A29" s="101"/>
      <c r="B29" s="187" t="s">
        <v>13</v>
      </c>
      <c r="C29" s="188"/>
      <c r="D29" s="189">
        <v>0.937164844187972</v>
      </c>
      <c r="E29" s="190"/>
      <c r="F29" s="189">
        <v>0.912980271369784</v>
      </c>
      <c r="G29" s="189">
        <v>0.875644725797499</v>
      </c>
      <c r="H29" s="190"/>
      <c r="I29" s="189">
        <v>1.0302135137454</v>
      </c>
      <c r="J29" s="189">
        <v>0.847541114693497</v>
      </c>
      <c r="K29" s="189">
        <v>0.93151282214922</v>
      </c>
      <c r="L29" s="189">
        <v>1.06457461817926</v>
      </c>
      <c r="M29" s="189">
        <v>0.895812214243601</v>
      </c>
      <c r="N29" s="188"/>
      <c r="O29" s="187" t="s">
        <v>13</v>
      </c>
      <c r="P29" s="188"/>
      <c r="Q29" s="189">
        <v>-1.0131318392006</v>
      </c>
      <c r="R29" s="190"/>
      <c r="S29" s="189">
        <v>-0.94078404598112</v>
      </c>
      <c r="T29" s="189">
        <v>-1.53816812324162</v>
      </c>
      <c r="U29" s="190"/>
      <c r="V29" s="189">
        <v>-1.20701650199668</v>
      </c>
      <c r="W29" s="189">
        <v>-1.17600033750663</v>
      </c>
      <c r="X29" s="189">
        <v>-1.24194672135127</v>
      </c>
      <c r="Y29" s="189">
        <v>-1.3734576956832</v>
      </c>
      <c r="Z29" s="189">
        <v>-0.709066838809937</v>
      </c>
      <c r="AA29" s="101"/>
      <c r="AB29" s="191">
        <f t="shared" ref="AB29:AB47" si="6">D29</f>
        <v>0.937164844187972</v>
      </c>
      <c r="AC29" s="192">
        <f t="shared" ref="AC29:AC47" si="7">AVERAGE(F29:G29)</f>
        <v>0.894312498583641</v>
      </c>
      <c r="AD29" s="193">
        <f t="shared" ref="AD29:AD47" si="8">AVERAGE(I29:M29)</f>
        <v>0.953930856602195</v>
      </c>
      <c r="AE29" s="194">
        <f t="shared" ref="AE29:AE47" si="9">Q29</f>
        <v>-1.0131318392006</v>
      </c>
      <c r="AF29" s="195">
        <f t="shared" ref="AF29:AF47" si="10">AVERAGE(S29:T29)</f>
        <v>-1.23947608461137</v>
      </c>
      <c r="AG29" s="196">
        <f t="shared" ref="AG29:AG47" si="11">AVERAGE(V29:Z29)</f>
        <v>-1.14149761906954</v>
      </c>
      <c r="AH29" s="101"/>
    </row>
    <row r="30" s="176" customFormat="1" ht="17.4" spans="1:34">
      <c r="A30" s="101"/>
      <c r="B30" s="187" t="s">
        <v>14</v>
      </c>
      <c r="C30" s="188"/>
      <c r="D30" s="189">
        <v>0.104930736370016</v>
      </c>
      <c r="E30" s="190"/>
      <c r="F30" s="189">
        <v>0.14988081065849</v>
      </c>
      <c r="G30" s="189">
        <v>0.499773638540686</v>
      </c>
      <c r="H30" s="190"/>
      <c r="I30" s="189">
        <v>0.704870446454583</v>
      </c>
      <c r="J30" s="189">
        <v>0.806955214445041</v>
      </c>
      <c r="K30" s="189">
        <v>0.603561202172971</v>
      </c>
      <c r="L30" s="189">
        <v>0.557297990452982</v>
      </c>
      <c r="M30" s="189">
        <v>0.199431478457934</v>
      </c>
      <c r="N30" s="188"/>
      <c r="O30" s="187" t="s">
        <v>14</v>
      </c>
      <c r="P30" s="188"/>
      <c r="Q30" s="189">
        <v>-1.88533688164402</v>
      </c>
      <c r="R30" s="190"/>
      <c r="S30" s="189">
        <v>-1.1464154694643</v>
      </c>
      <c r="T30" s="189">
        <v>-7.73514743463086</v>
      </c>
      <c r="U30" s="190"/>
      <c r="V30" s="189">
        <v>-2.57575082418454</v>
      </c>
      <c r="W30" s="189">
        <v>-6.05669104454438</v>
      </c>
      <c r="X30" s="189">
        <v>-6.78559228436303</v>
      </c>
      <c r="Y30" s="189">
        <v>-8.50956173442424</v>
      </c>
      <c r="Z30" s="189">
        <v>9.67705878630275</v>
      </c>
      <c r="AA30" s="101"/>
      <c r="AB30" s="191">
        <f t="shared" si="6"/>
        <v>0.104930736370016</v>
      </c>
      <c r="AC30" s="192">
        <f t="shared" si="7"/>
        <v>0.324827224599588</v>
      </c>
      <c r="AD30" s="193">
        <f t="shared" si="8"/>
        <v>0.574423266396702</v>
      </c>
      <c r="AE30" s="194">
        <f t="shared" si="9"/>
        <v>-1.88533688164402</v>
      </c>
      <c r="AF30" s="195">
        <f t="shared" si="10"/>
        <v>-4.44078145204758</v>
      </c>
      <c r="AG30" s="196">
        <f t="shared" si="11"/>
        <v>-2.85010742024269</v>
      </c>
      <c r="AH30" s="101"/>
    </row>
    <row r="31" s="176" customFormat="1" ht="17.4" spans="1:34">
      <c r="A31" s="101"/>
      <c r="B31" s="187" t="s">
        <v>15</v>
      </c>
      <c r="C31" s="188"/>
      <c r="D31" s="189">
        <v>0.490511477877507</v>
      </c>
      <c r="E31" s="190"/>
      <c r="F31" s="189">
        <v>0.499346541315005</v>
      </c>
      <c r="G31" s="189">
        <v>0.676091620594271</v>
      </c>
      <c r="H31" s="190"/>
      <c r="I31" s="189">
        <v>0.94815138044614</v>
      </c>
      <c r="J31" s="189">
        <v>0.871027846817476</v>
      </c>
      <c r="K31" s="189">
        <v>0.848372699458314</v>
      </c>
      <c r="L31" s="189">
        <v>0.757808657552641</v>
      </c>
      <c r="M31" s="189">
        <v>0.508136380008612</v>
      </c>
      <c r="N31" s="188"/>
      <c r="O31" s="187" t="s">
        <v>15</v>
      </c>
      <c r="P31" s="188"/>
      <c r="Q31" s="189">
        <v>-0.551489516317134</v>
      </c>
      <c r="R31" s="190"/>
      <c r="S31" s="189">
        <v>-0.552600770473784</v>
      </c>
      <c r="T31" s="189">
        <v>-0.763270628313596</v>
      </c>
      <c r="U31" s="190"/>
      <c r="V31" s="189">
        <v>-0.968556134713936</v>
      </c>
      <c r="W31" s="189">
        <v>-0.915563346432556</v>
      </c>
      <c r="X31" s="189">
        <v>-0.89547842803786</v>
      </c>
      <c r="Y31" s="189">
        <v>-0.816889940381446</v>
      </c>
      <c r="Z31" s="189">
        <v>-0.534792188191839</v>
      </c>
      <c r="AA31" s="101"/>
      <c r="AB31" s="191">
        <f t="shared" si="6"/>
        <v>0.490511477877507</v>
      </c>
      <c r="AC31" s="192">
        <f t="shared" si="7"/>
        <v>0.587719080954638</v>
      </c>
      <c r="AD31" s="193">
        <f t="shared" si="8"/>
        <v>0.786699392856637</v>
      </c>
      <c r="AE31" s="194">
        <f t="shared" si="9"/>
        <v>-0.551489516317134</v>
      </c>
      <c r="AF31" s="195">
        <f t="shared" si="10"/>
        <v>-0.65793569939369</v>
      </c>
      <c r="AG31" s="196">
        <f t="shared" si="11"/>
        <v>-0.826256007551528</v>
      </c>
      <c r="AH31" s="101"/>
    </row>
    <row r="32" s="176" customFormat="1" ht="17.4" spans="1:34">
      <c r="A32" s="101"/>
      <c r="B32" s="187" t="s">
        <v>16</v>
      </c>
      <c r="C32" s="188"/>
      <c r="D32" s="189">
        <v>1.36880360284833</v>
      </c>
      <c r="E32" s="190"/>
      <c r="F32" s="189">
        <v>1.39929684085223</v>
      </c>
      <c r="G32" s="189">
        <v>1.28809105317826</v>
      </c>
      <c r="H32" s="190"/>
      <c r="I32" s="189">
        <v>1.61318358277722</v>
      </c>
      <c r="J32" s="189">
        <v>1.50970890875083</v>
      </c>
      <c r="K32" s="189">
        <v>1.21735754664038</v>
      </c>
      <c r="L32" s="189">
        <v>1.25764939929273</v>
      </c>
      <c r="M32" s="189">
        <v>1.45755887059609</v>
      </c>
      <c r="N32" s="188"/>
      <c r="O32" s="187" t="s">
        <v>16</v>
      </c>
      <c r="P32" s="188"/>
      <c r="Q32" s="189">
        <v>-1.3772023611052</v>
      </c>
      <c r="R32" s="190"/>
      <c r="S32" s="189">
        <v>-1.38827291892408</v>
      </c>
      <c r="T32" s="189">
        <v>-1.49745148451702</v>
      </c>
      <c r="U32" s="190"/>
      <c r="V32" s="189">
        <v>-1.65672917926015</v>
      </c>
      <c r="W32" s="189">
        <v>-1.62245159997797</v>
      </c>
      <c r="X32" s="189">
        <v>-1.31991355833799</v>
      </c>
      <c r="Y32" s="189">
        <v>-1.35456938684589</v>
      </c>
      <c r="Z32" s="189">
        <v>-1.36811625833927</v>
      </c>
      <c r="AA32" s="101"/>
      <c r="AB32" s="191">
        <f t="shared" si="6"/>
        <v>1.36880360284833</v>
      </c>
      <c r="AC32" s="192">
        <f t="shared" si="7"/>
        <v>1.34369394701525</v>
      </c>
      <c r="AD32" s="193">
        <f t="shared" si="8"/>
        <v>1.41109166161145</v>
      </c>
      <c r="AE32" s="194">
        <f t="shared" si="9"/>
        <v>-1.3772023611052</v>
      </c>
      <c r="AF32" s="195">
        <f t="shared" si="10"/>
        <v>-1.44286220172055</v>
      </c>
      <c r="AG32" s="196">
        <f t="shared" si="11"/>
        <v>-1.46435599655226</v>
      </c>
      <c r="AH32" s="101"/>
    </row>
    <row r="33" s="176" customFormat="1" ht="17.4" spans="1:34">
      <c r="A33" s="101"/>
      <c r="B33" s="187" t="s">
        <v>17</v>
      </c>
      <c r="C33" s="188"/>
      <c r="D33" s="189">
        <v>0.922743843121122</v>
      </c>
      <c r="E33" s="190"/>
      <c r="F33" s="189">
        <v>0.893818903176997</v>
      </c>
      <c r="G33" s="189">
        <v>1.09974265137597</v>
      </c>
      <c r="H33" s="190"/>
      <c r="I33" s="189">
        <v>1.22050152105558</v>
      </c>
      <c r="J33" s="189">
        <v>1.1264975480271</v>
      </c>
      <c r="K33" s="189">
        <v>1.08955457964013</v>
      </c>
      <c r="L33" s="189">
        <v>1.14359664610099</v>
      </c>
      <c r="M33" s="189">
        <v>0.832145080044927</v>
      </c>
      <c r="N33" s="188"/>
      <c r="O33" s="187" t="s">
        <v>17</v>
      </c>
      <c r="P33" s="188"/>
      <c r="Q33" s="189">
        <v>-0.947180552921931</v>
      </c>
      <c r="R33" s="190"/>
      <c r="S33" s="189">
        <v>-0.906105645040229</v>
      </c>
      <c r="T33" s="189">
        <v>-1.26154791700142</v>
      </c>
      <c r="U33" s="190"/>
      <c r="V33" s="189">
        <v>-1.25494740788115</v>
      </c>
      <c r="W33" s="189">
        <v>-1.21218004255468</v>
      </c>
      <c r="X33" s="189">
        <v>-1.17049375549814</v>
      </c>
      <c r="Y33" s="189">
        <v>-1.21978066257376</v>
      </c>
      <c r="Z33" s="189">
        <v>-0.785933673569914</v>
      </c>
      <c r="AA33" s="101"/>
      <c r="AB33" s="191">
        <f t="shared" si="6"/>
        <v>0.922743843121122</v>
      </c>
      <c r="AC33" s="192">
        <f t="shared" si="7"/>
        <v>0.996780777276482</v>
      </c>
      <c r="AD33" s="193">
        <f t="shared" si="8"/>
        <v>1.08245907497374</v>
      </c>
      <c r="AE33" s="194">
        <f t="shared" si="9"/>
        <v>-0.947180552921931</v>
      </c>
      <c r="AF33" s="195">
        <f t="shared" si="10"/>
        <v>-1.08382678102083</v>
      </c>
      <c r="AG33" s="196">
        <f t="shared" si="11"/>
        <v>-1.12866710841553</v>
      </c>
      <c r="AH33" s="101"/>
    </row>
    <row r="34" s="176" customFormat="1" ht="17.4" spans="1:34">
      <c r="A34" s="101"/>
      <c r="B34" s="187" t="s">
        <v>18</v>
      </c>
      <c r="C34" s="188"/>
      <c r="D34" s="189">
        <v>2.43978099198705</v>
      </c>
      <c r="E34" s="190"/>
      <c r="F34" s="189">
        <v>2.36053739477788</v>
      </c>
      <c r="G34" s="189">
        <v>2.31449185928135</v>
      </c>
      <c r="H34" s="190"/>
      <c r="I34" s="189">
        <v>1.14818868306109</v>
      </c>
      <c r="J34" s="189">
        <v>1.87174132478898</v>
      </c>
      <c r="K34" s="189">
        <v>1.47162770472262</v>
      </c>
      <c r="L34" s="189">
        <v>1.78258056053567</v>
      </c>
      <c r="M34" s="189">
        <v>1.96520209552435</v>
      </c>
      <c r="N34" s="188"/>
      <c r="O34" s="187" t="s">
        <v>18</v>
      </c>
      <c r="P34" s="188"/>
      <c r="Q34" s="189">
        <v>-2.33908755230611</v>
      </c>
      <c r="R34" s="190"/>
      <c r="S34" s="189">
        <v>-2.24138910742586</v>
      </c>
      <c r="T34" s="189">
        <v>-2.54482319209126</v>
      </c>
      <c r="U34" s="190"/>
      <c r="V34" s="189">
        <v>-1.27655653804671</v>
      </c>
      <c r="W34" s="189">
        <v>-2.06680263777598</v>
      </c>
      <c r="X34" s="189">
        <v>-1.64702334701879</v>
      </c>
      <c r="Y34" s="189">
        <v>-1.87824201512229</v>
      </c>
      <c r="Z34" s="189">
        <v>-1.81619161811958</v>
      </c>
      <c r="AA34" s="101"/>
      <c r="AB34" s="191">
        <f t="shared" si="6"/>
        <v>2.43978099198705</v>
      </c>
      <c r="AC34" s="192">
        <f t="shared" si="7"/>
        <v>2.33751462702962</v>
      </c>
      <c r="AD34" s="193">
        <f t="shared" si="8"/>
        <v>1.64786807372654</v>
      </c>
      <c r="AE34" s="194">
        <f t="shared" si="9"/>
        <v>-2.33908755230611</v>
      </c>
      <c r="AF34" s="195">
        <f t="shared" si="10"/>
        <v>-2.39310614975856</v>
      </c>
      <c r="AG34" s="196">
        <f t="shared" si="11"/>
        <v>-1.73696323121667</v>
      </c>
      <c r="AH34" s="101"/>
    </row>
    <row r="35" s="176" customFormat="1" ht="17.4" spans="1:34">
      <c r="A35" s="101"/>
      <c r="B35" s="187" t="s">
        <v>19</v>
      </c>
      <c r="C35" s="188"/>
      <c r="D35" s="189">
        <v>1.67161422114897</v>
      </c>
      <c r="E35" s="190"/>
      <c r="F35" s="189">
        <v>1.60278385375238</v>
      </c>
      <c r="G35" s="189">
        <v>1.93667868098651</v>
      </c>
      <c r="H35" s="190"/>
      <c r="I35" s="189">
        <v>1.81448953801734</v>
      </c>
      <c r="J35" s="189">
        <v>1.28064370484467</v>
      </c>
      <c r="K35" s="189">
        <v>1.23706809990595</v>
      </c>
      <c r="L35" s="189">
        <v>1.59306877939265</v>
      </c>
      <c r="M35" s="189">
        <v>1.16977221097383</v>
      </c>
      <c r="N35" s="188"/>
      <c r="O35" s="187" t="s">
        <v>19</v>
      </c>
      <c r="P35" s="188"/>
      <c r="Q35" s="189">
        <v>-1.76692559373027</v>
      </c>
      <c r="R35" s="190"/>
      <c r="S35" s="189">
        <v>-1.62948037815426</v>
      </c>
      <c r="T35" s="189">
        <v>-2.94163287410403</v>
      </c>
      <c r="U35" s="190"/>
      <c r="V35" s="189">
        <v>-2.3267504294539</v>
      </c>
      <c r="W35" s="189">
        <v>-2.12186879533442</v>
      </c>
      <c r="X35" s="189">
        <v>-1.85572821018609</v>
      </c>
      <c r="Y35" s="189">
        <v>-2.03852842524086</v>
      </c>
      <c r="Z35" s="189">
        <v>-0.984717831430099</v>
      </c>
      <c r="AA35" s="101"/>
      <c r="AB35" s="191">
        <f t="shared" si="6"/>
        <v>1.67161422114897</v>
      </c>
      <c r="AC35" s="192">
        <f t="shared" si="7"/>
        <v>1.76973126736944</v>
      </c>
      <c r="AD35" s="193">
        <f t="shared" si="8"/>
        <v>1.41900846662689</v>
      </c>
      <c r="AE35" s="194">
        <f t="shared" si="9"/>
        <v>-1.76692559373027</v>
      </c>
      <c r="AF35" s="195">
        <f t="shared" si="10"/>
        <v>-2.28555662612915</v>
      </c>
      <c r="AG35" s="196">
        <f t="shared" si="11"/>
        <v>-1.86551873832907</v>
      </c>
      <c r="AH35" s="101"/>
    </row>
    <row r="36" s="176" customFormat="1" ht="17.4" spans="1:34">
      <c r="A36" s="101"/>
      <c r="B36" s="187" t="s">
        <v>20</v>
      </c>
      <c r="C36" s="188"/>
      <c r="D36" s="189">
        <v>1.12364654431306</v>
      </c>
      <c r="E36" s="190"/>
      <c r="F36" s="189">
        <v>1.14924431855877</v>
      </c>
      <c r="G36" s="189">
        <v>1.22538022622265</v>
      </c>
      <c r="H36" s="190"/>
      <c r="I36" s="189">
        <v>0.795899196474852</v>
      </c>
      <c r="J36" s="189">
        <v>1.10134548342468</v>
      </c>
      <c r="K36" s="189">
        <v>1.23722410064592</v>
      </c>
      <c r="L36" s="189">
        <v>1.39145315592485</v>
      </c>
      <c r="M36" s="189">
        <v>1.01196001356732</v>
      </c>
      <c r="N36" s="188"/>
      <c r="O36" s="187" t="s">
        <v>20</v>
      </c>
      <c r="P36" s="188"/>
      <c r="Q36" s="189">
        <v>-1.14766297453514</v>
      </c>
      <c r="R36" s="190"/>
      <c r="S36" s="189">
        <v>-1.15419209529388</v>
      </c>
      <c r="T36" s="189">
        <v>-1.42992887343135</v>
      </c>
      <c r="U36" s="190"/>
      <c r="V36" s="189">
        <v>-0.864699768391256</v>
      </c>
      <c r="W36" s="189">
        <v>-1.23792546360854</v>
      </c>
      <c r="X36" s="189">
        <v>-1.36311717184453</v>
      </c>
      <c r="Y36" s="189">
        <v>-1.4981911018251</v>
      </c>
      <c r="Z36" s="189">
        <v>-0.945612099943004</v>
      </c>
      <c r="AA36" s="101"/>
      <c r="AB36" s="191">
        <f t="shared" si="6"/>
        <v>1.12364654431306</v>
      </c>
      <c r="AC36" s="192">
        <f t="shared" si="7"/>
        <v>1.18731227239071</v>
      </c>
      <c r="AD36" s="193">
        <f t="shared" si="8"/>
        <v>1.10757639000753</v>
      </c>
      <c r="AE36" s="194">
        <f t="shared" si="9"/>
        <v>-1.14766297453514</v>
      </c>
      <c r="AF36" s="195">
        <f t="shared" si="10"/>
        <v>-1.29206048436261</v>
      </c>
      <c r="AG36" s="196">
        <f t="shared" si="11"/>
        <v>-1.18190912112248</v>
      </c>
      <c r="AH36" s="101"/>
    </row>
    <row r="37" s="176" customFormat="1" ht="17.4" spans="1:34">
      <c r="A37" s="101"/>
      <c r="B37" s="187" t="s">
        <v>21</v>
      </c>
      <c r="C37" s="188"/>
      <c r="D37" s="189">
        <v>0.405572073703879</v>
      </c>
      <c r="E37" s="190"/>
      <c r="F37" s="189">
        <v>0.339358493818827</v>
      </c>
      <c r="G37" s="189">
        <v>0.409110009666946</v>
      </c>
      <c r="H37" s="190"/>
      <c r="I37" s="189">
        <v>0.564190927720203</v>
      </c>
      <c r="J37" s="189">
        <v>0.556778949796371</v>
      </c>
      <c r="K37" s="189">
        <v>0.627167705221786</v>
      </c>
      <c r="L37" s="189">
        <v>0.516647140089077</v>
      </c>
      <c r="M37" s="189">
        <v>0.435266392164185</v>
      </c>
      <c r="N37" s="188"/>
      <c r="O37" s="187" t="s">
        <v>21</v>
      </c>
      <c r="P37" s="188"/>
      <c r="Q37" s="189">
        <v>-0.442131242887866</v>
      </c>
      <c r="R37" s="190"/>
      <c r="S37" s="189">
        <v>-0.357943833540498</v>
      </c>
      <c r="T37" s="189">
        <v>-0.66841785188867</v>
      </c>
      <c r="U37" s="190"/>
      <c r="V37" s="189">
        <v>-0.621057269284116</v>
      </c>
      <c r="W37" s="189">
        <v>-0.664597434156645</v>
      </c>
      <c r="X37" s="189">
        <v>-0.733418250305377</v>
      </c>
      <c r="Y37" s="189">
        <v>-0.638440293329585</v>
      </c>
      <c r="Z37" s="189">
        <v>-0.347872856129477</v>
      </c>
      <c r="AA37" s="101"/>
      <c r="AB37" s="191">
        <f t="shared" si="6"/>
        <v>0.405572073703879</v>
      </c>
      <c r="AC37" s="192">
        <f t="shared" si="7"/>
        <v>0.374234251742886</v>
      </c>
      <c r="AD37" s="193">
        <f t="shared" si="8"/>
        <v>0.540010222998324</v>
      </c>
      <c r="AE37" s="194">
        <f t="shared" si="9"/>
        <v>-0.442131242887866</v>
      </c>
      <c r="AF37" s="195">
        <f t="shared" si="10"/>
        <v>-0.513180842714584</v>
      </c>
      <c r="AG37" s="196">
        <f t="shared" si="11"/>
        <v>-0.60107722064104</v>
      </c>
      <c r="AH37" s="101"/>
    </row>
    <row r="38" s="176" customFormat="1" ht="17.4" spans="1:34">
      <c r="A38" s="101"/>
      <c r="B38" s="187" t="s">
        <v>22</v>
      </c>
      <c r="C38" s="188"/>
      <c r="D38" s="189">
        <v>1.30381303701509</v>
      </c>
      <c r="E38" s="190"/>
      <c r="F38" s="189">
        <v>1.29386454544464</v>
      </c>
      <c r="G38" s="189">
        <v>2.17748501921423</v>
      </c>
      <c r="H38" s="190"/>
      <c r="I38" s="189">
        <v>1.9294529863772</v>
      </c>
      <c r="J38" s="189">
        <v>1.95404408929338</v>
      </c>
      <c r="K38" s="189">
        <v>1.90359688438783</v>
      </c>
      <c r="L38" s="189">
        <v>1.59961442433157</v>
      </c>
      <c r="M38" s="189">
        <v>0.862650252686231</v>
      </c>
      <c r="N38" s="188"/>
      <c r="O38" s="187" t="s">
        <v>22</v>
      </c>
      <c r="P38" s="188"/>
      <c r="Q38" s="189">
        <v>-1.34125516138655</v>
      </c>
      <c r="R38" s="190"/>
      <c r="S38" s="189">
        <v>-1.3053063370508</v>
      </c>
      <c r="T38" s="189">
        <v>-2.37760502670418</v>
      </c>
      <c r="U38" s="190"/>
      <c r="V38" s="189">
        <v>-2.12323277886074</v>
      </c>
      <c r="W38" s="189">
        <v>-2.22079429521755</v>
      </c>
      <c r="X38" s="189">
        <v>-2.07832260264534</v>
      </c>
      <c r="Y38" s="189">
        <v>-1.75348529809327</v>
      </c>
      <c r="Z38" s="189">
        <v>-0.773172397299844</v>
      </c>
      <c r="AA38" s="101"/>
      <c r="AB38" s="191">
        <f t="shared" si="6"/>
        <v>1.30381303701509</v>
      </c>
      <c r="AC38" s="192">
        <f t="shared" si="7"/>
        <v>1.73567478232944</v>
      </c>
      <c r="AD38" s="193">
        <f t="shared" si="8"/>
        <v>1.64987172741524</v>
      </c>
      <c r="AE38" s="194">
        <f t="shared" si="9"/>
        <v>-1.34125516138655</v>
      </c>
      <c r="AF38" s="195">
        <f t="shared" si="10"/>
        <v>-1.84145568187749</v>
      </c>
      <c r="AG38" s="196">
        <f t="shared" si="11"/>
        <v>-1.78980147442335</v>
      </c>
      <c r="AH38" s="101"/>
    </row>
    <row r="39" s="176" customFormat="1" ht="17.4" spans="1:34">
      <c r="A39" s="101"/>
      <c r="B39" s="187" t="s">
        <v>23</v>
      </c>
      <c r="C39" s="188"/>
      <c r="D39" s="189">
        <v>1.87007308222215</v>
      </c>
      <c r="E39" s="190"/>
      <c r="F39" s="189">
        <v>1.7969773835689</v>
      </c>
      <c r="G39" s="189">
        <v>2.55754217791877</v>
      </c>
      <c r="H39" s="190"/>
      <c r="I39" s="189">
        <v>2.62532026410103</v>
      </c>
      <c r="J39" s="189">
        <v>2.52521702344234</v>
      </c>
      <c r="K39" s="189">
        <v>2.72994199891913</v>
      </c>
      <c r="L39" s="189">
        <v>2.45498279116214</v>
      </c>
      <c r="M39" s="189">
        <v>1.1079869125713</v>
      </c>
      <c r="N39" s="188"/>
      <c r="O39" s="187" t="s">
        <v>23</v>
      </c>
      <c r="P39" s="188"/>
      <c r="Q39" s="189">
        <v>-1.93596253042889</v>
      </c>
      <c r="R39" s="190"/>
      <c r="S39" s="189">
        <v>-1.80974630780724</v>
      </c>
      <c r="T39" s="189">
        <v>-3.24546992273434</v>
      </c>
      <c r="U39" s="190"/>
      <c r="V39" s="189">
        <v>-3.19741842185564</v>
      </c>
      <c r="W39" s="189">
        <v>-3.47041821662771</v>
      </c>
      <c r="X39" s="189">
        <v>-3.28850672867787</v>
      </c>
      <c r="Y39" s="189">
        <v>-2.73663043325365</v>
      </c>
      <c r="Z39" s="189">
        <v>-0.967476607698868</v>
      </c>
      <c r="AA39" s="101"/>
      <c r="AB39" s="191">
        <f t="shared" si="6"/>
        <v>1.87007308222215</v>
      </c>
      <c r="AC39" s="192">
        <f t="shared" si="7"/>
        <v>2.17725978074384</v>
      </c>
      <c r="AD39" s="193">
        <f t="shared" si="8"/>
        <v>2.28868979803919</v>
      </c>
      <c r="AE39" s="194">
        <f t="shared" si="9"/>
        <v>-1.93596253042889</v>
      </c>
      <c r="AF39" s="195">
        <f t="shared" si="10"/>
        <v>-2.52760811527079</v>
      </c>
      <c r="AG39" s="196">
        <f t="shared" si="11"/>
        <v>-2.73209008162275</v>
      </c>
      <c r="AH39" s="101"/>
    </row>
    <row r="40" s="176" customFormat="1" ht="17.4" spans="1:34">
      <c r="A40" s="101"/>
      <c r="B40" s="187" t="s">
        <v>24</v>
      </c>
      <c r="C40" s="188"/>
      <c r="D40" s="189">
        <v>1.41086422720429</v>
      </c>
      <c r="E40" s="190"/>
      <c r="F40" s="189">
        <v>1.40934495276323</v>
      </c>
      <c r="G40" s="189">
        <v>1.69753237099063</v>
      </c>
      <c r="H40" s="190"/>
      <c r="I40" s="189">
        <v>1.71211987253024</v>
      </c>
      <c r="J40" s="189">
        <v>1.92513075035769</v>
      </c>
      <c r="K40" s="189">
        <v>1.61988182580532</v>
      </c>
      <c r="L40" s="189">
        <v>1.48574468280489</v>
      </c>
      <c r="M40" s="189">
        <v>1.08278121326196</v>
      </c>
      <c r="N40" s="188"/>
      <c r="O40" s="187" t="s">
        <v>24</v>
      </c>
      <c r="P40" s="188"/>
      <c r="Q40" s="189">
        <v>-1.4084701383241</v>
      </c>
      <c r="R40" s="190"/>
      <c r="S40" s="189">
        <v>-1.39289924999273</v>
      </c>
      <c r="T40" s="189">
        <v>-1.82061496319015</v>
      </c>
      <c r="U40" s="190"/>
      <c r="V40" s="189">
        <v>-1.76960092821304</v>
      </c>
      <c r="W40" s="189">
        <v>-1.99636783540541</v>
      </c>
      <c r="X40" s="189">
        <v>-1.69064503469326</v>
      </c>
      <c r="Y40" s="189">
        <v>-1.54938658757874</v>
      </c>
      <c r="Z40" s="189">
        <v>-1.03231316417485</v>
      </c>
      <c r="AA40" s="101"/>
      <c r="AB40" s="191">
        <f t="shared" si="6"/>
        <v>1.41086422720429</v>
      </c>
      <c r="AC40" s="192">
        <f t="shared" si="7"/>
        <v>1.55343866187693</v>
      </c>
      <c r="AD40" s="193">
        <f t="shared" si="8"/>
        <v>1.56513166895202</v>
      </c>
      <c r="AE40" s="194">
        <f t="shared" si="9"/>
        <v>-1.4084701383241</v>
      </c>
      <c r="AF40" s="195">
        <f t="shared" si="10"/>
        <v>-1.60675710659144</v>
      </c>
      <c r="AG40" s="196">
        <f t="shared" si="11"/>
        <v>-1.60766271001306</v>
      </c>
      <c r="AH40" s="101"/>
    </row>
    <row r="41" s="176" customFormat="1" ht="17.4" spans="1:34">
      <c r="A41" s="101"/>
      <c r="B41" s="187" t="s">
        <v>25</v>
      </c>
      <c r="C41" s="188"/>
      <c r="D41" s="189">
        <v>1.11696894800404</v>
      </c>
      <c r="E41" s="190"/>
      <c r="F41" s="189">
        <v>1.17995321627048</v>
      </c>
      <c r="G41" s="189">
        <v>0.899211750810724</v>
      </c>
      <c r="H41" s="190"/>
      <c r="I41" s="189">
        <v>1.33666593885455</v>
      </c>
      <c r="J41" s="189">
        <v>1.18253269241749</v>
      </c>
      <c r="K41" s="189">
        <v>0.968056512300013</v>
      </c>
      <c r="L41" s="189">
        <v>0.871758100090123</v>
      </c>
      <c r="M41" s="189">
        <v>1.20241226459202</v>
      </c>
      <c r="N41" s="188"/>
      <c r="O41" s="187" t="s">
        <v>25</v>
      </c>
      <c r="P41" s="188"/>
      <c r="Q41" s="189">
        <v>-1.15750424101635</v>
      </c>
      <c r="R41" s="190"/>
      <c r="S41" s="189">
        <v>-1.19116878269748</v>
      </c>
      <c r="T41" s="189">
        <v>-1.23886403596233</v>
      </c>
      <c r="U41" s="190"/>
      <c r="V41" s="189">
        <v>-1.43017639875886</v>
      </c>
      <c r="W41" s="189">
        <v>-1.3701883181044</v>
      </c>
      <c r="X41" s="189">
        <v>-1.14670150824508</v>
      </c>
      <c r="Y41" s="189">
        <v>-1.06387880474049</v>
      </c>
      <c r="Z41" s="189">
        <v>-1.0906570079454</v>
      </c>
      <c r="AA41" s="101"/>
      <c r="AB41" s="191">
        <f t="shared" si="6"/>
        <v>1.11696894800404</v>
      </c>
      <c r="AC41" s="192">
        <f t="shared" si="7"/>
        <v>1.0395824835406</v>
      </c>
      <c r="AD41" s="193">
        <f t="shared" si="8"/>
        <v>1.11228510165084</v>
      </c>
      <c r="AE41" s="194">
        <f t="shared" si="9"/>
        <v>-1.15750424101635</v>
      </c>
      <c r="AF41" s="195">
        <f t="shared" si="10"/>
        <v>-1.21501640932991</v>
      </c>
      <c r="AG41" s="196">
        <f t="shared" si="11"/>
        <v>-1.22032040755885</v>
      </c>
      <c r="AH41" s="101"/>
    </row>
    <row r="42" s="176" customFormat="1" ht="17.4" spans="1:34">
      <c r="A42" s="101"/>
      <c r="B42" s="187" t="s">
        <v>26</v>
      </c>
      <c r="C42" s="188"/>
      <c r="D42" s="189">
        <v>1.23336893183315</v>
      </c>
      <c r="E42" s="190"/>
      <c r="F42" s="189">
        <v>1.11559034995416</v>
      </c>
      <c r="G42" s="189">
        <v>1.27119365420114</v>
      </c>
      <c r="H42" s="190"/>
      <c r="I42" s="189">
        <v>1.50810438168069</v>
      </c>
      <c r="J42" s="189">
        <v>1.43455833054347</v>
      </c>
      <c r="K42" s="189">
        <v>1.27758010464011</v>
      </c>
      <c r="L42" s="189">
        <v>1.30288766879416</v>
      </c>
      <c r="M42" s="189">
        <v>0.957066398268372</v>
      </c>
      <c r="N42" s="188"/>
      <c r="O42" s="187" t="s">
        <v>26</v>
      </c>
      <c r="P42" s="188"/>
      <c r="Q42" s="189">
        <v>-1.28000098534158</v>
      </c>
      <c r="R42" s="190"/>
      <c r="S42" s="189">
        <v>-1.12983457894172</v>
      </c>
      <c r="T42" s="189">
        <v>-1.63110084721175</v>
      </c>
      <c r="U42" s="190"/>
      <c r="V42" s="189">
        <v>-1.67449913702314</v>
      </c>
      <c r="W42" s="189">
        <v>-1.71124735324861</v>
      </c>
      <c r="X42" s="189">
        <v>-1.50820588206631</v>
      </c>
      <c r="Y42" s="189">
        <v>-1.51246080201112</v>
      </c>
      <c r="Z42" s="189">
        <v>-0.848965605090933</v>
      </c>
      <c r="AA42" s="101"/>
      <c r="AB42" s="191">
        <f t="shared" si="6"/>
        <v>1.23336893183315</v>
      </c>
      <c r="AC42" s="192">
        <f t="shared" si="7"/>
        <v>1.19339200207765</v>
      </c>
      <c r="AD42" s="193">
        <f t="shared" si="8"/>
        <v>1.29603937678536</v>
      </c>
      <c r="AE42" s="194">
        <f t="shared" si="9"/>
        <v>-1.28000098534158</v>
      </c>
      <c r="AF42" s="195">
        <f t="shared" si="10"/>
        <v>-1.38046771307673</v>
      </c>
      <c r="AG42" s="196">
        <f t="shared" si="11"/>
        <v>-1.45107575588802</v>
      </c>
      <c r="AH42" s="101"/>
    </row>
    <row r="43" s="176" customFormat="1" ht="17.4" spans="1:34">
      <c r="A43" s="101"/>
      <c r="B43" s="187" t="s">
        <v>27</v>
      </c>
      <c r="C43" s="188"/>
      <c r="D43" s="189">
        <v>1.71479992371488</v>
      </c>
      <c r="E43" s="190"/>
      <c r="F43" s="189">
        <v>1.50018960429573</v>
      </c>
      <c r="G43" s="189">
        <v>1.79358017446563</v>
      </c>
      <c r="H43" s="190"/>
      <c r="I43" s="189">
        <v>1.58813686693717</v>
      </c>
      <c r="J43" s="189">
        <v>1.72128662075112</v>
      </c>
      <c r="K43" s="189">
        <v>1.74780955425726</v>
      </c>
      <c r="L43" s="189">
        <v>1.50309481132467</v>
      </c>
      <c r="M43" s="189">
        <v>1.10348400391607</v>
      </c>
      <c r="N43" s="188"/>
      <c r="O43" s="187" t="s">
        <v>27</v>
      </c>
      <c r="P43" s="188"/>
      <c r="Q43" s="189">
        <v>-1.7277171350295</v>
      </c>
      <c r="R43" s="190"/>
      <c r="S43" s="189">
        <v>-1.49147286478951</v>
      </c>
      <c r="T43" s="189">
        <v>-2.56858429557546</v>
      </c>
      <c r="U43" s="190"/>
      <c r="V43" s="189">
        <v>-1.89534764592424</v>
      </c>
      <c r="W43" s="189">
        <v>-2.09447454714762</v>
      </c>
      <c r="X43" s="189">
        <v>-1.97811394556044</v>
      </c>
      <c r="Y43" s="189">
        <v>-1.66619901792273</v>
      </c>
      <c r="Z43" s="189">
        <v>-1.02971283388508</v>
      </c>
      <c r="AA43" s="101"/>
      <c r="AB43" s="191">
        <f t="shared" si="6"/>
        <v>1.71479992371488</v>
      </c>
      <c r="AC43" s="192">
        <f t="shared" si="7"/>
        <v>1.64688488938068</v>
      </c>
      <c r="AD43" s="193">
        <f t="shared" si="8"/>
        <v>1.53276237143726</v>
      </c>
      <c r="AE43" s="194">
        <f t="shared" si="9"/>
        <v>-1.7277171350295</v>
      </c>
      <c r="AF43" s="195">
        <f t="shared" si="10"/>
        <v>-2.03002858018249</v>
      </c>
      <c r="AG43" s="196">
        <f t="shared" si="11"/>
        <v>-1.73276959808802</v>
      </c>
      <c r="AH43" s="101"/>
    </row>
    <row r="44" s="176" customFormat="1" ht="17.4" spans="1:34">
      <c r="A44" s="101"/>
      <c r="B44" s="187" t="s">
        <v>28</v>
      </c>
      <c r="C44" s="188"/>
      <c r="D44" s="189">
        <v>0.906871258632298</v>
      </c>
      <c r="E44" s="190"/>
      <c r="F44" s="189">
        <v>0.796300740407712</v>
      </c>
      <c r="G44" s="189">
        <v>0.686665860116334</v>
      </c>
      <c r="H44" s="190"/>
      <c r="I44" s="189">
        <v>0.443778437111582</v>
      </c>
      <c r="J44" s="189">
        <v>0.450487372586129</v>
      </c>
      <c r="K44" s="189">
        <v>0.478061421434978</v>
      </c>
      <c r="L44" s="189">
        <v>0.503200760493545</v>
      </c>
      <c r="M44" s="189">
        <v>0.883872131065642</v>
      </c>
      <c r="N44" s="188"/>
      <c r="O44" s="187" t="s">
        <v>28</v>
      </c>
      <c r="P44" s="188"/>
      <c r="Q44" s="189">
        <v>-0.925628180091058</v>
      </c>
      <c r="R44" s="190"/>
      <c r="S44" s="189">
        <v>-0.825510080276855</v>
      </c>
      <c r="T44" s="189">
        <v>-0.795065220569857</v>
      </c>
      <c r="U44" s="190"/>
      <c r="V44" s="189">
        <v>-0.494035443446836</v>
      </c>
      <c r="W44" s="189">
        <v>-0.517420369587628</v>
      </c>
      <c r="X44" s="189">
        <v>-0.542901056576915</v>
      </c>
      <c r="Y44" s="189">
        <v>-0.568340393250123</v>
      </c>
      <c r="Z44" s="189">
        <v>-0.884807654940918</v>
      </c>
      <c r="AA44" s="101"/>
      <c r="AB44" s="191">
        <f t="shared" si="6"/>
        <v>0.906871258632298</v>
      </c>
      <c r="AC44" s="192">
        <f t="shared" si="7"/>
        <v>0.741483300262023</v>
      </c>
      <c r="AD44" s="193">
        <f t="shared" si="8"/>
        <v>0.551880024538375</v>
      </c>
      <c r="AE44" s="194">
        <f t="shared" si="9"/>
        <v>-0.925628180091058</v>
      </c>
      <c r="AF44" s="195">
        <f t="shared" si="10"/>
        <v>-0.810287650423356</v>
      </c>
      <c r="AG44" s="196">
        <f t="shared" si="11"/>
        <v>-0.601500983560484</v>
      </c>
      <c r="AH44" s="101"/>
    </row>
    <row r="45" s="176" customFormat="1" ht="17.4" spans="1:34">
      <c r="A45" s="101"/>
      <c r="B45" s="187" t="s">
        <v>29</v>
      </c>
      <c r="C45" s="188"/>
      <c r="D45" s="189">
        <v>2.10694209240997</v>
      </c>
      <c r="E45" s="190"/>
      <c r="F45" s="189">
        <v>1.78150456669313</v>
      </c>
      <c r="G45" s="189">
        <v>2.86543093577761</v>
      </c>
      <c r="H45" s="190"/>
      <c r="I45" s="189">
        <v>1.47190319029401</v>
      </c>
      <c r="J45" s="189">
        <v>1.50644472156396</v>
      </c>
      <c r="K45" s="189">
        <v>1.36019405364204</v>
      </c>
      <c r="L45" s="189">
        <v>1.70495021236913</v>
      </c>
      <c r="M45" s="189">
        <v>1.41851387107982</v>
      </c>
      <c r="N45" s="188"/>
      <c r="O45" s="187" t="s">
        <v>29</v>
      </c>
      <c r="P45" s="188"/>
      <c r="Q45" s="189">
        <v>-2.17409696045578</v>
      </c>
      <c r="R45" s="190"/>
      <c r="S45" s="189">
        <v>-1.78891833196458</v>
      </c>
      <c r="T45" s="189">
        <v>-5.67714408318119</v>
      </c>
      <c r="U45" s="190"/>
      <c r="V45" s="189">
        <v>-2.30915397431625</v>
      </c>
      <c r="W45" s="189">
        <v>-2.5784902177579</v>
      </c>
      <c r="X45" s="189">
        <v>-1.94997627509415</v>
      </c>
      <c r="Y45" s="189">
        <v>-2.13051227958867</v>
      </c>
      <c r="Z45" s="189">
        <v>-1.26736672836858</v>
      </c>
      <c r="AA45" s="101"/>
      <c r="AB45" s="191">
        <f t="shared" si="6"/>
        <v>2.10694209240997</v>
      </c>
      <c r="AC45" s="192">
        <f t="shared" si="7"/>
        <v>2.32346775123537</v>
      </c>
      <c r="AD45" s="193">
        <f t="shared" si="8"/>
        <v>1.49240120978979</v>
      </c>
      <c r="AE45" s="194">
        <f t="shared" si="9"/>
        <v>-2.17409696045578</v>
      </c>
      <c r="AF45" s="195">
        <f t="shared" si="10"/>
        <v>-3.73303120757289</v>
      </c>
      <c r="AG45" s="196">
        <f t="shared" si="11"/>
        <v>-2.04709989502511</v>
      </c>
      <c r="AH45" s="101"/>
    </row>
    <row r="46" s="176" customFormat="1" ht="17.4" spans="1:34">
      <c r="A46" s="101"/>
      <c r="B46" s="187" t="s">
        <v>30</v>
      </c>
      <c r="C46" s="188"/>
      <c r="D46" s="189">
        <v>1.6373482754278</v>
      </c>
      <c r="E46" s="190"/>
      <c r="F46" s="189">
        <v>1.55466568629184</v>
      </c>
      <c r="G46" s="189">
        <v>1.37805796842435</v>
      </c>
      <c r="H46" s="190"/>
      <c r="I46" s="189">
        <v>1.44559977261102</v>
      </c>
      <c r="J46" s="189">
        <v>1.39937810473202</v>
      </c>
      <c r="K46" s="189">
        <v>1.51832438579369</v>
      </c>
      <c r="L46" s="189">
        <v>1.46515459562126</v>
      </c>
      <c r="M46" s="189">
        <v>1.4031902274572</v>
      </c>
      <c r="N46" s="188"/>
      <c r="O46" s="187" t="s">
        <v>30</v>
      </c>
      <c r="P46" s="188"/>
      <c r="Q46" s="189">
        <v>-1.57387557919017</v>
      </c>
      <c r="R46" s="190"/>
      <c r="S46" s="189">
        <v>-1.48902493474992</v>
      </c>
      <c r="T46" s="189">
        <v>-1.50982618190531</v>
      </c>
      <c r="U46" s="190"/>
      <c r="V46" s="189">
        <v>-1.46173374701925</v>
      </c>
      <c r="W46" s="189">
        <v>-1.44967450203162</v>
      </c>
      <c r="X46" s="189">
        <v>-1.53825715080296</v>
      </c>
      <c r="Y46" s="189">
        <v>-1.47334920000514</v>
      </c>
      <c r="Z46" s="189">
        <v>-1.32564504031321</v>
      </c>
      <c r="AA46" s="101"/>
      <c r="AB46" s="191">
        <f t="shared" si="6"/>
        <v>1.6373482754278</v>
      </c>
      <c r="AC46" s="192">
        <f t="shared" si="7"/>
        <v>1.46636182735809</v>
      </c>
      <c r="AD46" s="193">
        <f t="shared" si="8"/>
        <v>1.44632941724304</v>
      </c>
      <c r="AE46" s="194">
        <f t="shared" si="9"/>
        <v>-1.57387557919017</v>
      </c>
      <c r="AF46" s="195">
        <f t="shared" si="10"/>
        <v>-1.49942555832762</v>
      </c>
      <c r="AG46" s="196">
        <f t="shared" si="11"/>
        <v>-1.44973192803444</v>
      </c>
      <c r="AH46" s="101"/>
    </row>
    <row r="47" s="176" customFormat="1" ht="15.75" customHeight="1" spans="1:34">
      <c r="A47" s="101"/>
      <c r="B47" s="187" t="s">
        <v>31</v>
      </c>
      <c r="C47" s="188"/>
      <c r="D47" s="189">
        <v>1.92450319598669</v>
      </c>
      <c r="E47" s="190"/>
      <c r="F47" s="189">
        <v>1.82806128347314</v>
      </c>
      <c r="G47" s="189">
        <v>1.69473893842254</v>
      </c>
      <c r="H47" s="190"/>
      <c r="I47" s="189">
        <v>1.37594520760334</v>
      </c>
      <c r="J47" s="189">
        <v>1.28179673109268</v>
      </c>
      <c r="K47" s="189">
        <v>1.17854906963858</v>
      </c>
      <c r="L47" s="189">
        <v>1.14497873977944</v>
      </c>
      <c r="M47" s="189">
        <v>1.64793351737438</v>
      </c>
      <c r="N47" s="188"/>
      <c r="O47" s="187" t="s">
        <v>31</v>
      </c>
      <c r="P47" s="188"/>
      <c r="Q47" s="189">
        <v>-1.87119122390421</v>
      </c>
      <c r="R47" s="190"/>
      <c r="S47" s="189">
        <v>-1.76323109255124</v>
      </c>
      <c r="T47" s="189">
        <v>-1.94564602685718</v>
      </c>
      <c r="U47" s="190"/>
      <c r="V47" s="189">
        <v>-1.45557488505934</v>
      </c>
      <c r="W47" s="189">
        <v>-1.42302903011306</v>
      </c>
      <c r="X47" s="189">
        <v>-1.30156776099714</v>
      </c>
      <c r="Y47" s="189">
        <v>-1.25766629000989</v>
      </c>
      <c r="Z47" s="189">
        <v>-1.54401302769692</v>
      </c>
      <c r="AA47" s="101"/>
      <c r="AB47" s="191">
        <f t="shared" si="6"/>
        <v>1.92450319598669</v>
      </c>
      <c r="AC47" s="192">
        <f t="shared" si="7"/>
        <v>1.76140011094784</v>
      </c>
      <c r="AD47" s="193">
        <f t="shared" si="8"/>
        <v>1.32584065309769</v>
      </c>
      <c r="AE47" s="194">
        <f t="shared" si="9"/>
        <v>-1.87119122390421</v>
      </c>
      <c r="AF47" s="195">
        <f t="shared" si="10"/>
        <v>-1.85443855970421</v>
      </c>
      <c r="AG47" s="196">
        <f t="shared" si="11"/>
        <v>-1.39637019877527</v>
      </c>
      <c r="AH47" s="101"/>
    </row>
    <row r="48" s="173" customFormat="1" ht="9" customHeight="1" spans="1:34">
      <c r="A48" s="101"/>
      <c r="B48" s="150"/>
      <c r="C48" s="150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01"/>
      <c r="O48" s="150"/>
      <c r="P48" s="150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01"/>
      <c r="AB48" s="197"/>
      <c r="AC48" s="198"/>
      <c r="AD48" s="199"/>
      <c r="AE48" s="200"/>
      <c r="AF48" s="201"/>
      <c r="AG48" s="202"/>
      <c r="AH48" s="101"/>
    </row>
    <row r="49" s="96" customFormat="1" ht="9" customHeight="1" spans="1:34">
      <c r="AB49" s="178"/>
      <c r="AC49" s="178"/>
      <c r="AD49" s="178"/>
    </row>
    <row r="50" ht="29.55" spans="1:34">
      <c r="A50" s="179"/>
      <c r="B50" s="139" t="s">
        <v>291</v>
      </c>
      <c r="C50" s="99"/>
      <c r="D50" s="98" t="s">
        <v>271</v>
      </c>
      <c r="E50" s="180"/>
      <c r="F50" s="98" t="s">
        <v>272</v>
      </c>
      <c r="G50" s="98" t="s">
        <v>273</v>
      </c>
      <c r="H50" s="180"/>
      <c r="I50" s="98" t="s">
        <v>274</v>
      </c>
      <c r="J50" s="98" t="s">
        <v>275</v>
      </c>
      <c r="K50" s="98" t="s">
        <v>276</v>
      </c>
      <c r="L50" s="98" t="s">
        <v>277</v>
      </c>
      <c r="M50" s="98" t="s">
        <v>278</v>
      </c>
      <c r="N50" s="101"/>
      <c r="O50" s="139" t="s">
        <v>292</v>
      </c>
      <c r="P50" s="99"/>
      <c r="Q50" s="98" t="s">
        <v>271</v>
      </c>
      <c r="R50" s="180"/>
      <c r="S50" s="98" t="s">
        <v>272</v>
      </c>
      <c r="T50" s="98" t="s">
        <v>273</v>
      </c>
      <c r="U50" s="180"/>
      <c r="V50" s="98" t="s">
        <v>274</v>
      </c>
      <c r="W50" s="98" t="s">
        <v>275</v>
      </c>
      <c r="X50" s="98" t="s">
        <v>276</v>
      </c>
      <c r="Y50" s="98" t="s">
        <v>277</v>
      </c>
      <c r="Z50" s="98" t="s">
        <v>278</v>
      </c>
      <c r="AA50" s="179"/>
      <c r="AB50" s="181" t="s">
        <v>293</v>
      </c>
      <c r="AC50" s="182" t="s">
        <v>294</v>
      </c>
      <c r="AD50" s="183" t="s">
        <v>295</v>
      </c>
      <c r="AE50" s="181" t="s">
        <v>296</v>
      </c>
      <c r="AF50" s="182" t="s">
        <v>297</v>
      </c>
      <c r="AG50" s="183" t="s">
        <v>298</v>
      </c>
      <c r="AH50" s="179"/>
    </row>
    <row r="51" s="173" customFormat="1" ht="9" customHeight="1" spans="1:34">
      <c r="A51" s="101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101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101"/>
      <c r="AB51" s="185"/>
      <c r="AC51" s="185"/>
      <c r="AD51" s="185"/>
      <c r="AE51" s="185"/>
      <c r="AF51" s="185"/>
      <c r="AG51" s="185"/>
      <c r="AH51" s="101"/>
    </row>
    <row r="52" s="176" customFormat="1" spans="1:34">
      <c r="A52" s="101"/>
      <c r="B52" s="144" t="s">
        <v>12</v>
      </c>
      <c r="C52" s="101"/>
      <c r="D52" s="203">
        <f>D28/D4-1</f>
        <v>-0.352819302870726</v>
      </c>
      <c r="E52" s="204"/>
      <c r="F52" s="203">
        <f>F28/F4-1</f>
        <v>-0.273327557379865</v>
      </c>
      <c r="G52" s="203">
        <f t="shared" ref="G52:M52" si="12">G28/G4-1</f>
        <v>-0.205333932973922</v>
      </c>
      <c r="H52" s="204"/>
      <c r="I52" s="203">
        <f t="shared" si="12"/>
        <v>-0.0484703536845742</v>
      </c>
      <c r="J52" s="203">
        <f t="shared" si="12"/>
        <v>-0.0829221942606243</v>
      </c>
      <c r="K52" s="203">
        <f t="shared" si="12"/>
        <v>0.220911376449068</v>
      </c>
      <c r="L52" s="203">
        <f t="shared" si="12"/>
        <v>-0.102578916942618</v>
      </c>
      <c r="M52" s="203">
        <f t="shared" si="12"/>
        <v>-0.11088209881667</v>
      </c>
      <c r="N52" s="101"/>
      <c r="O52" s="144" t="s">
        <v>12</v>
      </c>
      <c r="P52" s="101"/>
      <c r="Q52" s="203">
        <f>Q28/Q4-1</f>
        <v>-0.333807531200404</v>
      </c>
      <c r="R52" s="204"/>
      <c r="S52" s="203">
        <f>S28/S4-1</f>
        <v>-0.264374372343676</v>
      </c>
      <c r="T52" s="203">
        <f t="shared" ref="T52:Z52" si="13">T28/T4-1</f>
        <v>-0.175540060172839</v>
      </c>
      <c r="U52" s="204"/>
      <c r="V52" s="203">
        <f t="shared" si="13"/>
        <v>-0.0446791883883255</v>
      </c>
      <c r="W52" s="203">
        <f t="shared" si="13"/>
        <v>-0.0649743481230458</v>
      </c>
      <c r="X52" s="203">
        <f t="shared" si="13"/>
        <v>0.143471215159961</v>
      </c>
      <c r="Y52" s="203">
        <f t="shared" si="13"/>
        <v>-0.0984061006169421</v>
      </c>
      <c r="Z52" s="203">
        <f t="shared" si="13"/>
        <v>-0.0601201105856541</v>
      </c>
      <c r="AA52" s="101"/>
      <c r="AB52" s="205">
        <f t="shared" ref="AB52:AG52" si="14">AB28/AB4-1</f>
        <v>-0.352819302870726</v>
      </c>
      <c r="AC52" s="205">
        <f t="shared" si="14"/>
        <v>-0.233312258854379</v>
      </c>
      <c r="AD52" s="205">
        <f t="shared" si="14"/>
        <v>-0.0263607028121337</v>
      </c>
      <c r="AE52" s="203">
        <f t="shared" si="14"/>
        <v>-0.333807531200404</v>
      </c>
      <c r="AF52" s="203">
        <f t="shared" si="14"/>
        <v>-0.211656928193094</v>
      </c>
      <c r="AG52" s="203">
        <f t="shared" si="14"/>
        <v>-0.0258262916333125</v>
      </c>
      <c r="AH52" s="101"/>
    </row>
    <row r="53" s="176" customFormat="1" spans="1:34">
      <c r="A53" s="101"/>
      <c r="B53" s="144" t="s">
        <v>13</v>
      </c>
      <c r="C53" s="101"/>
      <c r="D53" s="203">
        <f t="shared" ref="D53" si="15">D29/D5-1</f>
        <v>0.0674274592303961</v>
      </c>
      <c r="E53" s="204"/>
      <c r="F53" s="203">
        <f t="shared" ref="F53:M53" si="16">F29/F5-1</f>
        <v>0.145917671422635</v>
      </c>
      <c r="G53" s="203">
        <f t="shared" si="16"/>
        <v>-0.0333782606922238</v>
      </c>
      <c r="H53" s="204"/>
      <c r="I53" s="203">
        <f t="shared" si="16"/>
        <v>-0.147334128229162</v>
      </c>
      <c r="J53" s="203">
        <f t="shared" si="16"/>
        <v>-0.0732645931792937</v>
      </c>
      <c r="K53" s="203">
        <f t="shared" si="16"/>
        <v>-0.0836682254605327</v>
      </c>
      <c r="L53" s="203">
        <f t="shared" si="16"/>
        <v>0.166570497219449</v>
      </c>
      <c r="M53" s="203">
        <f t="shared" si="16"/>
        <v>0.109854001521886</v>
      </c>
      <c r="N53" s="101"/>
      <c r="O53" s="144" t="s">
        <v>13</v>
      </c>
      <c r="P53" s="101"/>
      <c r="Q53" s="203">
        <f t="shared" ref="Q53:Q71" si="17">Q29/Q5-1</f>
        <v>0.0611303765137687</v>
      </c>
      <c r="R53" s="204"/>
      <c r="S53" s="203">
        <f t="shared" ref="S53:Z53" si="18">S29/S5-1</f>
        <v>0.166497072899156</v>
      </c>
      <c r="T53" s="203">
        <f t="shared" si="18"/>
        <v>-0.0999828427171768</v>
      </c>
      <c r="U53" s="204"/>
      <c r="V53" s="203">
        <f t="shared" si="18"/>
        <v>-0.142065101604227</v>
      </c>
      <c r="W53" s="203">
        <f t="shared" si="18"/>
        <v>-0.0178304574807947</v>
      </c>
      <c r="X53" s="203">
        <f t="shared" si="18"/>
        <v>-0.268874423341555</v>
      </c>
      <c r="Y53" s="203">
        <f t="shared" si="18"/>
        <v>0.000472452092922016</v>
      </c>
      <c r="Z53" s="203">
        <f t="shared" si="18"/>
        <v>3.4574247241538</v>
      </c>
      <c r="AA53" s="101"/>
      <c r="AB53" s="205">
        <f t="shared" ref="AB53:AG53" si="19">AB29/AB5-1</f>
        <v>0.0674274592303961</v>
      </c>
      <c r="AC53" s="205">
        <f t="shared" si="19"/>
        <v>0.0505222011475392</v>
      </c>
      <c r="AD53" s="205">
        <f t="shared" si="19"/>
        <v>-0.0183978838760868</v>
      </c>
      <c r="AE53" s="203">
        <f t="shared" si="19"/>
        <v>0.0611303765137687</v>
      </c>
      <c r="AF53" s="203">
        <f t="shared" si="19"/>
        <v>-0.0145473373343585</v>
      </c>
      <c r="AG53" s="203">
        <f t="shared" si="19"/>
        <v>-0.0218190409775615</v>
      </c>
      <c r="AH53" s="101"/>
    </row>
    <row r="54" s="176" customFormat="1" spans="1:34">
      <c r="A54" s="101"/>
      <c r="B54" s="144" t="s">
        <v>14</v>
      </c>
      <c r="C54" s="101"/>
      <c r="D54" s="203">
        <f t="shared" ref="D54" si="20">D30/D6-1</f>
        <v>-0.664569402537325</v>
      </c>
      <c r="E54" s="204"/>
      <c r="F54" s="203">
        <f t="shared" ref="F54:M54" si="21">F30/F6-1</f>
        <v>-0.577737381710979</v>
      </c>
      <c r="G54" s="203">
        <f t="shared" si="21"/>
        <v>-0.0631128940199942</v>
      </c>
      <c r="H54" s="204"/>
      <c r="I54" s="203">
        <f t="shared" si="21"/>
        <v>-0.21747412084156</v>
      </c>
      <c r="J54" s="203">
        <f t="shared" si="21"/>
        <v>0.00759461061560818</v>
      </c>
      <c r="K54" s="203">
        <f t="shared" si="21"/>
        <v>-0.0767396225039271</v>
      </c>
      <c r="L54" s="203">
        <f t="shared" si="21"/>
        <v>-0.0402787058991328</v>
      </c>
      <c r="M54" s="203">
        <f t="shared" si="21"/>
        <v>-0.0600668488917731</v>
      </c>
      <c r="N54" s="101"/>
      <c r="O54" s="144" t="s">
        <v>14</v>
      </c>
      <c r="P54" s="101"/>
      <c r="Q54" s="203">
        <f t="shared" si="17"/>
        <v>0.0323334257019321</v>
      </c>
      <c r="R54" s="204"/>
      <c r="S54" s="203">
        <f t="shared" ref="S54:Z54" si="22">S30/S6-1</f>
        <v>1.05868891837873</v>
      </c>
      <c r="T54" s="203">
        <f t="shared" si="22"/>
        <v>-0.163577473099747</v>
      </c>
      <c r="U54" s="204"/>
      <c r="V54" s="203">
        <f t="shared" si="22"/>
        <v>-0.271545835335659</v>
      </c>
      <c r="W54" s="203">
        <f t="shared" si="22"/>
        <v>0.273911936803899</v>
      </c>
      <c r="X54" s="203">
        <f t="shared" si="22"/>
        <v>-0.404332286597483</v>
      </c>
      <c r="Y54" s="203">
        <f t="shared" si="22"/>
        <v>-0.0815378476972198</v>
      </c>
      <c r="Z54" s="203">
        <f t="shared" si="22"/>
        <v>-0.495549527689766</v>
      </c>
      <c r="AA54" s="101"/>
      <c r="AB54" s="205">
        <f t="shared" ref="AB54:AG54" si="23">AB30/AB6-1</f>
        <v>-0.664569402537325</v>
      </c>
      <c r="AC54" s="205">
        <f t="shared" si="23"/>
        <v>-0.268726283348534</v>
      </c>
      <c r="AD54" s="205">
        <f t="shared" si="23"/>
        <v>-0.087703723240582</v>
      </c>
      <c r="AE54" s="203">
        <f t="shared" si="23"/>
        <v>0.0323334257019321</v>
      </c>
      <c r="AF54" s="203">
        <f t="shared" si="23"/>
        <v>-0.0941581860586331</v>
      </c>
      <c r="AG54" s="203">
        <f t="shared" si="23"/>
        <v>0.459567671526407</v>
      </c>
      <c r="AH54" s="101"/>
    </row>
    <row r="55" s="176" customFormat="1" spans="1:34">
      <c r="A55" s="101"/>
      <c r="B55" s="144" t="s">
        <v>15</v>
      </c>
      <c r="C55" s="101"/>
      <c r="D55" s="203">
        <f t="shared" ref="D55" si="24">D31/D7-1</f>
        <v>0.120993885991701</v>
      </c>
      <c r="E55" s="204"/>
      <c r="F55" s="203">
        <f t="shared" ref="F55:M55" si="25">F31/F7-1</f>
        <v>0.116254673351313</v>
      </c>
      <c r="G55" s="203">
        <f t="shared" si="25"/>
        <v>0.0221790011742671</v>
      </c>
      <c r="H55" s="204"/>
      <c r="I55" s="203">
        <f t="shared" si="25"/>
        <v>-0.00519579654592406</v>
      </c>
      <c r="J55" s="203">
        <f t="shared" si="25"/>
        <v>-0.0620104680849157</v>
      </c>
      <c r="K55" s="203">
        <f t="shared" si="25"/>
        <v>0.428379735767563</v>
      </c>
      <c r="L55" s="203">
        <f t="shared" si="25"/>
        <v>-0.0297135862827184</v>
      </c>
      <c r="M55" s="203">
        <f t="shared" si="25"/>
        <v>0.583980225897166</v>
      </c>
      <c r="N55" s="101"/>
      <c r="O55" s="144" t="s">
        <v>15</v>
      </c>
      <c r="P55" s="101"/>
      <c r="Q55" s="203">
        <f t="shared" si="17"/>
        <v>0.092666728649115</v>
      </c>
      <c r="R55" s="204"/>
      <c r="S55" s="203">
        <f t="shared" ref="S55:Z55" si="26">S31/S7-1</f>
        <v>0.0973608429501562</v>
      </c>
      <c r="T55" s="203">
        <f t="shared" si="26"/>
        <v>0.0079948156429297</v>
      </c>
      <c r="U55" s="204"/>
      <c r="V55" s="203">
        <f t="shared" si="26"/>
        <v>-0.00576663699657598</v>
      </c>
      <c r="W55" s="203">
        <f t="shared" si="26"/>
        <v>-0.0454279460277228</v>
      </c>
      <c r="X55" s="203">
        <f t="shared" si="26"/>
        <v>0.287938602691802</v>
      </c>
      <c r="Y55" s="203">
        <f t="shared" si="26"/>
        <v>-0.0377936914882979</v>
      </c>
      <c r="Z55" s="203">
        <f t="shared" si="26"/>
        <v>0.67848682181873</v>
      </c>
      <c r="AA55" s="101"/>
      <c r="AB55" s="205">
        <f t="shared" ref="AB55:AG55" si="27">AB31/AB7-1</f>
        <v>0.120993885991701</v>
      </c>
      <c r="AC55" s="205">
        <f t="shared" si="27"/>
        <v>0.0601347324155754</v>
      </c>
      <c r="AD55" s="205">
        <f t="shared" si="27"/>
        <v>0.0995197626956292</v>
      </c>
      <c r="AE55" s="203">
        <f t="shared" si="27"/>
        <v>0.092666728649115</v>
      </c>
      <c r="AF55" s="203">
        <f t="shared" si="27"/>
        <v>0.0436885468887349</v>
      </c>
      <c r="AG55" s="203">
        <f t="shared" si="27"/>
        <v>0.0882727806263761</v>
      </c>
      <c r="AH55" s="101"/>
    </row>
    <row r="56" s="176" customFormat="1" spans="1:34">
      <c r="A56" s="101"/>
      <c r="B56" s="144" t="s">
        <v>16</v>
      </c>
      <c r="C56" s="101"/>
      <c r="D56" s="203">
        <f t="shared" ref="D56" si="28">D32/D8-1</f>
        <v>0.198717152412542</v>
      </c>
      <c r="E56" s="204"/>
      <c r="F56" s="203">
        <f t="shared" ref="F56:M56" si="29">F32/F8-1</f>
        <v>0.240085786217404</v>
      </c>
      <c r="G56" s="203">
        <f t="shared" si="29"/>
        <v>0.149199716410624</v>
      </c>
      <c r="H56" s="204"/>
      <c r="I56" s="203">
        <f t="shared" si="29"/>
        <v>0.0789626838484929</v>
      </c>
      <c r="J56" s="203">
        <f t="shared" si="29"/>
        <v>-0.049612139778287</v>
      </c>
      <c r="K56" s="203">
        <f t="shared" si="29"/>
        <v>-0.0263026026720979</v>
      </c>
      <c r="L56" s="203">
        <f t="shared" si="29"/>
        <v>-0.0846699284529389</v>
      </c>
      <c r="M56" s="203">
        <f t="shared" si="29"/>
        <v>0.571432592278073</v>
      </c>
      <c r="N56" s="101"/>
      <c r="O56" s="144" t="s">
        <v>16</v>
      </c>
      <c r="P56" s="101"/>
      <c r="Q56" s="203">
        <f t="shared" si="17"/>
        <v>0.185716675507321</v>
      </c>
      <c r="R56" s="204"/>
      <c r="S56" s="203">
        <f t="shared" ref="S56:Z56" si="30">S32/S8-1</f>
        <v>0.23374786321585</v>
      </c>
      <c r="T56" s="203">
        <f t="shared" si="30"/>
        <v>0.109520287366706</v>
      </c>
      <c r="U56" s="204"/>
      <c r="V56" s="203">
        <f t="shared" si="30"/>
        <v>0.0486685765511872</v>
      </c>
      <c r="W56" s="203">
        <f t="shared" si="30"/>
        <v>-0.0366737973503248</v>
      </c>
      <c r="X56" s="203">
        <f t="shared" si="30"/>
        <v>-0.127206526649056</v>
      </c>
      <c r="Y56" s="203">
        <f t="shared" si="30"/>
        <v>-0.105366250296564</v>
      </c>
      <c r="Z56" s="203">
        <f t="shared" si="30"/>
        <v>0.853810528437058</v>
      </c>
      <c r="AA56" s="101"/>
      <c r="AB56" s="205">
        <f t="shared" ref="AB56:AG56" si="31">AB32/AB8-1</f>
        <v>0.198717152412542</v>
      </c>
      <c r="AC56" s="205">
        <f t="shared" si="31"/>
        <v>0.194794843516216</v>
      </c>
      <c r="AD56" s="205">
        <f t="shared" si="31"/>
        <v>0.0633048336134827</v>
      </c>
      <c r="AE56" s="203">
        <f t="shared" si="31"/>
        <v>0.185716675507321</v>
      </c>
      <c r="AF56" s="203">
        <f t="shared" si="31"/>
        <v>0.166002414858229</v>
      </c>
      <c r="AG56" s="203">
        <f t="shared" si="31"/>
        <v>0.0417343270353976</v>
      </c>
      <c r="AH56" s="101"/>
    </row>
    <row r="57" s="176" customFormat="1" spans="1:34">
      <c r="A57" s="101"/>
      <c r="B57" s="144" t="s">
        <v>17</v>
      </c>
      <c r="C57" s="101"/>
      <c r="D57" s="203">
        <f t="shared" ref="D57" si="32">D33/D9-1</f>
        <v>0.346349954254342</v>
      </c>
      <c r="E57" s="204"/>
      <c r="F57" s="203">
        <f t="shared" ref="F57:M57" si="33">F33/F9-1</f>
        <v>0.42683218667285</v>
      </c>
      <c r="G57" s="203">
        <f t="shared" si="33"/>
        <v>0.257618232797387</v>
      </c>
      <c r="H57" s="204"/>
      <c r="I57" s="203">
        <f t="shared" si="33"/>
        <v>0.0605872840995474</v>
      </c>
      <c r="J57" s="203">
        <f t="shared" si="33"/>
        <v>0.3927656081353</v>
      </c>
      <c r="K57" s="203">
        <f t="shared" si="33"/>
        <v>-0.0394568093937557</v>
      </c>
      <c r="L57" s="203">
        <f t="shared" si="33"/>
        <v>0.0811486337430909</v>
      </c>
      <c r="M57" s="203">
        <f t="shared" si="33"/>
        <v>0.624898116290464</v>
      </c>
      <c r="N57" s="101"/>
      <c r="O57" s="144" t="s">
        <v>17</v>
      </c>
      <c r="P57" s="101"/>
      <c r="Q57" s="203">
        <f t="shared" si="17"/>
        <v>0.31716157475736</v>
      </c>
      <c r="R57" s="204"/>
      <c r="S57" s="203">
        <f t="shared" ref="S57:Z57" si="34">S33/S9-1</f>
        <v>0.417883335297155</v>
      </c>
      <c r="T57" s="203">
        <f t="shared" si="34"/>
        <v>0.14767383037831</v>
      </c>
      <c r="U57" s="204"/>
      <c r="V57" s="203">
        <f t="shared" si="34"/>
        <v>0.0374464151681009</v>
      </c>
      <c r="W57" s="203">
        <f t="shared" si="34"/>
        <v>0.346108457000763</v>
      </c>
      <c r="X57" s="203">
        <f t="shared" si="34"/>
        <v>-0.11986368472635</v>
      </c>
      <c r="Y57" s="203">
        <f t="shared" si="34"/>
        <v>0.0183154552443749</v>
      </c>
      <c r="Z57" s="203">
        <f t="shared" si="34"/>
        <v>1.68917478191298</v>
      </c>
      <c r="AA57" s="101"/>
      <c r="AB57" s="205">
        <f t="shared" ref="AB57:AG57" si="35">AB33/AB9-1</f>
        <v>0.346349954254342</v>
      </c>
      <c r="AC57" s="205">
        <f t="shared" si="35"/>
        <v>0.328243629933967</v>
      </c>
      <c r="AD57" s="205">
        <f t="shared" si="35"/>
        <v>0.160492286397569</v>
      </c>
      <c r="AE57" s="203">
        <f t="shared" si="35"/>
        <v>0.31716157475736</v>
      </c>
      <c r="AF57" s="203">
        <f t="shared" si="35"/>
        <v>0.24701288603788</v>
      </c>
      <c r="AG57" s="203">
        <f t="shared" si="35"/>
        <v>0.144656170578311</v>
      </c>
      <c r="AH57" s="101"/>
    </row>
    <row r="58" s="176" customFormat="1" spans="1:34">
      <c r="A58" s="101"/>
      <c r="B58" s="144" t="s">
        <v>18</v>
      </c>
      <c r="C58" s="101"/>
      <c r="D58" s="203">
        <f t="shared" ref="D58" si="36">D34/D10-1</f>
        <v>-0.00473822227656229</v>
      </c>
      <c r="E58" s="204"/>
      <c r="F58" s="203">
        <f t="shared" ref="F58:M58" si="37">F34/F10-1</f>
        <v>-0.00640752383543097</v>
      </c>
      <c r="G58" s="203">
        <f t="shared" si="37"/>
        <v>0.0312024033367417</v>
      </c>
      <c r="H58" s="204"/>
      <c r="I58" s="203">
        <f t="shared" si="37"/>
        <v>-0.141439905405888</v>
      </c>
      <c r="J58" s="203">
        <f t="shared" si="37"/>
        <v>0.473762398266701</v>
      </c>
      <c r="K58" s="203">
        <f t="shared" si="37"/>
        <v>-0.150157674534275</v>
      </c>
      <c r="L58" s="203">
        <f t="shared" si="37"/>
        <v>0.265993525506423</v>
      </c>
      <c r="M58" s="203">
        <f t="shared" si="37"/>
        <v>-0.0903491593263873</v>
      </c>
      <c r="N58" s="101"/>
      <c r="O58" s="144" t="s">
        <v>18</v>
      </c>
      <c r="P58" s="101"/>
      <c r="Q58" s="203">
        <f t="shared" si="17"/>
        <v>0.0306467611851204</v>
      </c>
      <c r="R58" s="204"/>
      <c r="S58" s="203">
        <f t="shared" ref="S58:Z58" si="38">S34/S10-1</f>
        <v>0.0288697123892945</v>
      </c>
      <c r="T58" s="203">
        <f t="shared" si="38"/>
        <v>0.102849309001129</v>
      </c>
      <c r="U58" s="204"/>
      <c r="V58" s="203">
        <f t="shared" si="38"/>
        <v>-0.112134986318894</v>
      </c>
      <c r="W58" s="203">
        <f t="shared" si="38"/>
        <v>0.472012197057591</v>
      </c>
      <c r="X58" s="203">
        <f t="shared" si="38"/>
        <v>-0.168497496888648</v>
      </c>
      <c r="Y58" s="203">
        <f t="shared" si="38"/>
        <v>0.1987340551874</v>
      </c>
      <c r="Z58" s="203">
        <f t="shared" si="38"/>
        <v>-0.0247724618222437</v>
      </c>
      <c r="AA58" s="101"/>
      <c r="AB58" s="205">
        <f t="shared" ref="AB58:AG58" si="39">AB34/AB10-1</f>
        <v>-0.00473822227656229</v>
      </c>
      <c r="AC58" s="205">
        <f t="shared" si="39"/>
        <v>0.0118630264417401</v>
      </c>
      <c r="AD58" s="205">
        <f t="shared" si="39"/>
        <v>0.0419687798068979</v>
      </c>
      <c r="AE58" s="203">
        <f t="shared" si="39"/>
        <v>0.0306467611851204</v>
      </c>
      <c r="AF58" s="203">
        <f t="shared" si="39"/>
        <v>0.0669232119756369</v>
      </c>
      <c r="AG58" s="203">
        <f t="shared" si="39"/>
        <v>0.0524742208582618</v>
      </c>
      <c r="AH58" s="101"/>
    </row>
    <row r="59" s="176" customFormat="1" spans="1:34">
      <c r="A59" s="101"/>
      <c r="B59" s="144" t="s">
        <v>19</v>
      </c>
      <c r="C59" s="101"/>
      <c r="D59" s="203">
        <f t="shared" ref="D59" si="40">D35/D11-1</f>
        <v>0.0887494728659084</v>
      </c>
      <c r="E59" s="204"/>
      <c r="F59" s="203">
        <f t="shared" ref="F59:M59" si="41">F35/F11-1</f>
        <v>0.0499045595221781</v>
      </c>
      <c r="G59" s="203">
        <f t="shared" si="41"/>
        <v>0.365132564144912</v>
      </c>
      <c r="H59" s="204"/>
      <c r="I59" s="203">
        <f t="shared" si="41"/>
        <v>0.3385293055254</v>
      </c>
      <c r="J59" s="203">
        <f t="shared" si="41"/>
        <v>-0.183934209320892</v>
      </c>
      <c r="K59" s="203">
        <f t="shared" si="41"/>
        <v>-0.193588072372877</v>
      </c>
      <c r="L59" s="203">
        <f t="shared" si="41"/>
        <v>-0.00965161403341053</v>
      </c>
      <c r="M59" s="203">
        <f t="shared" si="41"/>
        <v>-0.000329218857922475</v>
      </c>
      <c r="N59" s="101"/>
      <c r="O59" s="144" t="s">
        <v>19</v>
      </c>
      <c r="P59" s="101"/>
      <c r="Q59" s="203">
        <f t="shared" si="17"/>
        <v>0.094134337699139</v>
      </c>
      <c r="R59" s="204"/>
      <c r="S59" s="203">
        <f t="shared" ref="S59:Z59" si="42">S35/S11-1</f>
        <v>0.0679165347471151</v>
      </c>
      <c r="T59" s="203">
        <f t="shared" si="42"/>
        <v>0.308562174586612</v>
      </c>
      <c r="U59" s="204"/>
      <c r="V59" s="203">
        <f t="shared" si="42"/>
        <v>0.291908065050207</v>
      </c>
      <c r="W59" s="203">
        <f t="shared" si="42"/>
        <v>0.00413686443908912</v>
      </c>
      <c r="X59" s="203">
        <f t="shared" si="42"/>
        <v>-0.311667095442998</v>
      </c>
      <c r="Y59" s="203">
        <f t="shared" si="42"/>
        <v>-0.108047060236934</v>
      </c>
      <c r="Z59" s="203">
        <f t="shared" si="42"/>
        <v>0.61205132434349</v>
      </c>
      <c r="AA59" s="101"/>
      <c r="AB59" s="205">
        <f t="shared" ref="AB59:AG59" si="43">AB35/AB11-1</f>
        <v>0.0887494728659084</v>
      </c>
      <c r="AC59" s="205">
        <f t="shared" si="43"/>
        <v>0.201743034089054</v>
      </c>
      <c r="AD59" s="205">
        <f t="shared" si="43"/>
        <v>-0.0197057463084832</v>
      </c>
      <c r="AE59" s="203">
        <f t="shared" si="43"/>
        <v>0.094134337699139</v>
      </c>
      <c r="AF59" s="203">
        <f t="shared" si="43"/>
        <v>0.21126359406189</v>
      </c>
      <c r="AG59" s="203">
        <f t="shared" si="43"/>
        <v>-0.0188126122747971</v>
      </c>
      <c r="AH59" s="101"/>
    </row>
    <row r="60" s="176" customFormat="1" spans="1:34">
      <c r="A60" s="101"/>
      <c r="B60" s="144" t="s">
        <v>20</v>
      </c>
      <c r="C60" s="101"/>
      <c r="D60" s="203">
        <f t="shared" ref="D60" si="44">D36/D12-1</f>
        <v>-0.33689220065972</v>
      </c>
      <c r="E60" s="204"/>
      <c r="F60" s="203">
        <f t="shared" ref="F60:M60" si="45">F36/F12-1</f>
        <v>-0.350784361229112</v>
      </c>
      <c r="G60" s="203">
        <f t="shared" si="45"/>
        <v>-0.107756730140002</v>
      </c>
      <c r="H60" s="204"/>
      <c r="I60" s="203">
        <f t="shared" si="45"/>
        <v>0.0635108646815865</v>
      </c>
      <c r="J60" s="203">
        <f t="shared" si="45"/>
        <v>0.467913187758325</v>
      </c>
      <c r="K60" s="203">
        <f t="shared" si="45"/>
        <v>0.992273615180549</v>
      </c>
      <c r="L60" s="203">
        <f t="shared" si="45"/>
        <v>0.563026612180821</v>
      </c>
      <c r="M60" s="203">
        <f t="shared" si="45"/>
        <v>-0.467535464144199</v>
      </c>
      <c r="N60" s="101"/>
      <c r="O60" s="144" t="s">
        <v>20</v>
      </c>
      <c r="P60" s="101"/>
      <c r="Q60" s="203">
        <f t="shared" si="17"/>
        <v>-0.306305141451783</v>
      </c>
      <c r="R60" s="204"/>
      <c r="S60" s="203">
        <f t="shared" ref="S60:Z60" si="46">S36/S12-1</f>
        <v>-0.322293467436308</v>
      </c>
      <c r="T60" s="203">
        <f t="shared" si="46"/>
        <v>-0.0576167518081304</v>
      </c>
      <c r="U60" s="204"/>
      <c r="V60" s="203">
        <f t="shared" si="46"/>
        <v>0.0657585581435054</v>
      </c>
      <c r="W60" s="203">
        <f t="shared" si="46"/>
        <v>0.465689263671226</v>
      </c>
      <c r="X60" s="203">
        <f t="shared" si="46"/>
        <v>0.58612429911913</v>
      </c>
      <c r="Y60" s="203">
        <f t="shared" si="46"/>
        <v>0.411190110519873</v>
      </c>
      <c r="Z60" s="203">
        <f t="shared" si="46"/>
        <v>-0.432355367186365</v>
      </c>
      <c r="AA60" s="101"/>
      <c r="AB60" s="205">
        <f t="shared" ref="AB60:AG60" si="47">AB36/AB12-1</f>
        <v>-0.33689220065972</v>
      </c>
      <c r="AC60" s="205">
        <f t="shared" si="47"/>
        <v>-0.244610039061417</v>
      </c>
      <c r="AD60" s="205">
        <f t="shared" si="47"/>
        <v>0.127783704218804</v>
      </c>
      <c r="AE60" s="203">
        <f t="shared" si="47"/>
        <v>-0.306305141451783</v>
      </c>
      <c r="AF60" s="203">
        <f t="shared" si="47"/>
        <v>-0.197587423675951</v>
      </c>
      <c r="AG60" s="203">
        <f t="shared" si="47"/>
        <v>0.127161960940219</v>
      </c>
      <c r="AH60" s="101"/>
    </row>
    <row r="61" s="176" customFormat="1" spans="1:34">
      <c r="A61" s="101"/>
      <c r="B61" s="144" t="s">
        <v>21</v>
      </c>
      <c r="C61" s="101"/>
      <c r="D61" s="203">
        <f t="shared" ref="D61" si="48">D37/D13-1</f>
        <v>0.0454704219786823</v>
      </c>
      <c r="E61" s="204"/>
      <c r="F61" s="203">
        <f t="shared" ref="F61:M61" si="49">F37/F13-1</f>
        <v>-0.120193146298498</v>
      </c>
      <c r="G61" s="203">
        <f t="shared" si="49"/>
        <v>-0.198879890585306</v>
      </c>
      <c r="H61" s="204"/>
      <c r="I61" s="203">
        <f t="shared" si="49"/>
        <v>-0.202930688443836</v>
      </c>
      <c r="J61" s="203">
        <f t="shared" si="49"/>
        <v>-0.134649945092914</v>
      </c>
      <c r="K61" s="203">
        <f t="shared" si="49"/>
        <v>0.285951835986754</v>
      </c>
      <c r="L61" s="203">
        <f t="shared" si="49"/>
        <v>-0.156153838319379</v>
      </c>
      <c r="M61" s="203">
        <f t="shared" si="49"/>
        <v>0.144575277973787</v>
      </c>
      <c r="N61" s="101"/>
      <c r="O61" s="144" t="s">
        <v>21</v>
      </c>
      <c r="P61" s="101"/>
      <c r="Q61" s="203">
        <f t="shared" si="17"/>
        <v>0.0387741806085022</v>
      </c>
      <c r="R61" s="204"/>
      <c r="S61" s="203">
        <f t="shared" ref="S61:Z61" si="50">S37/S13-1</f>
        <v>-0.098260887991682</v>
      </c>
      <c r="T61" s="203">
        <f t="shared" si="50"/>
        <v>-0.082733433281043</v>
      </c>
      <c r="U61" s="204"/>
      <c r="V61" s="203">
        <f t="shared" si="50"/>
        <v>-0.188611761761284</v>
      </c>
      <c r="W61" s="203">
        <f t="shared" si="50"/>
        <v>-0.0902039693007947</v>
      </c>
      <c r="X61" s="203">
        <f t="shared" si="50"/>
        <v>0.0251527397261277</v>
      </c>
      <c r="Y61" s="203">
        <f t="shared" si="50"/>
        <v>-0.19865968359413</v>
      </c>
      <c r="Z61" s="203">
        <f t="shared" si="50"/>
        <v>10.1273323275549</v>
      </c>
      <c r="AA61" s="101"/>
      <c r="AB61" s="205">
        <f t="shared" ref="AB61:AG61" si="51">AB37/AB13-1</f>
        <v>0.0454704219786823</v>
      </c>
      <c r="AC61" s="205">
        <f t="shared" si="51"/>
        <v>-0.165020816446237</v>
      </c>
      <c r="AD61" s="205">
        <f t="shared" si="51"/>
        <v>-0.0464212515188581</v>
      </c>
      <c r="AE61" s="203">
        <f t="shared" si="51"/>
        <v>0.0387741806085022</v>
      </c>
      <c r="AF61" s="203">
        <f t="shared" si="51"/>
        <v>-0.0882090005487187</v>
      </c>
      <c r="AG61" s="203">
        <f t="shared" si="51"/>
        <v>-0.0111643035628691</v>
      </c>
      <c r="AH61" s="101"/>
    </row>
    <row r="62" s="176" customFormat="1" spans="1:34">
      <c r="A62" s="101"/>
      <c r="B62" s="144" t="s">
        <v>22</v>
      </c>
      <c r="C62" s="101"/>
      <c r="D62" s="203">
        <f t="shared" ref="D62" si="52">D38/D14-1</f>
        <v>0.0985811622803152</v>
      </c>
      <c r="E62" s="204"/>
      <c r="F62" s="203">
        <f t="shared" ref="F62:M62" si="53">F38/F14-1</f>
        <v>-0.0132630346399533</v>
      </c>
      <c r="G62" s="203">
        <f t="shared" si="53"/>
        <v>0.474695176584365</v>
      </c>
      <c r="H62" s="204"/>
      <c r="I62" s="203">
        <f t="shared" si="53"/>
        <v>0.154563469397386</v>
      </c>
      <c r="J62" s="203">
        <f t="shared" si="53"/>
        <v>-0.123767908859476</v>
      </c>
      <c r="K62" s="203">
        <f t="shared" si="53"/>
        <v>0.508037524290601</v>
      </c>
      <c r="L62" s="203">
        <f t="shared" si="53"/>
        <v>1.3820571675458</v>
      </c>
      <c r="M62" s="203">
        <f t="shared" si="53"/>
        <v>-0.0103256570845143</v>
      </c>
      <c r="N62" s="101"/>
      <c r="O62" s="144" t="s">
        <v>22</v>
      </c>
      <c r="P62" s="101"/>
      <c r="Q62" s="203">
        <f t="shared" si="17"/>
        <v>0.101320605895139</v>
      </c>
      <c r="R62" s="204"/>
      <c r="S62" s="203">
        <f t="shared" ref="S62:Z62" si="54">S38/S14-1</f>
        <v>-0.000598911822343617</v>
      </c>
      <c r="T62" s="203">
        <f t="shared" si="54"/>
        <v>0.410877777849822</v>
      </c>
      <c r="U62" s="204"/>
      <c r="V62" s="203">
        <f t="shared" si="54"/>
        <v>0.179919622939752</v>
      </c>
      <c r="W62" s="203">
        <f t="shared" si="54"/>
        <v>-0.0579741300473617</v>
      </c>
      <c r="X62" s="203">
        <f t="shared" si="54"/>
        <v>0.240742751814836</v>
      </c>
      <c r="Y62" s="203">
        <f t="shared" si="54"/>
        <v>0.873364106465631</v>
      </c>
      <c r="Z62" s="203">
        <f t="shared" si="54"/>
        <v>0.256212929812368</v>
      </c>
      <c r="AA62" s="101"/>
      <c r="AB62" s="205">
        <f t="shared" ref="AB62:AG62" si="55">AB38/AB14-1</f>
        <v>0.0985811622803152</v>
      </c>
      <c r="AC62" s="205">
        <f t="shared" si="55"/>
        <v>0.245183380728337</v>
      </c>
      <c r="AD62" s="205">
        <f t="shared" si="55"/>
        <v>0.230020365317067</v>
      </c>
      <c r="AE62" s="203">
        <f t="shared" si="55"/>
        <v>0.101320605895139</v>
      </c>
      <c r="AF62" s="203">
        <f t="shared" si="55"/>
        <v>0.231214138426689</v>
      </c>
      <c r="AG62" s="203">
        <f t="shared" si="55"/>
        <v>0.21202952439535</v>
      </c>
      <c r="AH62" s="101"/>
    </row>
    <row r="63" s="176" customFormat="1" spans="1:34">
      <c r="A63" s="101"/>
      <c r="B63" s="144" t="s">
        <v>23</v>
      </c>
      <c r="C63" s="101"/>
      <c r="D63" s="203">
        <f t="shared" ref="D63" si="56">D39/D15-1</f>
        <v>-0.426527871136237</v>
      </c>
      <c r="E63" s="204"/>
      <c r="F63" s="203">
        <f t="shared" ref="F63:M63" si="57">F39/F15-1</f>
        <v>-0.42672024113647</v>
      </c>
      <c r="G63" s="203">
        <f t="shared" si="57"/>
        <v>-0.158059037301678</v>
      </c>
      <c r="H63" s="204"/>
      <c r="I63" s="203">
        <f t="shared" si="57"/>
        <v>0.718954984795791</v>
      </c>
      <c r="J63" s="203">
        <f t="shared" si="57"/>
        <v>0.227950058436148</v>
      </c>
      <c r="K63" s="203">
        <f t="shared" si="57"/>
        <v>1.27067963011562</v>
      </c>
      <c r="L63" s="203">
        <f t="shared" si="57"/>
        <v>0.331827744533785</v>
      </c>
      <c r="M63" s="203">
        <f t="shared" si="57"/>
        <v>-0.568865963654756</v>
      </c>
      <c r="N63" s="101"/>
      <c r="O63" s="144" t="s">
        <v>23</v>
      </c>
      <c r="P63" s="101"/>
      <c r="Q63" s="203">
        <f t="shared" si="17"/>
        <v>-0.408576506243849</v>
      </c>
      <c r="R63" s="204"/>
      <c r="S63" s="203">
        <f t="shared" ref="S63:Z63" si="58">S39/S15-1</f>
        <v>-0.408886396914317</v>
      </c>
      <c r="T63" s="203">
        <f t="shared" si="58"/>
        <v>-0.202654508553089</v>
      </c>
      <c r="U63" s="204"/>
      <c r="V63" s="203">
        <f t="shared" si="58"/>
        <v>0.0531831134358012</v>
      </c>
      <c r="W63" s="203">
        <f t="shared" si="58"/>
        <v>-0.0480186475831983</v>
      </c>
      <c r="X63" s="203">
        <f t="shared" si="58"/>
        <v>-0.126268616256983</v>
      </c>
      <c r="Y63" s="203">
        <f t="shared" si="58"/>
        <v>-0.132103682453633</v>
      </c>
      <c r="Z63" s="203">
        <f t="shared" si="58"/>
        <v>-0.530218530658444</v>
      </c>
      <c r="AA63" s="101"/>
      <c r="AB63" s="205">
        <f t="shared" ref="AB63:AG63" si="59">AB39/AB15-1</f>
        <v>-0.426527871136237</v>
      </c>
      <c r="AC63" s="205">
        <f t="shared" si="59"/>
        <v>-0.294498145827707</v>
      </c>
      <c r="AD63" s="205">
        <f t="shared" si="59"/>
        <v>0.243956115849647</v>
      </c>
      <c r="AE63" s="203">
        <f t="shared" si="59"/>
        <v>-0.408576506243849</v>
      </c>
      <c r="AF63" s="203">
        <f t="shared" si="59"/>
        <v>-0.29118551677447</v>
      </c>
      <c r="AG63" s="203">
        <f t="shared" si="59"/>
        <v>-0.127560969963405</v>
      </c>
      <c r="AH63" s="101"/>
    </row>
    <row r="64" s="176" customFormat="1" spans="1:34">
      <c r="A64" s="101"/>
      <c r="B64" s="144" t="s">
        <v>24</v>
      </c>
      <c r="C64" s="101"/>
      <c r="D64" s="203">
        <f t="shared" ref="D64" si="60">D40/D16-1</f>
        <v>0.0246601548256995</v>
      </c>
      <c r="E64" s="204"/>
      <c r="F64" s="203">
        <f t="shared" ref="F64:M64" si="61">F40/F16-1</f>
        <v>0.0390728582001572</v>
      </c>
      <c r="G64" s="203">
        <f t="shared" si="61"/>
        <v>0.103754082276025</v>
      </c>
      <c r="H64" s="204"/>
      <c r="I64" s="203">
        <f t="shared" si="61"/>
        <v>1.27174371350605</v>
      </c>
      <c r="J64" s="203">
        <f t="shared" si="61"/>
        <v>0.536287143730537</v>
      </c>
      <c r="K64" s="203">
        <f t="shared" si="61"/>
        <v>-0.0891882673565209</v>
      </c>
      <c r="L64" s="203">
        <f t="shared" si="61"/>
        <v>0.0341369267811522</v>
      </c>
      <c r="M64" s="203">
        <f t="shared" si="61"/>
        <v>-0.0352535261601592</v>
      </c>
      <c r="N64" s="101"/>
      <c r="O64" s="144" t="s">
        <v>24</v>
      </c>
      <c r="P64" s="101"/>
      <c r="Q64" s="203">
        <f t="shared" si="17"/>
        <v>0.018482752658499</v>
      </c>
      <c r="R64" s="204"/>
      <c r="S64" s="203">
        <f t="shared" ref="S64:Z64" si="62">S40/S16-1</f>
        <v>0.039378151289071</v>
      </c>
      <c r="T64" s="203">
        <f t="shared" si="62"/>
        <v>0.0497190321444136</v>
      </c>
      <c r="U64" s="204"/>
      <c r="V64" s="203">
        <f t="shared" si="62"/>
        <v>1.03690684867566</v>
      </c>
      <c r="W64" s="203">
        <f t="shared" si="62"/>
        <v>0.424909942386592</v>
      </c>
      <c r="X64" s="203">
        <f t="shared" si="62"/>
        <v>-0.173077882022651</v>
      </c>
      <c r="Y64" s="203">
        <f t="shared" si="62"/>
        <v>-0.0257893601991616</v>
      </c>
      <c r="Z64" s="203">
        <f t="shared" si="62"/>
        <v>0.0987834439615625</v>
      </c>
      <c r="AA64" s="101"/>
      <c r="AB64" s="205">
        <f t="shared" ref="AB64:AG64" si="63">AB40/AB16-1</f>
        <v>0.0246601548256995</v>
      </c>
      <c r="AC64" s="205">
        <f t="shared" si="63"/>
        <v>0.07344279815963</v>
      </c>
      <c r="AD64" s="205">
        <f t="shared" si="63"/>
        <v>0.233491157375038</v>
      </c>
      <c r="AE64" s="203">
        <f t="shared" si="63"/>
        <v>0.018482752658499</v>
      </c>
      <c r="AF64" s="203">
        <f t="shared" si="63"/>
        <v>0.0452116159771927</v>
      </c>
      <c r="AG64" s="203">
        <f t="shared" si="63"/>
        <v>0.174466053741943</v>
      </c>
      <c r="AH64" s="101"/>
    </row>
    <row r="65" s="176" customFormat="1" spans="1:34">
      <c r="A65" s="101"/>
      <c r="B65" s="144" t="s">
        <v>25</v>
      </c>
      <c r="C65" s="101"/>
      <c r="D65" s="203">
        <f t="shared" ref="D65" si="64">D41/D17-1</f>
        <v>0.5946625386656</v>
      </c>
      <c r="E65" s="204"/>
      <c r="F65" s="203">
        <f t="shared" ref="F65:M65" si="65">F41/F17-1</f>
        <v>0.678731067179482</v>
      </c>
      <c r="G65" s="203">
        <f t="shared" si="65"/>
        <v>0.157286619005272</v>
      </c>
      <c r="H65" s="204"/>
      <c r="I65" s="203">
        <f t="shared" si="65"/>
        <v>-0.0435425466457832</v>
      </c>
      <c r="J65" s="203">
        <f t="shared" si="65"/>
        <v>-0.0719435530484768</v>
      </c>
      <c r="K65" s="203">
        <f t="shared" si="65"/>
        <v>-0.220950293015196</v>
      </c>
      <c r="L65" s="203">
        <f t="shared" si="65"/>
        <v>-0.251022440336098</v>
      </c>
      <c r="M65" s="203">
        <f t="shared" si="65"/>
        <v>1.62630696542461</v>
      </c>
      <c r="N65" s="101"/>
      <c r="O65" s="144" t="s">
        <v>25</v>
      </c>
      <c r="P65" s="101"/>
      <c r="Q65" s="203">
        <f t="shared" si="17"/>
        <v>0.534151000909695</v>
      </c>
      <c r="R65" s="204"/>
      <c r="S65" s="203">
        <f t="shared" ref="S65:Z65" si="66">S41/S17-1</f>
        <v>0.67161445900244</v>
      </c>
      <c r="T65" s="203">
        <f t="shared" si="66"/>
        <v>0.0586524925822669</v>
      </c>
      <c r="U65" s="204"/>
      <c r="V65" s="203">
        <f t="shared" si="66"/>
        <v>-0.0686952839730471</v>
      </c>
      <c r="W65" s="203">
        <f t="shared" si="66"/>
        <v>-0.0611825923639501</v>
      </c>
      <c r="X65" s="203">
        <f t="shared" si="66"/>
        <v>-0.311333103986939</v>
      </c>
      <c r="Y65" s="203">
        <f t="shared" si="66"/>
        <v>-0.255515318471113</v>
      </c>
      <c r="Z65" s="203">
        <f t="shared" si="66"/>
        <v>69.3720901262701</v>
      </c>
      <c r="AA65" s="101"/>
      <c r="AB65" s="205">
        <f t="shared" ref="AB65:AG65" si="67">AB41/AB17-1</f>
        <v>0.5946625386656</v>
      </c>
      <c r="AC65" s="205">
        <f t="shared" si="67"/>
        <v>0.404951267528113</v>
      </c>
      <c r="AD65" s="205">
        <f t="shared" si="67"/>
        <v>0.00457505704075722</v>
      </c>
      <c r="AE65" s="203">
        <f t="shared" si="67"/>
        <v>0.534151000909695</v>
      </c>
      <c r="AF65" s="203">
        <f t="shared" si="67"/>
        <v>0.290639410800753</v>
      </c>
      <c r="AG65" s="203">
        <f t="shared" si="67"/>
        <v>-0.000518663444339595</v>
      </c>
      <c r="AH65" s="101"/>
    </row>
    <row r="66" s="176" customFormat="1" spans="1:34">
      <c r="A66" s="101"/>
      <c r="B66" s="144" t="s">
        <v>26</v>
      </c>
      <c r="C66" s="101"/>
      <c r="D66" s="203">
        <f t="shared" ref="D66" si="68">D42/D18-1</f>
        <v>-0.108312492799758</v>
      </c>
      <c r="E66" s="204"/>
      <c r="F66" s="203">
        <f t="shared" ref="F66:M66" si="69">F42/F18-1</f>
        <v>-0.0828695104213308</v>
      </c>
      <c r="G66" s="203">
        <f t="shared" si="69"/>
        <v>-0.251525499162886</v>
      </c>
      <c r="H66" s="204"/>
      <c r="I66" s="203">
        <f t="shared" si="69"/>
        <v>0.0129784377179556</v>
      </c>
      <c r="J66" s="203">
        <f t="shared" si="69"/>
        <v>-0.186619791679886</v>
      </c>
      <c r="K66" s="203">
        <f t="shared" si="69"/>
        <v>-0.231805588947163</v>
      </c>
      <c r="L66" s="203">
        <f t="shared" si="69"/>
        <v>-0.286928763732007</v>
      </c>
      <c r="M66" s="203">
        <f t="shared" si="69"/>
        <v>-0.0928264449387172</v>
      </c>
      <c r="N66" s="101"/>
      <c r="O66" s="144" t="s">
        <v>26</v>
      </c>
      <c r="P66" s="101"/>
      <c r="Q66" s="203">
        <f t="shared" si="17"/>
        <v>-0.0931130441551881</v>
      </c>
      <c r="R66" s="204"/>
      <c r="S66" s="203">
        <f t="shared" ref="S66:Z66" si="70">S42/S18-1</f>
        <v>-0.0683659881106209</v>
      </c>
      <c r="T66" s="203">
        <f t="shared" si="70"/>
        <v>-0.259982495043106</v>
      </c>
      <c r="U66" s="204"/>
      <c r="V66" s="203">
        <f t="shared" si="70"/>
        <v>-0.0131180520283642</v>
      </c>
      <c r="W66" s="203">
        <f t="shared" si="70"/>
        <v>-0.135962367539227</v>
      </c>
      <c r="X66" s="203">
        <f t="shared" si="70"/>
        <v>-0.302335045959323</v>
      </c>
      <c r="Y66" s="203">
        <f t="shared" si="70"/>
        <v>-0.268745370211583</v>
      </c>
      <c r="Z66" s="203">
        <f t="shared" si="70"/>
        <v>0.088773251907398</v>
      </c>
      <c r="AA66" s="101"/>
      <c r="AB66" s="205">
        <f t="shared" ref="AB66:AG66" si="71">AB42/AB18-1</f>
        <v>-0.108312492799758</v>
      </c>
      <c r="AC66" s="205">
        <f t="shared" si="71"/>
        <v>-0.181141998633832</v>
      </c>
      <c r="AD66" s="205">
        <f t="shared" si="71"/>
        <v>-0.16896305282684</v>
      </c>
      <c r="AE66" s="203">
        <f t="shared" si="71"/>
        <v>-0.0931130441551881</v>
      </c>
      <c r="AF66" s="203">
        <f t="shared" si="71"/>
        <v>-0.191972569238944</v>
      </c>
      <c r="AG66" s="203">
        <f t="shared" si="71"/>
        <v>-0.164812621382887</v>
      </c>
      <c r="AH66" s="101"/>
    </row>
    <row r="67" s="176" customFormat="1" spans="1:34">
      <c r="A67" s="101"/>
      <c r="B67" s="144" t="s">
        <v>27</v>
      </c>
      <c r="C67" s="101"/>
      <c r="D67" s="203">
        <f t="shared" ref="D67" si="72">D43/D19-1</f>
        <v>0.0334710150086823</v>
      </c>
      <c r="E67" s="204"/>
      <c r="F67" s="203">
        <f t="shared" ref="F67:M67" si="73">F43/F19-1</f>
        <v>0.0967447449692167</v>
      </c>
      <c r="G67" s="203">
        <f t="shared" si="73"/>
        <v>-0.295540997601294</v>
      </c>
      <c r="H67" s="204"/>
      <c r="I67" s="203">
        <f t="shared" si="73"/>
        <v>0.372811900708814</v>
      </c>
      <c r="J67" s="203">
        <f t="shared" si="73"/>
        <v>0.0478442749199111</v>
      </c>
      <c r="K67" s="203">
        <f t="shared" si="73"/>
        <v>-0.301874181368652</v>
      </c>
      <c r="L67" s="203">
        <f t="shared" si="73"/>
        <v>-0.319834374455421</v>
      </c>
      <c r="M67" s="203">
        <f t="shared" si="73"/>
        <v>0.0730890670406141</v>
      </c>
      <c r="N67" s="101"/>
      <c r="O67" s="144" t="s">
        <v>27</v>
      </c>
      <c r="P67" s="101"/>
      <c r="Q67" s="203">
        <f t="shared" si="17"/>
        <v>0.0245796239366463</v>
      </c>
      <c r="R67" s="204"/>
      <c r="S67" s="203">
        <f t="shared" ref="S67:Z67" si="74">S43/S19-1</f>
        <v>0.0972267436252201</v>
      </c>
      <c r="T67" s="203">
        <f t="shared" si="74"/>
        <v>-0.244865898229178</v>
      </c>
      <c r="U67" s="204"/>
      <c r="V67" s="203">
        <f t="shared" si="74"/>
        <v>0.0154367607563586</v>
      </c>
      <c r="W67" s="203">
        <f t="shared" si="74"/>
        <v>0.343198310914123</v>
      </c>
      <c r="X67" s="203">
        <f t="shared" si="74"/>
        <v>-0.378049239357245</v>
      </c>
      <c r="Y67" s="203">
        <f t="shared" si="74"/>
        <v>-0.347892253520924</v>
      </c>
      <c r="Z67" s="203">
        <f t="shared" si="74"/>
        <v>0.374843975090573</v>
      </c>
      <c r="AA67" s="101"/>
      <c r="AB67" s="205">
        <f t="shared" ref="AB67:AG67" si="75">AB43/AB19-1</f>
        <v>0.0334710150086823</v>
      </c>
      <c r="AC67" s="205">
        <f t="shared" si="75"/>
        <v>-0.158442133276342</v>
      </c>
      <c r="AD67" s="205">
        <f t="shared" si="75"/>
        <v>-0.102738573957298</v>
      </c>
      <c r="AE67" s="203">
        <f t="shared" si="75"/>
        <v>0.0245796239366463</v>
      </c>
      <c r="AF67" s="203">
        <f t="shared" si="75"/>
        <v>-0.147191161407421</v>
      </c>
      <c r="AG67" s="203">
        <f t="shared" si="75"/>
        <v>-0.125783742336717</v>
      </c>
      <c r="AH67" s="101"/>
    </row>
    <row r="68" s="176" customFormat="1" spans="1:34">
      <c r="A68" s="101"/>
      <c r="B68" s="144" t="s">
        <v>28</v>
      </c>
      <c r="C68" s="101"/>
      <c r="D68" s="203">
        <f t="shared" ref="D68" si="76">D44/D20-1</f>
        <v>-0.076740039736421</v>
      </c>
      <c r="E68" s="204"/>
      <c r="F68" s="203">
        <f t="shared" ref="F68:M68" si="77">F44/F20-1</f>
        <v>-0.0667267106327365</v>
      </c>
      <c r="G68" s="203">
        <f t="shared" si="77"/>
        <v>0.112792948472157</v>
      </c>
      <c r="H68" s="204"/>
      <c r="I68" s="203">
        <f t="shared" si="77"/>
        <v>-0.424166660317958</v>
      </c>
      <c r="J68" s="203">
        <f t="shared" si="77"/>
        <v>-0.38440518638815</v>
      </c>
      <c r="K68" s="203">
        <f t="shared" si="77"/>
        <v>-0.585846702227135</v>
      </c>
      <c r="L68" s="203">
        <f t="shared" si="77"/>
        <v>-0.37968441540104</v>
      </c>
      <c r="M68" s="203">
        <f t="shared" si="77"/>
        <v>-0.262757735221082</v>
      </c>
      <c r="N68" s="101"/>
      <c r="O68" s="144" t="s">
        <v>28</v>
      </c>
      <c r="P68" s="101"/>
      <c r="Q68" s="203">
        <f t="shared" si="17"/>
        <v>-0.0681274315791991</v>
      </c>
      <c r="R68" s="204"/>
      <c r="S68" s="203">
        <f t="shared" ref="S68:Z68" si="78">S44/S20-1</f>
        <v>-0.0505875616283887</v>
      </c>
      <c r="T68" s="203">
        <f t="shared" si="78"/>
        <v>0.0201586413131294</v>
      </c>
      <c r="U68" s="204"/>
      <c r="V68" s="203">
        <f t="shared" si="78"/>
        <v>-0.392608947573036</v>
      </c>
      <c r="W68" s="203">
        <f t="shared" si="78"/>
        <v>-0.34195341130136</v>
      </c>
      <c r="X68" s="203">
        <f t="shared" si="78"/>
        <v>-0.552696097982515</v>
      </c>
      <c r="Y68" s="203">
        <f t="shared" si="78"/>
        <v>-0.36020799651038</v>
      </c>
      <c r="Z68" s="203">
        <f t="shared" si="78"/>
        <v>-0.191186238155972</v>
      </c>
      <c r="AA68" s="101"/>
      <c r="AB68" s="205">
        <f t="shared" ref="AB68:AG68" si="79">AB44/AB20-1</f>
        <v>-0.076740039736421</v>
      </c>
      <c r="AC68" s="205">
        <f t="shared" si="79"/>
        <v>0.00861531526491621</v>
      </c>
      <c r="AD68" s="205">
        <f t="shared" si="79"/>
        <v>-0.408725087574373</v>
      </c>
      <c r="AE68" s="203">
        <f t="shared" si="79"/>
        <v>-0.0681274315791991</v>
      </c>
      <c r="AF68" s="203">
        <f t="shared" si="79"/>
        <v>-0.0171482778904438</v>
      </c>
      <c r="AG68" s="203">
        <f t="shared" si="79"/>
        <v>-0.372870330540063</v>
      </c>
      <c r="AH68" s="101"/>
    </row>
    <row r="69" s="176" customFormat="1" spans="1:34">
      <c r="A69" s="101"/>
      <c r="B69" s="144" t="s">
        <v>29</v>
      </c>
      <c r="C69" s="101"/>
      <c r="D69" s="203">
        <f t="shared" ref="D69" si="80">D45/D21-1</f>
        <v>0.078974020735038</v>
      </c>
      <c r="E69" s="204"/>
      <c r="F69" s="203">
        <f t="shared" ref="F69:M69" si="81">F45/F21-1</f>
        <v>0.0981429526594284</v>
      </c>
      <c r="G69" s="203">
        <f t="shared" si="81"/>
        <v>0.225352666454959</v>
      </c>
      <c r="H69" s="204"/>
      <c r="I69" s="203">
        <f t="shared" si="81"/>
        <v>0.596888062957185</v>
      </c>
      <c r="J69" s="203">
        <f t="shared" si="81"/>
        <v>-0.230699105785579</v>
      </c>
      <c r="K69" s="203">
        <f t="shared" si="81"/>
        <v>-0.491529941653555</v>
      </c>
      <c r="L69" s="203">
        <f t="shared" si="81"/>
        <v>-0.435402642509907</v>
      </c>
      <c r="M69" s="203">
        <f t="shared" si="81"/>
        <v>0.216599336193752</v>
      </c>
      <c r="N69" s="101"/>
      <c r="O69" s="144" t="s">
        <v>29</v>
      </c>
      <c r="P69" s="101"/>
      <c r="Q69" s="203">
        <f t="shared" si="17"/>
        <v>0.0363367437821871</v>
      </c>
      <c r="R69" s="204"/>
      <c r="S69" s="203">
        <f t="shared" ref="S69:Z69" si="82">S45/S21-1</f>
        <v>0.0997321305604433</v>
      </c>
      <c r="T69" s="203">
        <f t="shared" si="82"/>
        <v>0.216957812877639</v>
      </c>
      <c r="U69" s="204"/>
      <c r="V69" s="203">
        <f t="shared" si="82"/>
        <v>-0.08697909086847</v>
      </c>
      <c r="W69" s="203">
        <f t="shared" si="82"/>
        <v>-0.329999438781619</v>
      </c>
      <c r="X69" s="203">
        <f t="shared" si="82"/>
        <v>-0.569428981447309</v>
      </c>
      <c r="Y69" s="203">
        <f t="shared" si="82"/>
        <v>-0.541303053587062</v>
      </c>
      <c r="Z69" s="203">
        <f t="shared" si="82"/>
        <v>2.41995078445609</v>
      </c>
      <c r="AA69" s="101"/>
      <c r="AB69" s="205">
        <f t="shared" ref="AB69:AG69" si="83">AB45/AB21-1</f>
        <v>0.078974020735038</v>
      </c>
      <c r="AC69" s="205">
        <f t="shared" si="83"/>
        <v>0.173248586499626</v>
      </c>
      <c r="AD69" s="205">
        <f t="shared" si="83"/>
        <v>-0.233937954604399</v>
      </c>
      <c r="AE69" s="203">
        <f t="shared" si="83"/>
        <v>0.0363367437821871</v>
      </c>
      <c r="AF69" s="203">
        <f t="shared" si="83"/>
        <v>0.186649809465433</v>
      </c>
      <c r="AG69" s="203">
        <f t="shared" si="83"/>
        <v>-0.357136316148875</v>
      </c>
      <c r="AH69" s="101"/>
    </row>
    <row r="70" s="176" customFormat="1" spans="1:34">
      <c r="A70" s="101"/>
      <c r="B70" s="144" t="s">
        <v>30</v>
      </c>
      <c r="C70" s="101"/>
      <c r="D70" s="203">
        <f t="shared" ref="D70" si="84">D46/D22-1</f>
        <v>0.115104040031196</v>
      </c>
      <c r="E70" s="204"/>
      <c r="F70" s="203">
        <f t="shared" ref="F70:M70" si="85">F46/F22-1</f>
        <v>0.126024556832027</v>
      </c>
      <c r="G70" s="203">
        <f t="shared" si="85"/>
        <v>0.124339746754916</v>
      </c>
      <c r="H70" s="204"/>
      <c r="I70" s="203">
        <f t="shared" si="85"/>
        <v>0.24263978574116</v>
      </c>
      <c r="J70" s="203">
        <f t="shared" si="85"/>
        <v>0.21500151288123</v>
      </c>
      <c r="K70" s="203">
        <f t="shared" si="85"/>
        <v>-0.222875656938284</v>
      </c>
      <c r="L70" s="203">
        <f t="shared" si="85"/>
        <v>0.228899971787166</v>
      </c>
      <c r="M70" s="203">
        <f t="shared" si="85"/>
        <v>0.153331433751774</v>
      </c>
      <c r="N70" s="101"/>
      <c r="O70" s="144" t="s">
        <v>30</v>
      </c>
      <c r="P70" s="101"/>
      <c r="Q70" s="203">
        <f t="shared" si="17"/>
        <v>0.0850569901129516</v>
      </c>
      <c r="R70" s="204"/>
      <c r="S70" s="203">
        <f t="shared" ref="S70:Z70" si="86">S46/S22-1</f>
        <v>0.512782490043427</v>
      </c>
      <c r="T70" s="203">
        <f t="shared" si="86"/>
        <v>0.0511919455298022</v>
      </c>
      <c r="U70" s="204"/>
      <c r="V70" s="203">
        <f t="shared" si="86"/>
        <v>0.167218826126417</v>
      </c>
      <c r="W70" s="203">
        <f t="shared" si="86"/>
        <v>0.154563864962903</v>
      </c>
      <c r="X70" s="203">
        <f t="shared" si="86"/>
        <v>-0.267794858356321</v>
      </c>
      <c r="Y70" s="203">
        <f t="shared" si="86"/>
        <v>0.121949063180724</v>
      </c>
      <c r="Z70" s="203">
        <f t="shared" si="86"/>
        <v>0.231278168067426</v>
      </c>
      <c r="AA70" s="101"/>
      <c r="AB70" s="205">
        <f t="shared" ref="AB70:AG70" si="87">AB46/AB22-1</f>
        <v>0.115104040031196</v>
      </c>
      <c r="AC70" s="205">
        <f t="shared" si="87"/>
        <v>0.125232252730473</v>
      </c>
      <c r="AD70" s="205">
        <f t="shared" si="87"/>
        <v>0.082947902164058</v>
      </c>
      <c r="AE70" s="203">
        <f t="shared" si="87"/>
        <v>0.0850569901129516</v>
      </c>
      <c r="AF70" s="203">
        <f t="shared" si="87"/>
        <v>0.238890232581186</v>
      </c>
      <c r="AG70" s="203">
        <f t="shared" si="87"/>
        <v>0.035725896483181</v>
      </c>
      <c r="AH70" s="101"/>
    </row>
    <row r="71" s="176" customFormat="1" spans="1:34">
      <c r="A71" s="101"/>
      <c r="B71" s="144" t="s">
        <v>31</v>
      </c>
      <c r="C71" s="101"/>
      <c r="D71" s="203">
        <f t="shared" ref="D71" si="88">D47/D23-1</f>
        <v>0.282371039676863</v>
      </c>
      <c r="E71" s="204"/>
      <c r="F71" s="203">
        <f t="shared" ref="F71:M71" si="89">F47/F23-1</f>
        <v>0.295305292269809</v>
      </c>
      <c r="G71" s="203">
        <f t="shared" si="89"/>
        <v>0.155509153366371</v>
      </c>
      <c r="H71" s="204"/>
      <c r="I71" s="203">
        <f t="shared" si="89"/>
        <v>0.0422245628745326</v>
      </c>
      <c r="J71" s="203">
        <f t="shared" si="89"/>
        <v>0.26968490200391</v>
      </c>
      <c r="K71" s="203">
        <f t="shared" si="89"/>
        <v>-0.429538402267958</v>
      </c>
      <c r="L71" s="203">
        <f t="shared" si="89"/>
        <v>-0.135145359479431</v>
      </c>
      <c r="M71" s="203">
        <f t="shared" si="89"/>
        <v>0.218023337992657</v>
      </c>
      <c r="N71" s="101"/>
      <c r="O71" s="144" t="s">
        <v>31</v>
      </c>
      <c r="P71" s="101"/>
      <c r="Q71" s="203">
        <f t="shared" si="17"/>
        <v>0.249171620104355</v>
      </c>
      <c r="R71" s="204"/>
      <c r="S71" s="203">
        <f t="shared" ref="S71:Z71" si="90">S47/S23-1</f>
        <v>0.269123391437858</v>
      </c>
      <c r="T71" s="203">
        <f t="shared" si="90"/>
        <v>0.121028913150897</v>
      </c>
      <c r="U71" s="204"/>
      <c r="V71" s="203">
        <f t="shared" si="90"/>
        <v>0.0172567232091276</v>
      </c>
      <c r="W71" s="203">
        <f t="shared" si="90"/>
        <v>0.242884652864864</v>
      </c>
      <c r="X71" s="203">
        <f t="shared" si="90"/>
        <v>0.0523781876824776</v>
      </c>
      <c r="Y71" s="203">
        <f t="shared" si="90"/>
        <v>-0.162402744206027</v>
      </c>
      <c r="Z71" s="203">
        <f t="shared" si="90"/>
        <v>0.33718967047416</v>
      </c>
      <c r="AA71" s="101"/>
      <c r="AB71" s="205">
        <f t="shared" ref="AB71:AG71" si="91">AB47/AB23-1</f>
        <v>0.282371039676863</v>
      </c>
      <c r="AC71" s="205">
        <f t="shared" si="91"/>
        <v>0.224062617830206</v>
      </c>
      <c r="AD71" s="205">
        <f t="shared" si="91"/>
        <v>-0.0626856941547959</v>
      </c>
      <c r="AE71" s="203">
        <f t="shared" si="91"/>
        <v>0.249171620104355</v>
      </c>
      <c r="AF71" s="203">
        <f t="shared" si="91"/>
        <v>0.186871279177509</v>
      </c>
      <c r="AG71" s="203">
        <f t="shared" si="91"/>
        <v>0.0793121053044039</v>
      </c>
      <c r="AH71" s="101"/>
    </row>
    <row r="72" s="173" customFormat="1" ht="9" customHeight="1" spans="1:34">
      <c r="A72" s="101"/>
      <c r="B72" s="150"/>
      <c r="C72" s="150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01"/>
      <c r="O72" s="150"/>
      <c r="P72" s="150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01"/>
      <c r="AB72" s="197"/>
      <c r="AC72" s="198"/>
      <c r="AD72" s="199"/>
      <c r="AE72" s="200"/>
      <c r="AF72" s="201"/>
      <c r="AG72" s="202"/>
      <c r="AH72" s="101"/>
    </row>
    <row r="73" s="96" customFormat="1" ht="9" customHeight="1" spans="1:34">
      <c r="AB73" s="178"/>
      <c r="AC73" s="178"/>
      <c r="AD73" s="178"/>
    </row>
    <row r="75" spans="1:34">
      <c r="L75" s="96"/>
      <c r="M75" s="133"/>
      <c r="N75" s="133"/>
      <c r="O75" s="133"/>
      <c r="P75" s="177"/>
      <c r="R75" s="177"/>
      <c r="S75" s="96"/>
      <c r="U75" s="177"/>
      <c r="AA75" s="177"/>
      <c r="AB75" s="177"/>
      <c r="AC75" s="177"/>
      <c r="AD75" s="177"/>
      <c r="AH75" s="177"/>
    </row>
    <row r="76" spans="1:34">
      <c r="L76" s="96"/>
      <c r="M76" s="133"/>
      <c r="N76" s="133"/>
      <c r="O76" s="133"/>
      <c r="P76" s="177"/>
      <c r="R76" s="177"/>
      <c r="S76" s="96"/>
      <c r="U76" s="177"/>
      <c r="AA76" s="177"/>
      <c r="AB76" s="177"/>
      <c r="AC76" s="177"/>
      <c r="AD76" s="177"/>
      <c r="AH76" s="177"/>
    </row>
    <row r="77" spans="1:34">
      <c r="L77" s="96"/>
      <c r="M77" s="133"/>
      <c r="N77" s="133"/>
      <c r="O77" s="133"/>
      <c r="P77" s="177"/>
      <c r="R77" s="177"/>
      <c r="S77" s="96"/>
      <c r="U77" s="177"/>
      <c r="AA77" s="177"/>
      <c r="AB77" s="177"/>
      <c r="AC77" s="177"/>
      <c r="AD77" s="177"/>
      <c r="AH77" s="177"/>
    </row>
    <row r="78" spans="1:34">
      <c r="L78" s="96"/>
      <c r="M78" s="133"/>
      <c r="N78" s="133"/>
      <c r="O78" s="133"/>
      <c r="P78" s="177"/>
      <c r="R78" s="177"/>
      <c r="S78" s="96"/>
      <c r="U78" s="177"/>
      <c r="AA78" s="177"/>
      <c r="AB78" s="177"/>
      <c r="AC78" s="177"/>
      <c r="AD78" s="177"/>
      <c r="AH78" s="177"/>
    </row>
    <row r="79" spans="1:34">
      <c r="L79" s="96"/>
      <c r="M79" s="133"/>
      <c r="N79" s="133"/>
      <c r="O79" s="133"/>
      <c r="P79" s="177"/>
      <c r="R79" s="177"/>
      <c r="S79" s="96"/>
      <c r="U79" s="177"/>
      <c r="AA79" s="177"/>
      <c r="AB79" s="177"/>
      <c r="AC79" s="177"/>
      <c r="AD79" s="177"/>
      <c r="AH79" s="177"/>
    </row>
    <row r="80" spans="1:34">
      <c r="L80" s="96"/>
      <c r="M80" s="133"/>
      <c r="N80" s="133"/>
      <c r="O80" s="133"/>
      <c r="P80" s="177"/>
      <c r="R80" s="177"/>
      <c r="S80" s="96"/>
      <c r="U80" s="177"/>
      <c r="AA80" s="177"/>
      <c r="AB80" s="177"/>
      <c r="AC80" s="177"/>
      <c r="AD80" s="177"/>
      <c r="AH80" s="177"/>
    </row>
    <row r="81" spans="12:34">
      <c r="L81" s="96"/>
      <c r="M81" s="133"/>
      <c r="N81" s="133"/>
      <c r="O81" s="133"/>
      <c r="P81" s="177"/>
      <c r="R81" s="177"/>
      <c r="S81" s="96"/>
      <c r="U81" s="177"/>
      <c r="AA81" s="177"/>
      <c r="AB81" s="177"/>
      <c r="AC81" s="177"/>
      <c r="AD81" s="177"/>
      <c r="AH81" s="177"/>
    </row>
    <row r="82" spans="12:34">
      <c r="L82" s="96"/>
      <c r="M82" s="133"/>
      <c r="N82" s="133"/>
      <c r="O82" s="133"/>
      <c r="P82" s="177"/>
      <c r="R82" s="177"/>
      <c r="S82" s="96"/>
      <c r="U82" s="177"/>
      <c r="AA82" s="177"/>
      <c r="AB82" s="177"/>
      <c r="AC82" s="177"/>
      <c r="AD82" s="177"/>
      <c r="AH82" s="177"/>
    </row>
    <row r="83" spans="12:34">
      <c r="L83" s="96"/>
      <c r="M83" s="133"/>
      <c r="N83" s="133"/>
      <c r="O83" s="133"/>
      <c r="P83" s="177"/>
      <c r="R83" s="177"/>
      <c r="S83" s="96"/>
      <c r="U83" s="177"/>
      <c r="AA83" s="177"/>
      <c r="AB83" s="177"/>
      <c r="AC83" s="177"/>
      <c r="AD83" s="177"/>
      <c r="AH83" s="177"/>
    </row>
    <row r="84" spans="12:34">
      <c r="L84" s="96"/>
      <c r="M84" s="133"/>
      <c r="N84" s="133"/>
      <c r="O84" s="133"/>
      <c r="P84" s="177"/>
      <c r="R84" s="177"/>
      <c r="S84" s="96"/>
      <c r="U84" s="177"/>
      <c r="AA84" s="177"/>
      <c r="AB84" s="177"/>
      <c r="AC84" s="177"/>
      <c r="AD84" s="177"/>
      <c r="AH84" s="177"/>
    </row>
    <row r="85" spans="12:34">
      <c r="L85" s="96"/>
      <c r="M85" s="133"/>
      <c r="N85" s="133"/>
      <c r="O85" s="133"/>
      <c r="P85" s="177"/>
      <c r="R85" s="177"/>
      <c r="S85" s="96"/>
      <c r="U85" s="177"/>
      <c r="AA85" s="177"/>
      <c r="AB85" s="177"/>
      <c r="AC85" s="177"/>
      <c r="AD85" s="177"/>
      <c r="AH85" s="177"/>
    </row>
    <row r="86" spans="12:34">
      <c r="L86" s="96"/>
      <c r="M86" s="133"/>
      <c r="N86" s="133"/>
      <c r="O86" s="133"/>
      <c r="P86" s="177"/>
      <c r="R86" s="177"/>
      <c r="S86" s="96"/>
      <c r="U86" s="177"/>
      <c r="AA86" s="177"/>
      <c r="AB86" s="177"/>
      <c r="AC86" s="177"/>
      <c r="AD86" s="177"/>
      <c r="AH86" s="177"/>
    </row>
    <row r="87" spans="12:34">
      <c r="L87" s="96"/>
      <c r="M87" s="133"/>
      <c r="N87" s="133"/>
      <c r="O87" s="133"/>
      <c r="P87" s="177"/>
      <c r="R87" s="177"/>
      <c r="S87" s="96"/>
      <c r="U87" s="177"/>
      <c r="AA87" s="177"/>
      <c r="AB87" s="177"/>
      <c r="AC87" s="177"/>
      <c r="AD87" s="177"/>
      <c r="AH87" s="177"/>
    </row>
    <row r="88" spans="12:34">
      <c r="L88" s="96"/>
      <c r="M88" s="133"/>
      <c r="N88" s="133"/>
      <c r="O88" s="133"/>
      <c r="P88" s="177"/>
      <c r="R88" s="177"/>
      <c r="S88" s="96"/>
      <c r="U88" s="177"/>
      <c r="AA88" s="177"/>
      <c r="AB88" s="177"/>
      <c r="AC88" s="177"/>
      <c r="AD88" s="177"/>
      <c r="AH88" s="177"/>
    </row>
    <row r="89" spans="12:34">
      <c r="L89" s="96"/>
      <c r="M89" s="133"/>
      <c r="N89" s="133"/>
      <c r="O89" s="133"/>
      <c r="P89" s="177"/>
      <c r="R89" s="177"/>
      <c r="S89" s="96"/>
      <c r="U89" s="177"/>
      <c r="AA89" s="177"/>
      <c r="AB89" s="177"/>
      <c r="AC89" s="177"/>
      <c r="AD89" s="177"/>
      <c r="AH89" s="177"/>
    </row>
    <row r="90" spans="12:34">
      <c r="L90" s="96"/>
      <c r="M90" s="133"/>
      <c r="N90" s="133"/>
      <c r="O90" s="133"/>
      <c r="P90" s="177"/>
      <c r="R90" s="177"/>
      <c r="S90" s="96"/>
      <c r="U90" s="177"/>
      <c r="AA90" s="177"/>
      <c r="AB90" s="177"/>
      <c r="AC90" s="177"/>
      <c r="AD90" s="177"/>
      <c r="AH90" s="177"/>
    </row>
    <row r="91" spans="12:34">
      <c r="L91" s="96"/>
      <c r="M91" s="133"/>
      <c r="N91" s="133"/>
      <c r="O91" s="133"/>
      <c r="P91" s="177"/>
      <c r="R91" s="177"/>
      <c r="S91" s="96"/>
      <c r="U91" s="177"/>
      <c r="AA91" s="177"/>
      <c r="AB91" s="177"/>
      <c r="AC91" s="177"/>
      <c r="AD91" s="177"/>
      <c r="AH91" s="177"/>
    </row>
    <row r="92" spans="12:34">
      <c r="L92" s="96"/>
      <c r="M92" s="133"/>
      <c r="N92" s="133"/>
      <c r="O92" s="133"/>
      <c r="P92" s="177"/>
      <c r="R92" s="177"/>
      <c r="S92" s="96"/>
      <c r="U92" s="177"/>
      <c r="AA92" s="177"/>
      <c r="AB92" s="177"/>
      <c r="AC92" s="177"/>
      <c r="AD92" s="177"/>
      <c r="AH92" s="177"/>
    </row>
    <row r="93" spans="12:34">
      <c r="L93" s="96"/>
      <c r="M93" s="133"/>
      <c r="N93" s="133"/>
      <c r="O93" s="133"/>
      <c r="P93" s="177"/>
      <c r="R93" s="177"/>
      <c r="S93" s="96"/>
      <c r="U93" s="177"/>
      <c r="AA93" s="177"/>
      <c r="AB93" s="177"/>
      <c r="AC93" s="177"/>
      <c r="AD93" s="177"/>
      <c r="AH93" s="177"/>
    </row>
    <row r="94" spans="12:34">
      <c r="L94" s="96"/>
      <c r="M94" s="133"/>
      <c r="N94" s="133"/>
      <c r="O94" s="133"/>
      <c r="P94" s="177"/>
      <c r="R94" s="177"/>
      <c r="S94" s="96"/>
      <c r="U94" s="177"/>
      <c r="AA94" s="177"/>
      <c r="AB94" s="177"/>
      <c r="AC94" s="177"/>
      <c r="AD94" s="177"/>
      <c r="AH94" s="177"/>
    </row>
    <row r="95" spans="12:34">
      <c r="L95" s="96"/>
      <c r="M95" s="133"/>
      <c r="N95" s="133"/>
      <c r="O95" s="133"/>
      <c r="P95" s="177"/>
      <c r="R95" s="177"/>
      <c r="S95" s="96"/>
      <c r="U95" s="177"/>
      <c r="AA95" s="177"/>
      <c r="AB95" s="177"/>
      <c r="AC95" s="177"/>
      <c r="AD95" s="177"/>
      <c r="AH95" s="177"/>
    </row>
    <row r="96" spans="12:34">
      <c r="L96" s="96"/>
      <c r="M96" s="133"/>
      <c r="N96" s="133"/>
      <c r="O96" s="133"/>
      <c r="P96" s="177"/>
      <c r="R96" s="177"/>
      <c r="S96" s="96"/>
      <c r="U96" s="177"/>
      <c r="AA96" s="177"/>
      <c r="AB96" s="177"/>
      <c r="AC96" s="177"/>
      <c r="AD96" s="177"/>
      <c r="AH96" s="177"/>
    </row>
    <row r="97" spans="12:34">
      <c r="L97" s="96"/>
      <c r="M97" s="133"/>
      <c r="N97" s="133"/>
      <c r="O97" s="133"/>
      <c r="P97" s="177"/>
      <c r="R97" s="177"/>
      <c r="S97" s="96"/>
      <c r="U97" s="177"/>
      <c r="AA97" s="177"/>
      <c r="AB97" s="177"/>
      <c r="AC97" s="177"/>
      <c r="AD97" s="177"/>
      <c r="AH97" s="177"/>
    </row>
  </sheetData>
  <pageMargins left="0.7" right="0.7" top="0.75" bottom="0.75" header="0.3" footer="0.3"/>
  <pageSetup paperSize="9" orientation="portrait"/>
  <headerFooter/>
  <ignoredErrors>
    <ignoredError sqref="AC28:AG47 AC4:AG2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0"/>
  <sheetViews>
    <sheetView workbookViewId="0">
      <selection activeCell="H29" sqref="H29"/>
    </sheetView>
  </sheetViews>
  <sheetFormatPr defaultColWidth="11" defaultRowHeight="14.4"/>
  <cols>
    <col min="1" max="1" width="4.71296296296296" style="96" customWidth="1"/>
    <col min="2" max="2" width="9.71296296296296" customWidth="1"/>
    <col min="3" max="3" width="7" customWidth="1"/>
    <col min="4" max="4" width="6.85185185185185" customWidth="1"/>
    <col min="5" max="9" width="9.71296296296296" customWidth="1"/>
    <col min="10" max="10" width="4.71296296296296" style="96" customWidth="1"/>
    <col min="11" max="11" width="9.71296296296296" customWidth="1"/>
    <col min="12" max="12" width="7.28703703703704" customWidth="1"/>
    <col min="13" max="13" width="10.1388888888889" customWidth="1"/>
    <col min="14" max="18" width="9.71296296296296" customWidth="1"/>
    <col min="19" max="19" width="4.71296296296296" style="96" customWidth="1"/>
    <col min="20" max="27" width="9.71296296296296" customWidth="1"/>
    <col min="28" max="28" width="4.71296296296296" style="96" customWidth="1"/>
    <col min="29" max="36" width="9.71296296296296" customWidth="1"/>
  </cols>
  <sheetData>
    <row r="1" ht="15.15"/>
    <row r="2" ht="43.95" spans="1:19">
      <c r="B2" s="139" t="s">
        <v>8</v>
      </c>
      <c r="C2" s="139" t="s">
        <v>272</v>
      </c>
      <c r="D2" s="139" t="s">
        <v>273</v>
      </c>
      <c r="E2" s="139" t="s">
        <v>274</v>
      </c>
      <c r="F2" s="139" t="s">
        <v>275</v>
      </c>
      <c r="G2" s="139" t="s">
        <v>276</v>
      </c>
      <c r="H2" s="139" t="s">
        <v>277</v>
      </c>
      <c r="I2" s="139" t="s">
        <v>278</v>
      </c>
      <c r="K2" s="139" t="s">
        <v>9</v>
      </c>
      <c r="L2" s="139" t="s">
        <v>272</v>
      </c>
      <c r="M2" s="139" t="s">
        <v>273</v>
      </c>
      <c r="N2" s="139" t="s">
        <v>274</v>
      </c>
      <c r="O2" s="139" t="s">
        <v>275</v>
      </c>
      <c r="P2" s="139" t="s">
        <v>276</v>
      </c>
      <c r="Q2" s="139" t="s">
        <v>277</v>
      </c>
      <c r="R2" s="139" t="s">
        <v>278</v>
      </c>
    </row>
    <row r="3" s="95" customFormat="1" ht="9" customHeight="1" spans="1:19">
      <c r="A3" s="173"/>
      <c r="B3" s="99"/>
      <c r="C3" s="99"/>
      <c r="D3" s="99"/>
      <c r="E3" s="99"/>
      <c r="F3" s="99"/>
      <c r="G3" s="99"/>
      <c r="H3" s="99"/>
      <c r="I3" s="99"/>
      <c r="J3" s="173"/>
      <c r="K3" s="99"/>
      <c r="L3" s="99"/>
      <c r="M3" s="99"/>
      <c r="N3" s="99"/>
      <c r="O3" s="99"/>
      <c r="P3" s="99"/>
      <c r="Q3" s="99"/>
      <c r="R3" s="99"/>
      <c r="S3" s="173"/>
    </row>
    <row r="4" ht="15.6" spans="1:19">
      <c r="A4" s="101"/>
      <c r="B4" s="147" t="s">
        <v>41</v>
      </c>
      <c r="C4" s="107">
        <v>0.298916187349072</v>
      </c>
      <c r="D4" s="107">
        <v>0.456149425850422</v>
      </c>
      <c r="E4" s="107">
        <v>0.803444030446107</v>
      </c>
      <c r="F4" s="107">
        <v>0.810766518544298</v>
      </c>
      <c r="G4" s="107">
        <v>0.774231292489176</v>
      </c>
      <c r="H4" s="107">
        <v>0.662470030163124</v>
      </c>
      <c r="I4" s="107">
        <v>0.325213523351974</v>
      </c>
      <c r="J4" s="101"/>
      <c r="K4" s="147" t="s">
        <v>41</v>
      </c>
      <c r="L4" s="107">
        <v>0.0347851486682074</v>
      </c>
      <c r="M4" s="107">
        <v>-0.408515007034669</v>
      </c>
      <c r="N4" s="107">
        <v>-0.842061453316485</v>
      </c>
      <c r="O4" s="107">
        <v>-0.833768010675972</v>
      </c>
      <c r="P4" s="107">
        <v>-0.800384342412279</v>
      </c>
      <c r="Q4" s="107">
        <v>-0.651495166096358</v>
      </c>
      <c r="R4" s="107">
        <v>0.221258455878653</v>
      </c>
      <c r="S4" s="101"/>
    </row>
    <row r="5" ht="15.6" spans="1:19">
      <c r="A5" s="101"/>
      <c r="B5" s="147" t="s">
        <v>43</v>
      </c>
      <c r="C5" s="107">
        <v>0.595464436700397</v>
      </c>
      <c r="D5" s="107">
        <v>0.80568397968193</v>
      </c>
      <c r="E5" s="107">
        <v>1.0235349489675</v>
      </c>
      <c r="F5" s="107">
        <v>1.11375333859014</v>
      </c>
      <c r="G5" s="107">
        <v>0.847430541738598</v>
      </c>
      <c r="H5" s="107">
        <v>0.801693056907784</v>
      </c>
      <c r="I5" s="107">
        <v>0.540586098518039</v>
      </c>
      <c r="J5" s="101"/>
      <c r="K5" s="147" t="s">
        <v>43</v>
      </c>
      <c r="L5" s="107">
        <v>0.0235075800054587</v>
      </c>
      <c r="M5" s="107">
        <v>-0.541233273963049</v>
      </c>
      <c r="N5" s="107">
        <v>-1.11179960423835</v>
      </c>
      <c r="O5" s="107">
        <v>-1.13234514511878</v>
      </c>
      <c r="P5" s="107">
        <v>-0.879711093613919</v>
      </c>
      <c r="Q5" s="107">
        <v>-0.736569428250721</v>
      </c>
      <c r="R5" s="107">
        <v>0.303627108107755</v>
      </c>
      <c r="S5" s="101"/>
    </row>
    <row r="6" ht="15.6" spans="1:19">
      <c r="A6" s="101"/>
      <c r="B6" s="147" t="s">
        <v>45</v>
      </c>
      <c r="C6" s="107">
        <v>0.312690450361572</v>
      </c>
      <c r="D6" s="107">
        <v>0.609971957731519</v>
      </c>
      <c r="E6" s="107">
        <v>0.959722326741751</v>
      </c>
      <c r="F6" s="107">
        <v>0.996783468399015</v>
      </c>
      <c r="G6" s="107">
        <v>0.87863885423966</v>
      </c>
      <c r="H6" s="107">
        <v>0.80661268240486</v>
      </c>
      <c r="I6" s="107">
        <v>0.258493654726148</v>
      </c>
      <c r="J6" s="101"/>
      <c r="K6" s="147" t="s">
        <v>45</v>
      </c>
      <c r="L6" s="107">
        <v>0.418918827837649</v>
      </c>
      <c r="M6" s="107">
        <v>-0.486970931374872</v>
      </c>
      <c r="N6" s="107">
        <v>-1.00723174088349</v>
      </c>
      <c r="O6" s="107">
        <v>-1.01060013989136</v>
      </c>
      <c r="P6" s="107">
        <v>-0.903572537378394</v>
      </c>
      <c r="Q6" s="107">
        <v>-0.754152133047106</v>
      </c>
      <c r="R6" s="107">
        <v>0.798532111420224</v>
      </c>
      <c r="S6" s="101"/>
    </row>
    <row r="7" ht="15.6" spans="1:19">
      <c r="A7" s="101"/>
      <c r="B7" s="147" t="s">
        <v>47</v>
      </c>
      <c r="C7" s="107">
        <v>0.589362272128542</v>
      </c>
      <c r="D7" s="107">
        <v>0.953596031151412</v>
      </c>
      <c r="E7" s="107">
        <v>1.03195001232642</v>
      </c>
      <c r="F7" s="107">
        <v>1.14764504722</v>
      </c>
      <c r="G7" s="107">
        <v>1.15276210969584</v>
      </c>
      <c r="H7" s="107">
        <v>0.998490247782289</v>
      </c>
      <c r="I7" s="107">
        <v>0.534808657592224</v>
      </c>
      <c r="J7" s="101"/>
      <c r="K7" s="147" t="s">
        <v>47</v>
      </c>
      <c r="L7" s="107">
        <v>-0.394251789570469</v>
      </c>
      <c r="M7" s="107">
        <v>-0.902157089594909</v>
      </c>
      <c r="N7" s="107">
        <v>-1.0494462457378</v>
      </c>
      <c r="O7" s="107">
        <v>-1.134034028073</v>
      </c>
      <c r="P7" s="107">
        <v>-1.14074368753428</v>
      </c>
      <c r="Q7" s="107">
        <v>-0.978722656404423</v>
      </c>
      <c r="R7" s="107">
        <v>-0.272713803723366</v>
      </c>
      <c r="S7" s="101"/>
    </row>
    <row r="8" ht="15.6" spans="1:19">
      <c r="A8" s="101"/>
      <c r="B8" s="147" t="s">
        <v>49</v>
      </c>
      <c r="C8" s="107">
        <v>0.796722292352308</v>
      </c>
      <c r="D8" s="107">
        <v>0.90588528214549</v>
      </c>
      <c r="E8" s="107">
        <v>0.909248782262836</v>
      </c>
      <c r="F8" s="107">
        <v>0.683962920925333</v>
      </c>
      <c r="G8" s="107">
        <v>0.818599740052762</v>
      </c>
      <c r="H8" s="107">
        <v>0.799124419434478</v>
      </c>
      <c r="I8" s="107">
        <v>0.807233965769623</v>
      </c>
      <c r="J8" s="101"/>
      <c r="K8" s="147" t="s">
        <v>49</v>
      </c>
      <c r="L8" s="107">
        <v>0.534933090817586</v>
      </c>
      <c r="M8" s="107">
        <v>-0.298690444022464</v>
      </c>
      <c r="N8" s="107">
        <v>-1.0853139470886</v>
      </c>
      <c r="O8" s="107">
        <v>-0.739970144044323</v>
      </c>
      <c r="P8" s="107">
        <v>-0.883142476721219</v>
      </c>
      <c r="Q8" s="107">
        <v>-0.631210970659751</v>
      </c>
      <c r="R8" s="107">
        <v>0.926462515910284</v>
      </c>
      <c r="S8" s="101"/>
    </row>
    <row r="9" ht="15.6" spans="1:19">
      <c r="A9" s="101"/>
      <c r="B9" s="147" t="s">
        <v>51</v>
      </c>
      <c r="C9" s="107">
        <v>0.291353559349734</v>
      </c>
      <c r="D9" s="107">
        <v>0.667638537929872</v>
      </c>
      <c r="E9" s="107">
        <v>1.04348132100254</v>
      </c>
      <c r="F9" s="107">
        <v>0.971726865753784</v>
      </c>
      <c r="G9" s="107">
        <v>0.9574394561005</v>
      </c>
      <c r="H9" s="107">
        <v>0.878228949150483</v>
      </c>
      <c r="I9" s="107">
        <v>0.297024773022176</v>
      </c>
      <c r="J9" s="101"/>
      <c r="K9" s="147" t="s">
        <v>51</v>
      </c>
      <c r="L9" s="107">
        <v>0.346976651948221</v>
      </c>
      <c r="M9" s="107">
        <v>-0.537789227128195</v>
      </c>
      <c r="N9" s="107">
        <v>-1.08265326171847</v>
      </c>
      <c r="O9" s="107">
        <v>-0.985756976120308</v>
      </c>
      <c r="P9" s="107">
        <v>-0.978082129339293</v>
      </c>
      <c r="Q9" s="107">
        <v>-0.827132453506682</v>
      </c>
      <c r="R9" s="107">
        <v>0.704410259902178</v>
      </c>
      <c r="S9" s="101"/>
    </row>
    <row r="10" ht="15.6" spans="1:19">
      <c r="A10" s="101"/>
      <c r="B10" s="147" t="s">
        <v>53</v>
      </c>
      <c r="C10" s="107">
        <v>0.300439150349849</v>
      </c>
      <c r="D10" s="107">
        <v>0.649746655787799</v>
      </c>
      <c r="E10" s="107">
        <v>0.851685115594032</v>
      </c>
      <c r="F10" s="107">
        <v>0.916557541010313</v>
      </c>
      <c r="G10" s="107">
        <v>0.916052248707647</v>
      </c>
      <c r="H10" s="107">
        <v>0.728990644520286</v>
      </c>
      <c r="I10" s="107">
        <v>0.356058621179539</v>
      </c>
      <c r="J10" s="101"/>
      <c r="K10" s="147" t="s">
        <v>53</v>
      </c>
      <c r="L10" s="107">
        <v>1.38863529596394</v>
      </c>
      <c r="M10" s="107">
        <v>-0.241419386525823</v>
      </c>
      <c r="N10" s="107">
        <v>-0.981354797136831</v>
      </c>
      <c r="O10" s="107">
        <v>-0.952471020308064</v>
      </c>
      <c r="P10" s="107">
        <v>-0.968922997764248</v>
      </c>
      <c r="Q10" s="107">
        <v>-0.580363382281394</v>
      </c>
      <c r="R10" s="107">
        <v>2.38652394122423</v>
      </c>
      <c r="S10" s="101"/>
    </row>
    <row r="11" ht="15.6" spans="1:19">
      <c r="A11" s="101"/>
      <c r="B11" s="147" t="s">
        <v>55</v>
      </c>
      <c r="C11" s="107">
        <v>0.753716632339636</v>
      </c>
      <c r="D11" s="107">
        <v>1.17226264813792</v>
      </c>
      <c r="E11" s="107">
        <v>1.46679089672926</v>
      </c>
      <c r="F11" s="107">
        <v>1.51551198587742</v>
      </c>
      <c r="G11" s="107">
        <v>1.24366727459318</v>
      </c>
      <c r="H11" s="107">
        <v>1.11155543976157</v>
      </c>
      <c r="I11" s="107">
        <v>0.60912714041761</v>
      </c>
      <c r="J11" s="101"/>
      <c r="K11" s="147" t="s">
        <v>55</v>
      </c>
      <c r="L11" s="107">
        <v>0.147030166644408</v>
      </c>
      <c r="M11" s="107">
        <v>-0.928138279178639</v>
      </c>
      <c r="N11" s="107">
        <v>-1.58372737938239</v>
      </c>
      <c r="O11" s="107">
        <v>-1.52463088200028</v>
      </c>
      <c r="P11" s="107">
        <v>-1.27225327118747</v>
      </c>
      <c r="Q11" s="107">
        <v>-1.02321099304128</v>
      </c>
      <c r="R11" s="107">
        <v>0.425886387097208</v>
      </c>
      <c r="S11" s="101"/>
    </row>
    <row r="12" ht="15.6" spans="1:19">
      <c r="A12" s="101"/>
      <c r="B12" s="147" t="s">
        <v>57</v>
      </c>
      <c r="C12" s="107">
        <v>0.407966492584787</v>
      </c>
      <c r="D12" s="107">
        <v>0.44341527028405</v>
      </c>
      <c r="E12" s="107">
        <v>0.866993364349247</v>
      </c>
      <c r="F12" s="107">
        <v>0.882313110035616</v>
      </c>
      <c r="G12" s="107">
        <v>0.633214310469791</v>
      </c>
      <c r="H12" s="107">
        <v>0.730345526140182</v>
      </c>
      <c r="I12" s="107">
        <v>0.509186478321654</v>
      </c>
      <c r="J12" s="101"/>
      <c r="K12" s="147" t="s">
        <v>57</v>
      </c>
      <c r="L12" s="107">
        <v>1.36479128773429</v>
      </c>
      <c r="M12" s="107">
        <v>-0.178462664549688</v>
      </c>
      <c r="N12" s="107">
        <v>-0.945664986497076</v>
      </c>
      <c r="O12" s="107">
        <v>-0.912269925996448</v>
      </c>
      <c r="P12" s="107">
        <v>-0.682003797060488</v>
      </c>
      <c r="Q12" s="107">
        <v>-0.591709284250162</v>
      </c>
      <c r="R12" s="107">
        <v>2.17387994511889</v>
      </c>
      <c r="S12" s="101"/>
    </row>
    <row r="13" ht="15.6" spans="1:19">
      <c r="A13" s="101"/>
      <c r="B13" s="147" t="s">
        <v>59</v>
      </c>
      <c r="C13" s="107">
        <v>1.64929169024241</v>
      </c>
      <c r="D13" s="107">
        <v>0.947572167009837</v>
      </c>
      <c r="E13" s="107">
        <v>3.04352435288066</v>
      </c>
      <c r="F13" s="107">
        <v>0.989478222546567</v>
      </c>
      <c r="G13" s="107">
        <v>1.53809989112083</v>
      </c>
      <c r="H13" s="107">
        <v>0.865303945698052</v>
      </c>
      <c r="I13" s="107">
        <v>1.38477321082137</v>
      </c>
      <c r="J13" s="101"/>
      <c r="K13" s="147" t="s">
        <v>59</v>
      </c>
      <c r="L13" s="107">
        <v>46.3364453146378</v>
      </c>
      <c r="M13" s="107">
        <v>50.9632664238994</v>
      </c>
      <c r="N13" s="107">
        <v>-32.2981071442223</v>
      </c>
      <c r="O13" s="107">
        <v>-5.54082366322279</v>
      </c>
      <c r="P13" s="107">
        <v>-5.96203742958424</v>
      </c>
      <c r="Q13" s="107">
        <v>8.64659391431765</v>
      </c>
      <c r="R13" s="107">
        <v>48.6841647566437</v>
      </c>
      <c r="S13" s="101"/>
    </row>
    <row r="14" ht="15.6" spans="1:19">
      <c r="A14" s="101"/>
      <c r="B14" s="147" t="s">
        <v>61</v>
      </c>
      <c r="C14" s="107">
        <v>0.288286873130077</v>
      </c>
      <c r="D14" s="107">
        <v>0.496424231733317</v>
      </c>
      <c r="E14" s="107">
        <v>0.855942964375955</v>
      </c>
      <c r="F14" s="107">
        <v>0.863005632014871</v>
      </c>
      <c r="G14" s="107">
        <v>0.675963222869577</v>
      </c>
      <c r="H14" s="107">
        <v>0.706189061591338</v>
      </c>
      <c r="I14" s="107">
        <v>0.26856503024201</v>
      </c>
      <c r="J14" s="101"/>
      <c r="K14" s="147" t="s">
        <v>61</v>
      </c>
      <c r="L14" s="107">
        <v>1.58673043048178</v>
      </c>
      <c r="M14" s="107">
        <v>-0.175179821148319</v>
      </c>
      <c r="N14" s="107">
        <v>-0.95772975479527</v>
      </c>
      <c r="O14" s="107">
        <v>-0.898484346845511</v>
      </c>
      <c r="P14" s="107">
        <v>-0.730992706731268</v>
      </c>
      <c r="Q14" s="107">
        <v>-0.560500344249462</v>
      </c>
      <c r="R14" s="107">
        <v>2.52036501357428</v>
      </c>
      <c r="S14" s="101"/>
    </row>
    <row r="15" ht="15.6" spans="1:19">
      <c r="A15" s="101"/>
      <c r="B15" s="147" t="s">
        <v>63</v>
      </c>
      <c r="C15" s="107">
        <v>0.354871663015045</v>
      </c>
      <c r="D15" s="107">
        <v>0.533394678524283</v>
      </c>
      <c r="E15" s="107">
        <v>0.894059741935329</v>
      </c>
      <c r="F15" s="107">
        <v>1.11957828454185</v>
      </c>
      <c r="G15" s="107">
        <v>0.829394937860886</v>
      </c>
      <c r="H15" s="107">
        <v>0.667859416896669</v>
      </c>
      <c r="I15" s="107">
        <v>0.357607013679641</v>
      </c>
      <c r="J15" s="101"/>
      <c r="K15" s="147" t="s">
        <v>63</v>
      </c>
      <c r="L15" s="107">
        <v>2.34870778173623</v>
      </c>
      <c r="M15" s="107">
        <v>-0.0542376987973611</v>
      </c>
      <c r="N15" s="107">
        <v>-1.04148448264087</v>
      </c>
      <c r="O15" s="107">
        <v>-1.16720709086342</v>
      </c>
      <c r="P15" s="107">
        <v>-0.905244810004468</v>
      </c>
      <c r="Q15" s="107">
        <v>-0.452416021959189</v>
      </c>
      <c r="R15" s="107">
        <v>3.61886273888684</v>
      </c>
      <c r="S15" s="101"/>
    </row>
    <row r="16" ht="15.6" spans="1:19">
      <c r="A16" s="101"/>
      <c r="B16" s="147" t="s">
        <v>65</v>
      </c>
      <c r="C16" s="107">
        <v>1.46903889954245</v>
      </c>
      <c r="D16" s="107">
        <v>1.83855203898502</v>
      </c>
      <c r="E16" s="107">
        <v>2.28757894083617</v>
      </c>
      <c r="F16" s="107">
        <v>1.54250679235557</v>
      </c>
      <c r="G16" s="107">
        <v>0.786206268556942</v>
      </c>
      <c r="H16" s="107">
        <v>1.21476969427574</v>
      </c>
      <c r="I16" s="107">
        <v>1.23515890287068</v>
      </c>
      <c r="J16" s="101"/>
      <c r="K16" s="147" t="s">
        <v>65</v>
      </c>
      <c r="L16" s="107">
        <v>4.55710606350369</v>
      </c>
      <c r="M16" s="107">
        <v>2.09534300958444</v>
      </c>
      <c r="N16" s="107">
        <v>-4.96920068684402</v>
      </c>
      <c r="O16" s="107">
        <v>-2.00750300320306</v>
      </c>
      <c r="P16" s="107">
        <v>-1.29378053820698</v>
      </c>
      <c r="Q16" s="107">
        <v>-0.276335817490566</v>
      </c>
      <c r="R16" s="107">
        <v>4.95517607001921</v>
      </c>
      <c r="S16" s="101"/>
    </row>
    <row r="17" ht="15.6" spans="1:19">
      <c r="B17" s="174" t="s">
        <v>67</v>
      </c>
      <c r="C17" s="175">
        <v>2.28799917267607</v>
      </c>
      <c r="D17" s="175">
        <v>0</v>
      </c>
      <c r="E17" s="175">
        <v>0</v>
      </c>
      <c r="F17" s="175">
        <v>0</v>
      </c>
      <c r="G17" s="175">
        <v>0</v>
      </c>
      <c r="H17" s="175">
        <v>0.921804511818182</v>
      </c>
      <c r="I17" s="175">
        <v>1.53123833270004</v>
      </c>
      <c r="J17" s="101"/>
      <c r="K17" s="174" t="s">
        <v>67</v>
      </c>
      <c r="L17" s="175">
        <v>277.321601996339</v>
      </c>
      <c r="M17" s="175">
        <v>0</v>
      </c>
      <c r="N17" s="175">
        <v>0</v>
      </c>
      <c r="O17" s="175">
        <v>0</v>
      </c>
      <c r="P17" s="175">
        <v>0</v>
      </c>
      <c r="Q17" s="175">
        <v>709.465346167676</v>
      </c>
      <c r="R17" s="175">
        <v>231.062986330505</v>
      </c>
    </row>
    <row r="18" ht="15.6" spans="1:19">
      <c r="A18" s="101"/>
      <c r="B18" s="147" t="s">
        <v>69</v>
      </c>
      <c r="C18" s="107">
        <v>1.00630710037414</v>
      </c>
      <c r="D18" s="107">
        <v>1.07432661357141</v>
      </c>
      <c r="E18" s="107">
        <v>1.19341813457248</v>
      </c>
      <c r="F18" s="107">
        <v>1.25066388882084</v>
      </c>
      <c r="G18" s="107">
        <v>1.46027692261367</v>
      </c>
      <c r="H18" s="107">
        <v>1.20290427893162</v>
      </c>
      <c r="I18" s="107">
        <v>0.971378175023511</v>
      </c>
      <c r="J18" s="101"/>
      <c r="K18" s="147" t="s">
        <v>69</v>
      </c>
      <c r="L18" s="107">
        <v>-0.0495199554696739</v>
      </c>
      <c r="M18" s="107">
        <v>-0.720753684646251</v>
      </c>
      <c r="N18" s="107">
        <v>-1.36959825990927</v>
      </c>
      <c r="O18" s="107">
        <v>-1.28282766345194</v>
      </c>
      <c r="P18" s="107">
        <v>-1.48520112668924</v>
      </c>
      <c r="Q18" s="107">
        <v>-1.09646502227592</v>
      </c>
      <c r="R18" s="107">
        <v>0.214861199416937</v>
      </c>
      <c r="S18" s="101"/>
    </row>
    <row r="19" ht="15.6" spans="1:19">
      <c r="B19" s="174" t="s">
        <v>71</v>
      </c>
      <c r="C19" s="175">
        <v>-0.147652495781954</v>
      </c>
      <c r="D19" s="175">
        <v>0.768101768124452</v>
      </c>
      <c r="E19" s="175">
        <v>0.533462372107304</v>
      </c>
      <c r="F19" s="175">
        <v>0.59493886891155</v>
      </c>
      <c r="G19" s="175">
        <v>0.593934868117585</v>
      </c>
      <c r="H19" s="175">
        <v>1.36355183999959</v>
      </c>
      <c r="I19" s="175">
        <v>-0.0701811891360814</v>
      </c>
      <c r="J19" s="101"/>
      <c r="K19" s="174" t="s">
        <v>71</v>
      </c>
      <c r="L19" s="175">
        <v>12.5332578271692</v>
      </c>
      <c r="M19" s="175">
        <v>6.80777541671681</v>
      </c>
      <c r="N19" s="175">
        <v>-1.47384438161449</v>
      </c>
      <c r="O19" s="175">
        <v>-0.820497844949611</v>
      </c>
      <c r="P19" s="175">
        <v>-0.985491258742957</v>
      </c>
      <c r="Q19" s="175">
        <v>0.0742795204900806</v>
      </c>
      <c r="R19" s="175">
        <v>49.2573939365322</v>
      </c>
    </row>
    <row r="20" ht="15.6" spans="1:19">
      <c r="B20" s="174" t="s">
        <v>73</v>
      </c>
      <c r="C20" s="175">
        <v>1.13504469533579</v>
      </c>
      <c r="D20" s="175">
        <v>0.886222786077482</v>
      </c>
      <c r="E20" s="175">
        <v>0.284027640697674</v>
      </c>
      <c r="F20" s="175">
        <v>3.4711591019103</v>
      </c>
      <c r="G20" s="175">
        <v>0.124350450166551</v>
      </c>
      <c r="H20" s="175">
        <v>0.979716707917795</v>
      </c>
      <c r="I20" s="175">
        <v>0.857339140346064</v>
      </c>
      <c r="J20" s="101"/>
      <c r="K20" s="174" t="s">
        <v>73</v>
      </c>
      <c r="L20" s="175">
        <v>270.911274650691</v>
      </c>
      <c r="M20" s="175">
        <v>99.0113353107931</v>
      </c>
      <c r="N20" s="175">
        <v>-69.1859507651856</v>
      </c>
      <c r="O20" s="175">
        <v>-17.0692711551627</v>
      </c>
      <c r="P20" s="175">
        <v>-13.7056293712053</v>
      </c>
      <c r="Q20" s="175">
        <v>32.6308410354047</v>
      </c>
      <c r="R20" s="175">
        <v>284.357070996534</v>
      </c>
    </row>
    <row r="21" ht="15.6" spans="1:19">
      <c r="A21" s="101"/>
      <c r="B21" s="147" t="s">
        <v>75</v>
      </c>
      <c r="C21" s="107">
        <v>1.21754842016599</v>
      </c>
      <c r="D21" s="107">
        <v>1.06231998539538</v>
      </c>
      <c r="E21" s="107">
        <v>1.45536678848452</v>
      </c>
      <c r="F21" s="107">
        <v>1.4566490410116</v>
      </c>
      <c r="G21" s="107">
        <v>1.09644622819152</v>
      </c>
      <c r="H21" s="107">
        <v>1.15402511389987</v>
      </c>
      <c r="I21" s="107">
        <v>1.02726836549101</v>
      </c>
      <c r="J21" s="101"/>
      <c r="K21" s="147" t="s">
        <v>75</v>
      </c>
      <c r="L21" s="107">
        <v>0.338931795605491</v>
      </c>
      <c r="M21" s="107">
        <v>-0.465676421808649</v>
      </c>
      <c r="N21" s="107">
        <v>-1.7664923368685</v>
      </c>
      <c r="O21" s="107">
        <v>-1.52137508696932</v>
      </c>
      <c r="P21" s="107">
        <v>-1.17504337698429</v>
      </c>
      <c r="Q21" s="107">
        <v>-0.956988637485987</v>
      </c>
      <c r="R21" s="107">
        <v>0.662155710114007</v>
      </c>
      <c r="S21" s="101"/>
    </row>
    <row r="22" ht="15.6" spans="1:19">
      <c r="A22" s="101"/>
      <c r="B22" s="147" t="s">
        <v>77</v>
      </c>
      <c r="C22" s="107">
        <v>0.782803311553515</v>
      </c>
      <c r="D22" s="107">
        <v>0.746650544026967</v>
      </c>
      <c r="E22" s="107">
        <v>1.12104417758278</v>
      </c>
      <c r="F22" s="107">
        <v>1.08371432937773</v>
      </c>
      <c r="G22" s="107">
        <v>1.102428671332</v>
      </c>
      <c r="H22" s="107">
        <v>0.918382284859842</v>
      </c>
      <c r="I22" s="107">
        <v>0.992033053931839</v>
      </c>
      <c r="J22" s="101"/>
      <c r="K22" s="147" t="s">
        <v>77</v>
      </c>
      <c r="L22" s="107">
        <v>3.11383903483126</v>
      </c>
      <c r="M22" s="107">
        <v>0.426858450804962</v>
      </c>
      <c r="N22" s="107">
        <v>-1.48515875518657</v>
      </c>
      <c r="O22" s="107">
        <v>-1.1788307498103</v>
      </c>
      <c r="P22" s="107">
        <v>-1.23232736101789</v>
      </c>
      <c r="Q22" s="107">
        <v>-0.495825926405645</v>
      </c>
      <c r="R22" s="107">
        <v>4.76390433413242</v>
      </c>
      <c r="S22" s="101"/>
    </row>
    <row r="23" ht="15.6" spans="1:19">
      <c r="A23" s="101"/>
      <c r="B23" s="147" t="s">
        <v>79</v>
      </c>
      <c r="C23" s="107">
        <v>0.652103281172081</v>
      </c>
      <c r="D23" s="107">
        <v>0.836648200828729</v>
      </c>
      <c r="E23" s="107">
        <v>1.23299798547828</v>
      </c>
      <c r="F23" s="107">
        <v>1.34436762295961</v>
      </c>
      <c r="G23" s="107">
        <v>1.2471350167773</v>
      </c>
      <c r="H23" s="107">
        <v>1.00963891354886</v>
      </c>
      <c r="I23" s="107">
        <v>0.357716221197293</v>
      </c>
      <c r="J23" s="101"/>
      <c r="K23" s="147" t="s">
        <v>79</v>
      </c>
      <c r="L23" s="107">
        <v>34.6327901558457</v>
      </c>
      <c r="M23" s="107">
        <v>8.76443173542817</v>
      </c>
      <c r="N23" s="107">
        <v>-5.96635055261977</v>
      </c>
      <c r="O23" s="107">
        <v>-2.52946522169143</v>
      </c>
      <c r="P23" s="107">
        <v>-2.71630833348713</v>
      </c>
      <c r="Q23" s="107">
        <v>2.94645270628957</v>
      </c>
      <c r="R23" s="107">
        <v>37.5128945483116</v>
      </c>
      <c r="S23" s="101"/>
    </row>
    <row r="24" ht="15.6" spans="1:19">
      <c r="A24" s="101"/>
      <c r="B24" s="147" t="s">
        <v>81</v>
      </c>
      <c r="C24" s="107">
        <v>0.712184353351356</v>
      </c>
      <c r="D24" s="107">
        <v>1.03825291992821</v>
      </c>
      <c r="E24" s="107">
        <v>1.05225285346824</v>
      </c>
      <c r="F24" s="107">
        <v>1.14103405104571</v>
      </c>
      <c r="G24" s="107">
        <v>1.17480523478155</v>
      </c>
      <c r="H24" s="107">
        <v>1.15736897246988</v>
      </c>
      <c r="I24" s="107">
        <v>0.606927841848736</v>
      </c>
      <c r="J24" s="101"/>
      <c r="K24" s="147" t="s">
        <v>81</v>
      </c>
      <c r="L24" s="107">
        <v>7.46807777827435</v>
      </c>
      <c r="M24" s="107">
        <v>1.29646906658528</v>
      </c>
      <c r="N24" s="107">
        <v>-2.16835292460894</v>
      </c>
      <c r="O24" s="107">
        <v>-1.26372720024574</v>
      </c>
      <c r="P24" s="107">
        <v>-1.49728900420705</v>
      </c>
      <c r="Q24" s="107">
        <v>-0.369246719466414</v>
      </c>
      <c r="R24" s="107">
        <v>9.37249882626441</v>
      </c>
      <c r="S24" s="101"/>
    </row>
    <row r="25" ht="15.6" spans="1:19">
      <c r="A25" s="101"/>
      <c r="B25" s="147" t="s">
        <v>83</v>
      </c>
      <c r="C25" s="107">
        <v>3.18584428182805</v>
      </c>
      <c r="D25" s="107">
        <v>1.29547520611548</v>
      </c>
      <c r="E25" s="107">
        <v>1.64371071132692</v>
      </c>
      <c r="F25" s="107">
        <v>0.934639319947921</v>
      </c>
      <c r="G25" s="107">
        <v>2.44287049846337</v>
      </c>
      <c r="H25" s="107">
        <v>1.05493433740377</v>
      </c>
      <c r="I25" s="107">
        <v>3.03333760511837</v>
      </c>
      <c r="J25" s="101"/>
      <c r="K25" s="147" t="s">
        <v>83</v>
      </c>
      <c r="L25" s="107">
        <v>16.5616323853206</v>
      </c>
      <c r="M25" s="107">
        <v>7.07687289334518</v>
      </c>
      <c r="N25" s="107">
        <v>-6.10841732041112</v>
      </c>
      <c r="O25" s="107">
        <v>-1.89216375330369</v>
      </c>
      <c r="P25" s="107">
        <v>-3.66681042831949</v>
      </c>
      <c r="Q25" s="107">
        <v>2.1333577290719</v>
      </c>
      <c r="R25" s="107">
        <v>16.6656277858984</v>
      </c>
      <c r="S25" s="101"/>
    </row>
    <row r="26" ht="15.6" spans="1:19">
      <c r="A26" s="101"/>
      <c r="B26" s="147" t="s">
        <v>85</v>
      </c>
      <c r="C26" s="107">
        <v>0.496005918581941</v>
      </c>
      <c r="D26" s="107">
        <v>0.688945905122132</v>
      </c>
      <c r="E26" s="107">
        <v>1.37099941131234</v>
      </c>
      <c r="F26" s="107">
        <v>1.19223235970627</v>
      </c>
      <c r="G26" s="107">
        <v>1.41554640468445</v>
      </c>
      <c r="H26" s="107">
        <v>0.693280930654197</v>
      </c>
      <c r="I26" s="107">
        <v>0.579378869344302</v>
      </c>
      <c r="J26" s="101"/>
      <c r="K26" s="147" t="s">
        <v>85</v>
      </c>
      <c r="L26" s="107">
        <v>18.739476349319</v>
      </c>
      <c r="M26" s="107">
        <v>7.51170316964546</v>
      </c>
      <c r="N26" s="107">
        <v>-4.01119257176771</v>
      </c>
      <c r="O26" s="107">
        <v>-1.95695137450325</v>
      </c>
      <c r="P26" s="107">
        <v>-2.280800288269</v>
      </c>
      <c r="Q26" s="107">
        <v>0.825843797087698</v>
      </c>
      <c r="R26" s="107">
        <v>31.8380361582918</v>
      </c>
      <c r="S26" s="101"/>
    </row>
    <row r="27" ht="15.6" spans="1:19">
      <c r="B27" s="147" t="s">
        <v>87</v>
      </c>
      <c r="C27" s="107">
        <v>1.30032008997484</v>
      </c>
      <c r="D27" s="107">
        <v>2.44323148175443</v>
      </c>
      <c r="E27" s="107">
        <v>1.00287291310914</v>
      </c>
      <c r="F27" s="107">
        <v>1.01332368462154</v>
      </c>
      <c r="G27" s="107">
        <v>1.7778182829357</v>
      </c>
      <c r="H27" s="107">
        <v>1.19982192412826</v>
      </c>
      <c r="I27" s="107">
        <v>1.01484153359969</v>
      </c>
      <c r="K27" s="147" t="s">
        <v>87</v>
      </c>
      <c r="L27" s="107">
        <v>9.88078685482103</v>
      </c>
      <c r="M27" s="107">
        <v>8.0101202314679</v>
      </c>
      <c r="N27" s="107">
        <v>-8.15986697804567</v>
      </c>
      <c r="O27" s="107">
        <v>-2.76068855927317</v>
      </c>
      <c r="P27" s="107">
        <v>-2.94221946116822</v>
      </c>
      <c r="Q27" s="107">
        <v>0.641325565237466</v>
      </c>
      <c r="R27" s="107">
        <v>10.3529485236784</v>
      </c>
    </row>
    <row r="28" ht="15.6" spans="1:19">
      <c r="A28" s="101"/>
      <c r="B28" s="147" t="s">
        <v>89</v>
      </c>
      <c r="C28" s="107">
        <v>0.875735849681408</v>
      </c>
      <c r="D28" s="107">
        <v>0.992008051101883</v>
      </c>
      <c r="E28" s="107">
        <v>0.985262441006294</v>
      </c>
      <c r="F28" s="107">
        <v>1.15130076557903</v>
      </c>
      <c r="G28" s="107">
        <v>1.25470950333316</v>
      </c>
      <c r="H28" s="107">
        <v>0.941940963096634</v>
      </c>
      <c r="I28" s="107">
        <v>0.809940586288838</v>
      </c>
      <c r="J28" s="101"/>
      <c r="K28" s="147" t="s">
        <v>89</v>
      </c>
      <c r="L28" s="107">
        <v>2.51657534989565</v>
      </c>
      <c r="M28" s="107">
        <v>0.249558106710041</v>
      </c>
      <c r="N28" s="107">
        <v>-1.50620856106805</v>
      </c>
      <c r="O28" s="107">
        <v>-1.27036977102704</v>
      </c>
      <c r="P28" s="107">
        <v>-1.39462891605983</v>
      </c>
      <c r="Q28" s="107">
        <v>-0.525329668124831</v>
      </c>
      <c r="R28" s="107">
        <v>3.32091325989384</v>
      </c>
      <c r="S28" s="101"/>
    </row>
    <row r="29" ht="15.6" spans="1:19">
      <c r="A29" s="101"/>
      <c r="B29" s="147" t="s">
        <v>91</v>
      </c>
      <c r="C29" s="107">
        <v>0.803089159667684</v>
      </c>
      <c r="D29" s="107">
        <v>0.542563063977885</v>
      </c>
      <c r="E29" s="107">
        <v>0.468101887586643</v>
      </c>
      <c r="F29" s="107">
        <v>0.412630484921674</v>
      </c>
      <c r="G29" s="107">
        <v>0.542865742291034</v>
      </c>
      <c r="H29" s="107">
        <v>0.372739304320828</v>
      </c>
      <c r="I29" s="107">
        <v>0.906073310195004</v>
      </c>
      <c r="J29" s="101"/>
      <c r="K29" s="147" t="s">
        <v>91</v>
      </c>
      <c r="L29" s="107">
        <v>-0.656575211414858</v>
      </c>
      <c r="M29" s="107">
        <v>-0.43165580615043</v>
      </c>
      <c r="N29" s="107">
        <v>-0.518068957848183</v>
      </c>
      <c r="O29" s="107">
        <v>-0.443422094228371</v>
      </c>
      <c r="P29" s="107">
        <v>-0.577323338750297</v>
      </c>
      <c r="Q29" s="107">
        <v>-0.370369156881782</v>
      </c>
      <c r="R29" s="107">
        <v>-0.683045131349182</v>
      </c>
      <c r="S29" s="101"/>
    </row>
    <row r="30" ht="15.6" spans="1:19">
      <c r="A30" s="101"/>
      <c r="B30" s="147" t="s">
        <v>93</v>
      </c>
      <c r="C30" s="107">
        <v>1.31125577622658</v>
      </c>
      <c r="D30" s="107">
        <v>1.47656617705745</v>
      </c>
      <c r="E30" s="107">
        <v>1.76886395027669</v>
      </c>
      <c r="F30" s="107">
        <v>1.15240407548047</v>
      </c>
      <c r="G30" s="107">
        <v>1.09076729100704</v>
      </c>
      <c r="H30" s="107">
        <v>1.41022177208189</v>
      </c>
      <c r="I30" s="107">
        <v>1.02571554932905</v>
      </c>
      <c r="J30" s="101"/>
      <c r="K30" s="147" t="s">
        <v>93</v>
      </c>
      <c r="L30" s="107">
        <v>-0.401735086735295</v>
      </c>
      <c r="M30" s="107">
        <v>-1.25903699433998</v>
      </c>
      <c r="N30" s="107">
        <v>-1.882604735692</v>
      </c>
      <c r="O30" s="107">
        <v>-1.18101845788351</v>
      </c>
      <c r="P30" s="107">
        <v>-1.12962371764067</v>
      </c>
      <c r="Q30" s="107">
        <v>-1.31084693728703</v>
      </c>
      <c r="R30" s="107">
        <v>-0.179022517938364</v>
      </c>
      <c r="S30" s="101"/>
    </row>
    <row r="31" ht="15.6" spans="1:19">
      <c r="A31" s="101"/>
      <c r="B31" s="147" t="s">
        <v>95</v>
      </c>
      <c r="C31" s="107">
        <v>0.385720582529724</v>
      </c>
      <c r="D31" s="107">
        <v>0.510672830670677</v>
      </c>
      <c r="E31" s="107">
        <v>0.775502092355131</v>
      </c>
      <c r="F31" s="107">
        <v>0.7291026327363</v>
      </c>
      <c r="G31" s="107">
        <v>0.64033767319912</v>
      </c>
      <c r="H31" s="107">
        <v>0.574200448981786</v>
      </c>
      <c r="I31" s="107">
        <v>0.454903973133502</v>
      </c>
      <c r="J31" s="101"/>
      <c r="K31" s="147" t="s">
        <v>95</v>
      </c>
      <c r="L31" s="107">
        <v>-0.089320920551644</v>
      </c>
      <c r="M31" s="107">
        <v>-0.453271027321115</v>
      </c>
      <c r="N31" s="107">
        <v>-0.816193585766095</v>
      </c>
      <c r="O31" s="107">
        <v>-0.755850417584487</v>
      </c>
      <c r="P31" s="107">
        <v>-0.671778347183937</v>
      </c>
      <c r="Q31" s="107">
        <v>-0.562530358814414</v>
      </c>
      <c r="R31" s="107">
        <v>0.0148860267311102</v>
      </c>
      <c r="S31" s="101"/>
    </row>
    <row r="32" ht="15.6" spans="1:19">
      <c r="B32" s="174" t="s">
        <v>97</v>
      </c>
      <c r="C32" s="175">
        <v>0</v>
      </c>
      <c r="D32" s="175">
        <v>1.04899490361111</v>
      </c>
      <c r="E32" s="175">
        <v>0</v>
      </c>
      <c r="F32" s="175">
        <v>0</v>
      </c>
      <c r="G32" s="175">
        <v>3.07970687083333</v>
      </c>
      <c r="H32" s="175">
        <v>0</v>
      </c>
      <c r="I32" s="175">
        <v>0</v>
      </c>
      <c r="J32" s="101"/>
      <c r="K32" s="174" t="s">
        <v>97</v>
      </c>
      <c r="L32" s="175">
        <v>0</v>
      </c>
      <c r="M32" s="175">
        <v>25213.5752111197</v>
      </c>
      <c r="N32" s="175">
        <v>0</v>
      </c>
      <c r="O32" s="175">
        <v>0</v>
      </c>
      <c r="P32" s="175">
        <v>-1633.96381084661</v>
      </c>
      <c r="Q32" s="175">
        <v>0</v>
      </c>
      <c r="R32" s="175">
        <v>0</v>
      </c>
    </row>
    <row r="33" ht="15.6" spans="1:19">
      <c r="A33" s="101"/>
      <c r="B33" s="147" t="s">
        <v>99</v>
      </c>
      <c r="C33" s="107">
        <v>1.41505483140843</v>
      </c>
      <c r="D33" s="107">
        <v>1.79151968664095</v>
      </c>
      <c r="E33" s="107">
        <v>1.17787219572677</v>
      </c>
      <c r="F33" s="107">
        <v>1.58918455874289</v>
      </c>
      <c r="G33" s="107">
        <v>1.68602128944389</v>
      </c>
      <c r="H33" s="107">
        <v>1.73878669996008</v>
      </c>
      <c r="I33" s="107">
        <v>1.08875545642961</v>
      </c>
      <c r="J33" s="101"/>
      <c r="K33" s="147" t="s">
        <v>99</v>
      </c>
      <c r="L33" s="107">
        <v>0.371229595600275</v>
      </c>
      <c r="M33" s="107">
        <v>-1.00934693417862</v>
      </c>
      <c r="N33" s="107">
        <v>-1.78417436569866</v>
      </c>
      <c r="O33" s="107">
        <v>-1.69620715514487</v>
      </c>
      <c r="P33" s="107">
        <v>-1.81172712214325</v>
      </c>
      <c r="Q33" s="107">
        <v>-1.48627803659686</v>
      </c>
      <c r="R33" s="107">
        <v>0.647956913413162</v>
      </c>
      <c r="S33" s="101"/>
    </row>
    <row r="34" ht="15.6" spans="1:19">
      <c r="A34" s="101"/>
      <c r="B34" s="147" t="s">
        <v>101</v>
      </c>
      <c r="C34" s="107">
        <v>0.774560114995558</v>
      </c>
      <c r="D34" s="107">
        <v>0.882662999414793</v>
      </c>
      <c r="E34" s="107">
        <v>1.28871957690263</v>
      </c>
      <c r="F34" s="107">
        <v>1.04822646546676</v>
      </c>
      <c r="G34" s="107">
        <v>1.17198693952899</v>
      </c>
      <c r="H34" s="107">
        <v>0.984158933479407</v>
      </c>
      <c r="I34" s="107">
        <v>0.602095479333266</v>
      </c>
      <c r="J34" s="101"/>
      <c r="K34" s="147" t="s">
        <v>101</v>
      </c>
      <c r="L34" s="107">
        <v>5.61172947378522</v>
      </c>
      <c r="M34" s="107">
        <v>0.514414686760543</v>
      </c>
      <c r="N34" s="107">
        <v>-1.9097146090339</v>
      </c>
      <c r="O34" s="107">
        <v>-1.24253095498533</v>
      </c>
      <c r="P34" s="107">
        <v>-1.39119099512731</v>
      </c>
      <c r="Q34" s="107">
        <v>-0.401953498881131</v>
      </c>
      <c r="R34" s="107">
        <v>6.57425593774178</v>
      </c>
      <c r="S34" s="101"/>
    </row>
    <row r="35" ht="15.6" spans="1:19">
      <c r="A35" s="101"/>
      <c r="B35" s="147" t="s">
        <v>103</v>
      </c>
      <c r="C35" s="107">
        <v>0.884074657087084</v>
      </c>
      <c r="D35" s="107">
        <v>1.33946942773572</v>
      </c>
      <c r="E35" s="107">
        <v>1.10917399481008</v>
      </c>
      <c r="F35" s="107">
        <v>1.00375696397823</v>
      </c>
      <c r="G35" s="107">
        <v>1.06187043113948</v>
      </c>
      <c r="H35" s="107">
        <v>0.66267530287281</v>
      </c>
      <c r="I35" s="107">
        <v>0.806910537693861</v>
      </c>
      <c r="J35" s="101"/>
      <c r="K35" s="147" t="s">
        <v>103</v>
      </c>
      <c r="L35" s="107">
        <v>1.91896009979599</v>
      </c>
      <c r="M35" s="107">
        <v>-0.0254905972789736</v>
      </c>
      <c r="N35" s="107">
        <v>-1.70184347590353</v>
      </c>
      <c r="O35" s="107">
        <v>-1.15756041980144</v>
      </c>
      <c r="P35" s="107">
        <v>-1.19307038557797</v>
      </c>
      <c r="Q35" s="107">
        <v>-0.303161360678018</v>
      </c>
      <c r="R35" s="107">
        <v>2.49912668499071</v>
      </c>
      <c r="S35" s="101"/>
    </row>
    <row r="36" ht="15.6" spans="1:19">
      <c r="A36" s="101"/>
      <c r="B36" s="147" t="s">
        <v>105</v>
      </c>
      <c r="C36" s="107">
        <v>1.02719082729544</v>
      </c>
      <c r="D36" s="107">
        <v>1.11950216745828</v>
      </c>
      <c r="E36" s="107">
        <v>0.891160558083661</v>
      </c>
      <c r="F36" s="107">
        <v>1.73710212938735</v>
      </c>
      <c r="G36" s="107">
        <v>0.968563253108169</v>
      </c>
      <c r="H36" s="107">
        <v>1.0566720958622</v>
      </c>
      <c r="I36" s="107">
        <v>0.742762855392462</v>
      </c>
      <c r="J36" s="101"/>
      <c r="K36" s="147" t="s">
        <v>105</v>
      </c>
      <c r="L36" s="107">
        <v>41.0873440092562</v>
      </c>
      <c r="M36" s="107">
        <v>10.3387581531269</v>
      </c>
      <c r="N36" s="107">
        <v>-5.9735428350211</v>
      </c>
      <c r="O36" s="107">
        <v>-3.27972168644075</v>
      </c>
      <c r="P36" s="107">
        <v>-3.16372990000991</v>
      </c>
      <c r="Q36" s="107">
        <v>3.89540566675314</v>
      </c>
      <c r="R36" s="107">
        <v>41.0071037153155</v>
      </c>
      <c r="S36" s="101"/>
    </row>
    <row r="37" ht="15.6" spans="1:19">
      <c r="B37" s="174" t="s">
        <v>107</v>
      </c>
      <c r="C37" s="175">
        <v>1.60554338654273</v>
      </c>
      <c r="D37" s="175">
        <v>1.2716453318484</v>
      </c>
      <c r="E37" s="175">
        <v>1.51667047352941</v>
      </c>
      <c r="F37" s="175">
        <v>2.67436723044761</v>
      </c>
      <c r="G37" s="175">
        <v>1.22348511952522</v>
      </c>
      <c r="H37" s="175">
        <v>1.29007575079787</v>
      </c>
      <c r="I37" s="175">
        <v>0.966045539042394</v>
      </c>
      <c r="J37" s="101"/>
      <c r="K37" s="174" t="s">
        <v>107</v>
      </c>
      <c r="L37" s="175">
        <v>653.952018521172</v>
      </c>
      <c r="M37" s="175">
        <v>119.426529699657</v>
      </c>
      <c r="N37" s="175">
        <v>-117.701222352301</v>
      </c>
      <c r="O37" s="175">
        <v>-18.7803454565572</v>
      </c>
      <c r="P37" s="175">
        <v>-36.0651629504705</v>
      </c>
      <c r="Q37" s="175">
        <v>78.8694149611305</v>
      </c>
      <c r="R37" s="175">
        <v>507.116074721612</v>
      </c>
    </row>
    <row r="38" ht="15.6" spans="1:19">
      <c r="A38" s="101"/>
      <c r="B38" s="147" t="s">
        <v>109</v>
      </c>
      <c r="C38" s="107">
        <v>0.588596212943962</v>
      </c>
      <c r="D38" s="107">
        <v>0.782719803988158</v>
      </c>
      <c r="E38" s="107">
        <v>1.02830596279879</v>
      </c>
      <c r="F38" s="107">
        <v>0.887690066270173</v>
      </c>
      <c r="G38" s="107">
        <v>0.917395416536229</v>
      </c>
      <c r="H38" s="107">
        <v>1.03856638485888</v>
      </c>
      <c r="I38" s="107">
        <v>0.61120585789817</v>
      </c>
      <c r="J38" s="101"/>
      <c r="K38" s="147" t="s">
        <v>109</v>
      </c>
      <c r="L38" s="107">
        <v>1.38319217028286</v>
      </c>
      <c r="M38" s="107">
        <v>-0.276709477076978</v>
      </c>
      <c r="N38" s="107">
        <v>-1.19134830157578</v>
      </c>
      <c r="O38" s="107">
        <v>-0.938862699672325</v>
      </c>
      <c r="P38" s="107">
        <v>-0.985708736819868</v>
      </c>
      <c r="Q38" s="107">
        <v>-0.846557737974256</v>
      </c>
      <c r="R38" s="107">
        <v>2.10729103446082</v>
      </c>
      <c r="S38" s="101"/>
    </row>
    <row r="39" ht="15.6" spans="1:19">
      <c r="B39" s="174" t="s">
        <v>111</v>
      </c>
      <c r="C39" s="175">
        <v>1.60870300497274</v>
      </c>
      <c r="D39" s="175">
        <v>0.165132100955556</v>
      </c>
      <c r="E39" s="175">
        <v>5.38586537044444</v>
      </c>
      <c r="F39" s="175">
        <v>0</v>
      </c>
      <c r="G39" s="175">
        <v>0</v>
      </c>
      <c r="H39" s="175">
        <v>0</v>
      </c>
      <c r="I39" s="175">
        <v>0.897597778713195</v>
      </c>
      <c r="J39" s="101"/>
      <c r="K39" s="174" t="s">
        <v>111</v>
      </c>
      <c r="L39" s="175">
        <v>675.182594712189</v>
      </c>
      <c r="M39" s="175">
        <v>2017.00421371324</v>
      </c>
      <c r="N39" s="175">
        <v>-163.391253378442</v>
      </c>
      <c r="O39" s="175">
        <v>0</v>
      </c>
      <c r="P39" s="175">
        <v>0</v>
      </c>
      <c r="Q39" s="175">
        <v>0</v>
      </c>
      <c r="R39" s="175">
        <v>554.56072985776</v>
      </c>
    </row>
    <row r="40" ht="15.6" spans="1:19">
      <c r="A40" s="101"/>
      <c r="B40" s="147" t="s">
        <v>113</v>
      </c>
      <c r="C40" s="107">
        <v>0.611229945806402</v>
      </c>
      <c r="D40" s="107">
        <v>0.822840600219738</v>
      </c>
      <c r="E40" s="107">
        <v>1.22158373910976</v>
      </c>
      <c r="F40" s="107">
        <v>1.05699936508101</v>
      </c>
      <c r="G40" s="107">
        <v>0.896394191559931</v>
      </c>
      <c r="H40" s="107">
        <v>0.911004156724427</v>
      </c>
      <c r="I40" s="107">
        <v>0.732843214741301</v>
      </c>
      <c r="J40" s="101"/>
      <c r="K40" s="147" t="s">
        <v>113</v>
      </c>
      <c r="L40" s="107">
        <v>0.190206693946595</v>
      </c>
      <c r="M40" s="107">
        <v>-0.318728959582802</v>
      </c>
      <c r="N40" s="107">
        <v>-1.33521180194855</v>
      </c>
      <c r="O40" s="107">
        <v>-1.08387649965448</v>
      </c>
      <c r="P40" s="107">
        <v>-0.934532655234472</v>
      </c>
      <c r="Q40" s="107">
        <v>-0.812108520308666</v>
      </c>
      <c r="R40" s="107">
        <v>0.524440911565881</v>
      </c>
      <c r="S40" s="101"/>
    </row>
    <row r="41" ht="15.6" spans="1:19">
      <c r="A41" s="101"/>
      <c r="B41" s="147" t="s">
        <v>115</v>
      </c>
      <c r="C41" s="107">
        <v>0.944666874864849</v>
      </c>
      <c r="D41" s="107">
        <v>1.19123226827512</v>
      </c>
      <c r="E41" s="107">
        <v>1.55868281881629</v>
      </c>
      <c r="F41" s="107">
        <v>1.33546273917066</v>
      </c>
      <c r="G41" s="107">
        <v>1.3439513786123</v>
      </c>
      <c r="H41" s="107">
        <v>1.32216236387132</v>
      </c>
      <c r="I41" s="107">
        <v>0.788996357091712</v>
      </c>
      <c r="J41" s="101"/>
      <c r="K41" s="147" t="s">
        <v>115</v>
      </c>
      <c r="L41" s="107">
        <v>-0.498201095342531</v>
      </c>
      <c r="M41" s="107">
        <v>-1.00532589441529</v>
      </c>
      <c r="N41" s="107">
        <v>-1.62036149903744</v>
      </c>
      <c r="O41" s="107">
        <v>-1.33808954192932</v>
      </c>
      <c r="P41" s="107">
        <v>-1.34617981835977</v>
      </c>
      <c r="Q41" s="107">
        <v>-1.2497854742522</v>
      </c>
      <c r="R41" s="107">
        <v>-0.277656458919964</v>
      </c>
      <c r="S41" s="101"/>
    </row>
    <row r="42" ht="15.6" spans="1:19">
      <c r="B42" s="174" t="s">
        <v>117</v>
      </c>
      <c r="C42" s="175">
        <v>0.909590937124397</v>
      </c>
      <c r="D42" s="175">
        <v>1.22294581484194</v>
      </c>
      <c r="E42" s="175">
        <v>2.34304505745089</v>
      </c>
      <c r="F42" s="175">
        <v>2.10059501418785</v>
      </c>
      <c r="G42" s="175">
        <v>1.97876077473637</v>
      </c>
      <c r="H42" s="175">
        <v>1.52278024612572</v>
      </c>
      <c r="I42" s="175">
        <v>0.499453131500609</v>
      </c>
      <c r="J42" s="101"/>
      <c r="K42" s="174" t="s">
        <v>117</v>
      </c>
      <c r="L42" s="175">
        <v>7.87191170058059</v>
      </c>
      <c r="M42" s="175">
        <v>-0.187913815646376</v>
      </c>
      <c r="N42" s="175">
        <v>-1.57352738273285</v>
      </c>
      <c r="O42" s="175">
        <v>-1.20221476308155</v>
      </c>
      <c r="P42" s="175">
        <v>-2.21938490813847</v>
      </c>
      <c r="Q42" s="175">
        <v>-0.966522404366464</v>
      </c>
      <c r="R42" s="175">
        <v>6.91849349785302</v>
      </c>
    </row>
    <row r="43" ht="15.6" spans="1:19">
      <c r="A43" s="101"/>
      <c r="B43" s="147" t="s">
        <v>119</v>
      </c>
      <c r="C43" s="107">
        <v>3.36769109066068</v>
      </c>
      <c r="D43" s="107">
        <v>3.40494551281222</v>
      </c>
      <c r="E43" s="107">
        <v>2.02562985970112</v>
      </c>
      <c r="F43" s="107">
        <v>2.41162585956752</v>
      </c>
      <c r="G43" s="107">
        <v>2.03110888751901</v>
      </c>
      <c r="H43" s="107">
        <v>3.08319706467855</v>
      </c>
      <c r="I43" s="107">
        <v>2.54121551434826</v>
      </c>
      <c r="J43" s="101"/>
      <c r="K43" s="147" t="s">
        <v>119</v>
      </c>
      <c r="L43" s="107">
        <v>-2.53917667934029</v>
      </c>
      <c r="M43" s="107">
        <v>-2.87713420512511</v>
      </c>
      <c r="N43" s="107">
        <v>-2.24516872342743</v>
      </c>
      <c r="O43" s="107">
        <v>-2.40296715844086</v>
      </c>
      <c r="P43" s="107">
        <v>-2.03402585888819</v>
      </c>
      <c r="Q43" s="107">
        <v>-2.78225556747672</v>
      </c>
      <c r="R43" s="107">
        <v>-1.91852858081711</v>
      </c>
      <c r="S43" s="101"/>
    </row>
    <row r="44" ht="15.6" spans="1:19">
      <c r="A44" s="101"/>
      <c r="B44" s="147" t="s">
        <v>121</v>
      </c>
      <c r="C44" s="107">
        <v>0.422119526906042</v>
      </c>
      <c r="D44" s="107">
        <v>0.746627427663792</v>
      </c>
      <c r="E44" s="107">
        <v>1.52190825198488</v>
      </c>
      <c r="F44" s="107">
        <v>1.23054430230038</v>
      </c>
      <c r="G44" s="107">
        <v>1.20702000265133</v>
      </c>
      <c r="H44" s="107">
        <v>0.720763935525028</v>
      </c>
      <c r="I44" s="107">
        <v>0.280768523902692</v>
      </c>
      <c r="J44" s="101"/>
      <c r="K44" s="147" t="s">
        <v>121</v>
      </c>
      <c r="L44" s="107">
        <v>0.861399830465777</v>
      </c>
      <c r="M44" s="107">
        <v>-0.405895840610454</v>
      </c>
      <c r="N44" s="107">
        <v>-1.63746231681666</v>
      </c>
      <c r="O44" s="107">
        <v>-1.26245269551851</v>
      </c>
      <c r="P44" s="107">
        <v>-1.2477605089968</v>
      </c>
      <c r="Q44" s="107">
        <v>-0.608695530775451</v>
      </c>
      <c r="R44" s="107">
        <v>1.425751418481</v>
      </c>
      <c r="S44" s="101"/>
    </row>
    <row r="45" ht="15.6" spans="1:19">
      <c r="A45" s="101"/>
      <c r="B45" s="147" t="s">
        <v>123</v>
      </c>
      <c r="C45" s="107">
        <v>1.21639258351864</v>
      </c>
      <c r="D45" s="107">
        <v>1.69837985004344</v>
      </c>
      <c r="E45" s="107">
        <v>1.17827590291085</v>
      </c>
      <c r="F45" s="107">
        <v>1.25721602952509</v>
      </c>
      <c r="G45" s="107">
        <v>1.44487566879119</v>
      </c>
      <c r="H45" s="107">
        <v>1.26641327439443</v>
      </c>
      <c r="I45" s="107">
        <v>1.06804073881008</v>
      </c>
      <c r="J45" s="101"/>
      <c r="K45" s="147" t="s">
        <v>123</v>
      </c>
      <c r="L45" s="107">
        <v>-0.543152622547972</v>
      </c>
      <c r="M45" s="107">
        <v>-1.29636226975986</v>
      </c>
      <c r="N45" s="107">
        <v>-1.35506415309592</v>
      </c>
      <c r="O45" s="107">
        <v>-1.29130231661501</v>
      </c>
      <c r="P45" s="107">
        <v>-1.47549825632089</v>
      </c>
      <c r="Q45" s="107">
        <v>-1.16068409297186</v>
      </c>
      <c r="R45" s="107">
        <v>-0.335528052838408</v>
      </c>
      <c r="S45" s="101"/>
    </row>
    <row r="46" ht="15.6" spans="1:19">
      <c r="A46" s="101"/>
      <c r="B46" s="147" t="s">
        <v>125</v>
      </c>
      <c r="C46" s="107">
        <v>1.33833949173589</v>
      </c>
      <c r="D46" s="107">
        <v>0.886657961616866</v>
      </c>
      <c r="E46" s="107">
        <v>0.868599413370808</v>
      </c>
      <c r="F46" s="107">
        <v>0.432420703885044</v>
      </c>
      <c r="G46" s="107">
        <v>0.662940055376804</v>
      </c>
      <c r="H46" s="107">
        <v>0.845592735446056</v>
      </c>
      <c r="I46" s="107">
        <v>1.31494427886427</v>
      </c>
      <c r="J46" s="101"/>
      <c r="K46" s="147" t="s">
        <v>125</v>
      </c>
      <c r="L46" s="107">
        <v>2.30372051554795</v>
      </c>
      <c r="M46" s="107">
        <v>0.287417718302782</v>
      </c>
      <c r="N46" s="107">
        <v>-1.33610118253212</v>
      </c>
      <c r="O46" s="107">
        <v>-0.555973272635674</v>
      </c>
      <c r="P46" s="107">
        <v>-0.838489079942553</v>
      </c>
      <c r="Q46" s="107">
        <v>-0.411157690422554</v>
      </c>
      <c r="R46" s="107">
        <v>2.8178473254755</v>
      </c>
      <c r="S46" s="101"/>
    </row>
    <row r="47" ht="15.6" spans="1:19">
      <c r="A47" s="101"/>
      <c r="B47" s="147" t="s">
        <v>127</v>
      </c>
      <c r="C47" s="107">
        <v>1.92620111403006</v>
      </c>
      <c r="D47" s="107">
        <v>0.864382734158962</v>
      </c>
      <c r="E47" s="107">
        <v>2.03066624803635</v>
      </c>
      <c r="F47" s="107">
        <v>1.42343617771364</v>
      </c>
      <c r="G47" s="107">
        <v>2.20426103205077</v>
      </c>
      <c r="H47" s="107">
        <v>1.01455300700132</v>
      </c>
      <c r="I47" s="107">
        <v>1.64781996969428</v>
      </c>
      <c r="J47" s="101"/>
      <c r="K47" s="147" t="s">
        <v>127</v>
      </c>
      <c r="L47" s="107">
        <v>15.4589549068886</v>
      </c>
      <c r="M47" s="107">
        <v>3.97139745578587</v>
      </c>
      <c r="N47" s="107">
        <v>-3.24950124773965</v>
      </c>
      <c r="O47" s="107">
        <v>-1.77663639172322</v>
      </c>
      <c r="P47" s="107">
        <v>-3.027964528794</v>
      </c>
      <c r="Q47" s="107">
        <v>1.731636978986</v>
      </c>
      <c r="R47" s="107">
        <v>15.4939381736798</v>
      </c>
      <c r="S47" s="101"/>
    </row>
    <row r="48" ht="15.6" spans="1:19">
      <c r="A48" s="101"/>
      <c r="B48" s="147" t="s">
        <v>129</v>
      </c>
      <c r="C48" s="107">
        <v>1.99922841073925</v>
      </c>
      <c r="D48" s="107">
        <v>2.36914710173683</v>
      </c>
      <c r="E48" s="107">
        <v>1.65941455006647</v>
      </c>
      <c r="F48" s="107">
        <v>0.989816164012056</v>
      </c>
      <c r="G48" s="107">
        <v>2.0476095492734</v>
      </c>
      <c r="H48" s="107">
        <v>1.28887732611877</v>
      </c>
      <c r="I48" s="107">
        <v>1.63173379305019</v>
      </c>
      <c r="J48" s="101"/>
      <c r="K48" s="147" t="s">
        <v>129</v>
      </c>
      <c r="L48" s="107">
        <v>2.40876879629265</v>
      </c>
      <c r="M48" s="107">
        <v>6.33747876200505</v>
      </c>
      <c r="N48" s="107">
        <v>-6.62953941778774</v>
      </c>
      <c r="O48" s="107">
        <v>-1.82552946049349</v>
      </c>
      <c r="P48" s="107">
        <v>-2.58137196585593</v>
      </c>
      <c r="Q48" s="107">
        <v>-0.0992431555550428</v>
      </c>
      <c r="R48" s="107">
        <v>2.64191619821766</v>
      </c>
      <c r="S48" s="101"/>
    </row>
    <row r="49" ht="15.6" spans="1:28">
      <c r="A49" s="101"/>
      <c r="B49" s="147" t="s">
        <v>131</v>
      </c>
      <c r="C49" s="107">
        <v>2.13375075410475</v>
      </c>
      <c r="D49" s="107">
        <v>1.15171644735376</v>
      </c>
      <c r="E49" s="107">
        <v>1.86410995711229</v>
      </c>
      <c r="F49" s="107">
        <v>1.75629526254009</v>
      </c>
      <c r="G49" s="107">
        <v>2.39366470050598</v>
      </c>
      <c r="H49" s="107">
        <v>1.412388904922</v>
      </c>
      <c r="I49" s="107">
        <v>1.69617974197029</v>
      </c>
      <c r="J49" s="101"/>
      <c r="K49" s="147" t="s">
        <v>131</v>
      </c>
      <c r="L49" s="107">
        <v>1.59165331618697</v>
      </c>
      <c r="M49" s="107">
        <v>1.27393695707437</v>
      </c>
      <c r="N49" s="107">
        <v>-4.03062177056337</v>
      </c>
      <c r="O49" s="107">
        <v>-2.03769216553124</v>
      </c>
      <c r="P49" s="107">
        <v>-2.71038251046317</v>
      </c>
      <c r="Q49" s="107">
        <v>-0.629363131674396</v>
      </c>
      <c r="R49" s="107">
        <v>1.82945099692439</v>
      </c>
      <c r="S49" s="101"/>
    </row>
    <row r="50" ht="15.6" spans="1:28">
      <c r="A50" s="101"/>
      <c r="B50" s="147" t="s">
        <v>133</v>
      </c>
      <c r="C50" s="107">
        <v>0.839172732756868</v>
      </c>
      <c r="D50" s="107">
        <v>0.740224086508912</v>
      </c>
      <c r="E50" s="107">
        <v>0.550496883966006</v>
      </c>
      <c r="F50" s="107">
        <v>-0.0169049251743554</v>
      </c>
      <c r="G50" s="107">
        <v>1.5942817254125</v>
      </c>
      <c r="H50" s="107">
        <v>0.735250551205615</v>
      </c>
      <c r="I50" s="107">
        <v>0.887003068766454</v>
      </c>
      <c r="J50" s="101"/>
      <c r="K50" s="147" t="s">
        <v>133</v>
      </c>
      <c r="L50" s="107">
        <v>85.5632273159134</v>
      </c>
      <c r="M50" s="107">
        <v>24.6137877532201</v>
      </c>
      <c r="N50" s="107">
        <v>-7.26384317373491</v>
      </c>
      <c r="O50" s="107">
        <v>-2.07854029338785</v>
      </c>
      <c r="P50" s="107">
        <v>-4.23910212851518</v>
      </c>
      <c r="Q50" s="107">
        <v>16.685547805214</v>
      </c>
      <c r="R50" s="107">
        <v>107.237126599578</v>
      </c>
      <c r="S50" s="101"/>
    </row>
    <row r="51" ht="15.6" spans="1:28">
      <c r="B51" s="147" t="s">
        <v>135</v>
      </c>
      <c r="C51" s="107">
        <v>1.52901130029993</v>
      </c>
      <c r="D51" s="107">
        <v>0.928706461299885</v>
      </c>
      <c r="E51" s="107">
        <v>0.928897749709773</v>
      </c>
      <c r="F51" s="107">
        <v>1.0638850006224</v>
      </c>
      <c r="G51" s="107">
        <v>1.17427784335056</v>
      </c>
      <c r="H51" s="107">
        <v>1.31846585924667</v>
      </c>
      <c r="I51" s="107">
        <v>1.58134362898298</v>
      </c>
      <c r="K51" s="147" t="s">
        <v>135</v>
      </c>
      <c r="L51" s="107">
        <v>-0.858038314417434</v>
      </c>
      <c r="M51" s="107">
        <v>-0.328483009469354</v>
      </c>
      <c r="N51" s="107">
        <v>-1.04841274566421</v>
      </c>
      <c r="O51" s="107">
        <v>-1.09916973997012</v>
      </c>
      <c r="P51" s="107">
        <v>-1.21360014513817</v>
      </c>
      <c r="Q51" s="107">
        <v>-1.1856692024513</v>
      </c>
      <c r="R51" s="107">
        <v>-0.774568837318534</v>
      </c>
    </row>
    <row r="52" s="95" customFormat="1" ht="9" customHeight="1" spans="1:28">
      <c r="A52" s="173"/>
      <c r="B52" s="111"/>
      <c r="C52" s="111"/>
      <c r="D52" s="111"/>
      <c r="E52" s="111"/>
      <c r="F52" s="111"/>
      <c r="G52" s="111"/>
      <c r="H52" s="111"/>
      <c r="I52" s="111"/>
      <c r="J52" s="173"/>
      <c r="K52" s="111"/>
      <c r="L52" s="111"/>
      <c r="M52" s="111"/>
      <c r="N52" s="111"/>
      <c r="O52" s="111"/>
      <c r="P52" s="111"/>
      <c r="Q52" s="111"/>
      <c r="R52" s="111"/>
      <c r="S52" s="173"/>
      <c r="AB52" s="173"/>
    </row>
    <row r="53" ht="15.15" spans="1:28">
      <c r="A53" s="101"/>
      <c r="J53" s="101"/>
      <c r="S53" s="101"/>
    </row>
    <row r="54" ht="43.95" spans="1:28">
      <c r="A54" s="101"/>
      <c r="B54" s="139" t="s">
        <v>36</v>
      </c>
      <c r="C54" s="98" t="s">
        <v>272</v>
      </c>
      <c r="D54" s="98" t="s">
        <v>273</v>
      </c>
      <c r="E54" s="98" t="s">
        <v>274</v>
      </c>
      <c r="F54" s="98" t="s">
        <v>275</v>
      </c>
      <c r="G54" s="98" t="s">
        <v>276</v>
      </c>
      <c r="H54" s="98" t="s">
        <v>277</v>
      </c>
      <c r="I54" s="98" t="s">
        <v>278</v>
      </c>
      <c r="K54" s="139" t="s">
        <v>37</v>
      </c>
      <c r="L54" s="98" t="s">
        <v>272</v>
      </c>
      <c r="M54" s="98" t="s">
        <v>273</v>
      </c>
      <c r="N54" s="98" t="s">
        <v>274</v>
      </c>
      <c r="O54" s="98" t="s">
        <v>275</v>
      </c>
      <c r="P54" s="98" t="s">
        <v>276</v>
      </c>
      <c r="Q54" s="98" t="s">
        <v>277</v>
      </c>
      <c r="R54" s="98" t="s">
        <v>278</v>
      </c>
      <c r="S54" s="101"/>
    </row>
    <row r="55" spans="1:28">
      <c r="A55" s="101"/>
      <c r="B55" s="99"/>
      <c r="C55" s="99"/>
      <c r="D55" s="99"/>
      <c r="E55" s="99"/>
      <c r="F55" s="99"/>
      <c r="G55" s="99"/>
      <c r="H55" s="99"/>
      <c r="I55" s="99"/>
      <c r="J55" s="173"/>
      <c r="K55" s="99"/>
      <c r="L55" s="99"/>
      <c r="M55" s="99"/>
      <c r="N55" s="99"/>
      <c r="O55" s="99"/>
      <c r="P55" s="99"/>
      <c r="Q55" s="99"/>
      <c r="R55" s="99"/>
      <c r="S55" s="101"/>
    </row>
    <row r="56" ht="15.6" spans="1:28">
      <c r="A56" s="101"/>
      <c r="B56" s="147" t="s">
        <v>42</v>
      </c>
      <c r="C56" s="107">
        <v>0.365307134954151</v>
      </c>
      <c r="D56" s="107">
        <v>0.488479868309721</v>
      </c>
      <c r="E56" s="107">
        <v>0.7982110980762</v>
      </c>
      <c r="F56" s="107">
        <v>0.741476766014754</v>
      </c>
      <c r="G56" s="107">
        <v>0.740504712396777</v>
      </c>
      <c r="H56" s="107">
        <v>0.63879992310257</v>
      </c>
      <c r="I56" s="107">
        <v>0.434487455769263</v>
      </c>
      <c r="J56" s="101"/>
      <c r="K56" s="147" t="s">
        <v>42</v>
      </c>
      <c r="L56" s="107">
        <v>-0.282466956004402</v>
      </c>
      <c r="M56" s="107">
        <v>-0.457854251199828</v>
      </c>
      <c r="N56" s="107">
        <v>-0.829392473956521</v>
      </c>
      <c r="O56" s="107">
        <v>-0.761219820753202</v>
      </c>
      <c r="P56" s="107">
        <v>-0.768355398164288</v>
      </c>
      <c r="Q56" s="107">
        <v>-0.640892352806296</v>
      </c>
      <c r="R56" s="107">
        <v>-0.303309511881771</v>
      </c>
      <c r="S56" s="101"/>
    </row>
    <row r="57" ht="15.6" spans="1:28">
      <c r="A57" s="101"/>
      <c r="B57" s="147" t="s">
        <v>44</v>
      </c>
      <c r="C57" s="107">
        <v>0.559471946409486</v>
      </c>
      <c r="D57" s="107">
        <v>0.706870583159517</v>
      </c>
      <c r="E57" s="107">
        <v>1.01307597435624</v>
      </c>
      <c r="F57" s="107">
        <v>0.835541431505988</v>
      </c>
      <c r="G57" s="107">
        <v>0.812772685424538</v>
      </c>
      <c r="H57" s="107">
        <v>0.782061283479901</v>
      </c>
      <c r="I57" s="107">
        <v>0.524755431542863</v>
      </c>
      <c r="J57" s="101"/>
      <c r="K57" s="147" t="s">
        <v>44</v>
      </c>
      <c r="L57" s="107">
        <v>-0.408895064088387</v>
      </c>
      <c r="M57" s="107">
        <v>-0.582747187756406</v>
      </c>
      <c r="N57" s="107">
        <v>-1.0642447545519</v>
      </c>
      <c r="O57" s="107">
        <v>-0.84959700394749</v>
      </c>
      <c r="P57" s="107">
        <v>-0.847371774659632</v>
      </c>
      <c r="Q57" s="107">
        <v>-0.762684226715835</v>
      </c>
      <c r="R57" s="107">
        <v>-0.325252710218884</v>
      </c>
      <c r="S57" s="101"/>
    </row>
    <row r="58" ht="15.6" spans="1:28">
      <c r="A58" s="101"/>
      <c r="B58" s="147" t="s">
        <v>46</v>
      </c>
      <c r="C58" s="107">
        <v>0.299468308304671</v>
      </c>
      <c r="D58" s="107">
        <v>0.470007536309416</v>
      </c>
      <c r="E58" s="107">
        <v>0.913986834350095</v>
      </c>
      <c r="F58" s="107">
        <v>0.782138511037682</v>
      </c>
      <c r="G58" s="107">
        <v>0.72513372248751</v>
      </c>
      <c r="H58" s="107">
        <v>0.593170301213774</v>
      </c>
      <c r="I58" s="107">
        <v>0.251652258140037</v>
      </c>
      <c r="J58" s="101"/>
      <c r="K58" s="147" t="s">
        <v>46</v>
      </c>
      <c r="L58" s="107">
        <v>-0.147457526728034</v>
      </c>
      <c r="M58" s="107">
        <v>-0.418850981832483</v>
      </c>
      <c r="N58" s="107">
        <v>-0.943173874482271</v>
      </c>
      <c r="O58" s="107">
        <v>-0.797309322922654</v>
      </c>
      <c r="P58" s="107">
        <v>-0.755744434490836</v>
      </c>
      <c r="Q58" s="107">
        <v>-0.583339421623501</v>
      </c>
      <c r="R58" s="107">
        <v>-0.0347652469506732</v>
      </c>
      <c r="S58" s="101"/>
    </row>
    <row r="59" ht="15.6" spans="1:28">
      <c r="A59" s="101"/>
      <c r="B59" s="147" t="s">
        <v>48</v>
      </c>
      <c r="C59" s="107">
        <v>0.55824663972322</v>
      </c>
      <c r="D59" s="107">
        <v>0.797464009573901</v>
      </c>
      <c r="E59" s="107">
        <v>1.1930253327233</v>
      </c>
      <c r="F59" s="107">
        <v>1.04091109833905</v>
      </c>
      <c r="G59" s="107">
        <v>1.01439473467806</v>
      </c>
      <c r="H59" s="107">
        <v>0.951630260246377</v>
      </c>
      <c r="I59" s="107">
        <v>0.529986550973346</v>
      </c>
      <c r="J59" s="101"/>
      <c r="K59" s="147" t="s">
        <v>48</v>
      </c>
      <c r="L59" s="107">
        <v>-0.515750538663056</v>
      </c>
      <c r="M59" s="107">
        <v>-0.78383906600531</v>
      </c>
      <c r="N59" s="107">
        <v>-1.18006968548186</v>
      </c>
      <c r="O59" s="107">
        <v>-1.03903922520455</v>
      </c>
      <c r="P59" s="107">
        <v>-1.02213066112643</v>
      </c>
      <c r="Q59" s="107">
        <v>-0.947750316278885</v>
      </c>
      <c r="R59" s="107">
        <v>-0.468216768456731</v>
      </c>
      <c r="S59" s="101"/>
    </row>
    <row r="60" ht="15.6" spans="1:28">
      <c r="A60" s="101"/>
      <c r="B60" s="147" t="s">
        <v>50</v>
      </c>
      <c r="C60" s="107">
        <v>0.922760468540232</v>
      </c>
      <c r="D60" s="107">
        <v>0.860846176408334</v>
      </c>
      <c r="E60" s="107">
        <v>1.13332341415072</v>
      </c>
      <c r="F60" s="107">
        <v>0.805904795845095</v>
      </c>
      <c r="G60" s="107">
        <v>0.887068862960495</v>
      </c>
      <c r="H60" s="107">
        <v>1.0173308975767</v>
      </c>
      <c r="I60" s="107">
        <v>0.910531596491056</v>
      </c>
      <c r="J60" s="101"/>
      <c r="K60" s="147" t="s">
        <v>50</v>
      </c>
      <c r="L60" s="107">
        <v>-0.586839423220127</v>
      </c>
      <c r="M60" s="107">
        <v>-0.57777630770764</v>
      </c>
      <c r="N60" s="107">
        <v>-1.2460603093257</v>
      </c>
      <c r="O60" s="107">
        <v>-0.831007520495528</v>
      </c>
      <c r="P60" s="107">
        <v>-0.958376650489155</v>
      </c>
      <c r="Q60" s="107">
        <v>-0.958245507074991</v>
      </c>
      <c r="R60" s="107">
        <v>-0.51706233765582</v>
      </c>
      <c r="S60" s="101"/>
    </row>
    <row r="61" ht="15.6" spans="1:28">
      <c r="A61" s="101"/>
      <c r="B61" s="147" t="s">
        <v>52</v>
      </c>
      <c r="C61" s="107">
        <v>0.302980350174298</v>
      </c>
      <c r="D61" s="107">
        <v>0.622814225195412</v>
      </c>
      <c r="E61" s="107">
        <v>1.00578866829608</v>
      </c>
      <c r="F61" s="107">
        <v>0.967162114883091</v>
      </c>
      <c r="G61" s="107">
        <v>0.866171029365925</v>
      </c>
      <c r="H61" s="107">
        <v>0.798062156616417</v>
      </c>
      <c r="I61" s="107">
        <v>0.349052915646276</v>
      </c>
      <c r="J61" s="101"/>
      <c r="K61" s="147" t="s">
        <v>52</v>
      </c>
      <c r="L61" s="107">
        <v>-0.101492383490318</v>
      </c>
      <c r="M61" s="107">
        <v>-0.547999006913766</v>
      </c>
      <c r="N61" s="107">
        <v>-1.03629013299985</v>
      </c>
      <c r="O61" s="107">
        <v>-0.97550506639937</v>
      </c>
      <c r="P61" s="107">
        <v>-0.897217544671972</v>
      </c>
      <c r="Q61" s="107">
        <v>-0.776834107308173</v>
      </c>
      <c r="R61" s="107">
        <v>-0.0498519213382868</v>
      </c>
      <c r="S61" s="101"/>
    </row>
    <row r="62" ht="15.6" spans="1:28">
      <c r="A62" s="101"/>
      <c r="B62" s="147" t="s">
        <v>54</v>
      </c>
      <c r="C62" s="107">
        <v>0.337377727532422</v>
      </c>
      <c r="D62" s="107">
        <v>0.674108476451796</v>
      </c>
      <c r="E62" s="107">
        <v>1.05091619688639</v>
      </c>
      <c r="F62" s="107">
        <v>0.813488233477669</v>
      </c>
      <c r="G62" s="107">
        <v>0.8110743237741</v>
      </c>
      <c r="H62" s="107">
        <v>0.710624041610938</v>
      </c>
      <c r="I62" s="107">
        <v>0.402790099823232</v>
      </c>
      <c r="J62" s="101"/>
      <c r="K62" s="147" t="s">
        <v>54</v>
      </c>
      <c r="L62" s="107">
        <v>0.0753188823843043</v>
      </c>
      <c r="M62" s="107">
        <v>-0.485438020657047</v>
      </c>
      <c r="N62" s="107">
        <v>-1.11795063515906</v>
      </c>
      <c r="O62" s="107">
        <v>-0.832729525455795</v>
      </c>
      <c r="P62" s="107">
        <v>-0.871443113778124</v>
      </c>
      <c r="Q62" s="107">
        <v>-0.658425854857064</v>
      </c>
      <c r="R62" s="107">
        <v>0.19204568234985</v>
      </c>
      <c r="S62" s="101"/>
    </row>
    <row r="63" ht="15.6" spans="1:28">
      <c r="A63" s="101"/>
      <c r="B63" s="147" t="s">
        <v>56</v>
      </c>
      <c r="C63" s="107">
        <v>0.873499274757265</v>
      </c>
      <c r="D63" s="107">
        <v>1.15732698099114</v>
      </c>
      <c r="E63" s="107">
        <v>1.53781270603804</v>
      </c>
      <c r="F63" s="107">
        <v>1.43783607316172</v>
      </c>
      <c r="G63" s="107">
        <v>1.25556927983082</v>
      </c>
      <c r="H63" s="107">
        <v>1.17068521420606</v>
      </c>
      <c r="I63" s="107">
        <v>0.740568850956255</v>
      </c>
      <c r="J63" s="101"/>
      <c r="K63" s="147" t="s">
        <v>56</v>
      </c>
      <c r="L63" s="107">
        <v>-0.676558056586233</v>
      </c>
      <c r="M63" s="107">
        <v>-1.03985251591608</v>
      </c>
      <c r="N63" s="107">
        <v>-1.58405188367146</v>
      </c>
      <c r="O63" s="107">
        <v>-1.43196363015059</v>
      </c>
      <c r="P63" s="107">
        <v>-1.28389465120801</v>
      </c>
      <c r="Q63" s="107">
        <v>-1.13611920366159</v>
      </c>
      <c r="R63" s="107">
        <v>-0.529170024314153</v>
      </c>
      <c r="S63" s="101"/>
    </row>
    <row r="64" ht="15.6" spans="1:28">
      <c r="A64" s="101"/>
      <c r="B64" s="147" t="s">
        <v>58</v>
      </c>
      <c r="C64" s="107">
        <v>0.502852432776352</v>
      </c>
      <c r="D64" s="107">
        <v>0.554108884992904</v>
      </c>
      <c r="E64" s="107">
        <v>0.744489523452993</v>
      </c>
      <c r="F64" s="107">
        <v>0.736200290709387</v>
      </c>
      <c r="G64" s="107">
        <v>0.654271430436742</v>
      </c>
      <c r="H64" s="107">
        <v>0.828061189780242</v>
      </c>
      <c r="I64" s="107">
        <v>0.476398141732735</v>
      </c>
      <c r="J64" s="101"/>
      <c r="K64" s="147" t="s">
        <v>58</v>
      </c>
      <c r="L64" s="107">
        <v>0.0157870707882364</v>
      </c>
      <c r="M64" s="107">
        <v>-0.361226157324976</v>
      </c>
      <c r="N64" s="107">
        <v>-0.820468534992223</v>
      </c>
      <c r="O64" s="107">
        <v>-0.758624098167535</v>
      </c>
      <c r="P64" s="107">
        <v>-0.730384895674189</v>
      </c>
      <c r="Q64" s="107">
        <v>-0.759569487261696</v>
      </c>
      <c r="R64" s="107">
        <v>0.166970960855884</v>
      </c>
      <c r="S64" s="101"/>
    </row>
    <row r="65" ht="15.6" spans="1:28">
      <c r="A65" s="101"/>
      <c r="B65" s="147" t="s">
        <v>60</v>
      </c>
      <c r="C65" s="107">
        <v>1.70825964067766</v>
      </c>
      <c r="D65" s="107">
        <v>1.68332692867332</v>
      </c>
      <c r="E65" s="107">
        <v>0.842194659165232</v>
      </c>
      <c r="F65" s="107">
        <v>1.32962739354367</v>
      </c>
      <c r="G65" s="107">
        <v>0.958942572962625</v>
      </c>
      <c r="H65" s="107">
        <v>1.47791998667313</v>
      </c>
      <c r="I65" s="107">
        <v>1.59872022473558</v>
      </c>
      <c r="J65" s="101"/>
      <c r="K65" s="147" t="s">
        <v>60</v>
      </c>
      <c r="L65" s="107">
        <v>13.4541671637748</v>
      </c>
      <c r="M65" s="107">
        <v>15.1227089831672</v>
      </c>
      <c r="N65" s="107">
        <v>-16.6987201494292</v>
      </c>
      <c r="O65" s="107">
        <v>-2.74268610783172</v>
      </c>
      <c r="P65" s="107">
        <v>-5.83825470656192</v>
      </c>
      <c r="Q65" s="107">
        <v>1.4076202586105</v>
      </c>
      <c r="R65" s="107">
        <v>13.4142278637035</v>
      </c>
      <c r="S65" s="101"/>
    </row>
    <row r="66" ht="15.6" spans="1:28">
      <c r="A66" s="101"/>
      <c r="B66" s="147" t="s">
        <v>62</v>
      </c>
      <c r="C66" s="107">
        <v>0.314429477307864</v>
      </c>
      <c r="D66" s="107">
        <v>0.524415865148755</v>
      </c>
      <c r="E66" s="107">
        <v>0.951014046989374</v>
      </c>
      <c r="F66" s="107">
        <v>0.767810040111612</v>
      </c>
      <c r="G66" s="107">
        <v>0.78281139455706</v>
      </c>
      <c r="H66" s="107">
        <v>0.66610421680537</v>
      </c>
      <c r="I66" s="107">
        <v>0.282245484705846</v>
      </c>
      <c r="J66" s="101"/>
      <c r="K66" s="147" t="s">
        <v>62</v>
      </c>
      <c r="L66" s="107">
        <v>0.130678014301699</v>
      </c>
      <c r="M66" s="107">
        <v>-0.36475834671541</v>
      </c>
      <c r="N66" s="107">
        <v>-1.01468680526724</v>
      </c>
      <c r="O66" s="107">
        <v>-0.786651129711224</v>
      </c>
      <c r="P66" s="107">
        <v>-0.843066031188824</v>
      </c>
      <c r="Q66" s="107">
        <v>-0.612985620734294</v>
      </c>
      <c r="R66" s="107">
        <v>0.323373120845729</v>
      </c>
      <c r="S66" s="101"/>
    </row>
    <row r="67" ht="15.6" spans="1:28">
      <c r="A67" s="101"/>
      <c r="B67" s="147" t="s">
        <v>64</v>
      </c>
      <c r="C67" s="107">
        <v>0.361507323651834</v>
      </c>
      <c r="D67" s="107">
        <v>0.611591116343622</v>
      </c>
      <c r="E67" s="107">
        <v>1.10850858523498</v>
      </c>
      <c r="F67" s="107">
        <v>0.888413255756579</v>
      </c>
      <c r="G67" s="107">
        <v>0.843011844336074</v>
      </c>
      <c r="H67" s="107">
        <v>0.720930891603546</v>
      </c>
      <c r="I67" s="107">
        <v>0.345727166983537</v>
      </c>
      <c r="J67" s="101"/>
      <c r="K67" s="147" t="s">
        <v>64</v>
      </c>
      <c r="L67" s="107">
        <v>0.154348171800133</v>
      </c>
      <c r="M67" s="107">
        <v>-0.422360822676719</v>
      </c>
      <c r="N67" s="107">
        <v>-1.18378359076566</v>
      </c>
      <c r="O67" s="107">
        <v>-0.908087919736248</v>
      </c>
      <c r="P67" s="107">
        <v>-0.910185470946486</v>
      </c>
      <c r="Q67" s="107">
        <v>-0.657994378314116</v>
      </c>
      <c r="R67" s="107">
        <v>0.345143045491985</v>
      </c>
      <c r="S67" s="101"/>
      <c r="AB67" s="101"/>
    </row>
    <row r="68" ht="15.6" spans="1:28">
      <c r="A68" s="101"/>
      <c r="B68" s="147" t="s">
        <v>66</v>
      </c>
      <c r="C68" s="107">
        <v>1.11632845205226</v>
      </c>
      <c r="D68" s="107">
        <v>1.5983041829667</v>
      </c>
      <c r="E68" s="107">
        <v>1.72351622902531</v>
      </c>
      <c r="F68" s="107">
        <v>1.38536291302454</v>
      </c>
      <c r="G68" s="107">
        <v>1.27026719538765</v>
      </c>
      <c r="H68" s="107">
        <v>1.34077086427914</v>
      </c>
      <c r="I68" s="107">
        <v>0.88686174089509</v>
      </c>
      <c r="J68" s="101"/>
      <c r="K68" s="147" t="s">
        <v>66</v>
      </c>
      <c r="L68" s="107">
        <v>0.194687914327618</v>
      </c>
      <c r="M68" s="107">
        <v>-0.257288402704991</v>
      </c>
      <c r="N68" s="107">
        <v>-2.49957646177683</v>
      </c>
      <c r="O68" s="107">
        <v>-1.54162857507462</v>
      </c>
      <c r="P68" s="107">
        <v>-1.65009288716158</v>
      </c>
      <c r="Q68" s="107">
        <v>-1.10391162160599</v>
      </c>
      <c r="R68" s="107">
        <v>0.425015422431112</v>
      </c>
      <c r="S68" s="101"/>
      <c r="AB68" s="101"/>
    </row>
    <row r="69" ht="15.6" spans="1:28">
      <c r="B69" s="174" t="s">
        <v>68</v>
      </c>
      <c r="C69" s="175">
        <v>1.3713425791882</v>
      </c>
      <c r="D69" s="175">
        <v>0.435324042879374</v>
      </c>
      <c r="E69" s="175">
        <v>0</v>
      </c>
      <c r="F69" s="175">
        <v>-1.85833087075622</v>
      </c>
      <c r="G69" s="175">
        <v>-1.7511228480355</v>
      </c>
      <c r="H69" s="175">
        <v>0</v>
      </c>
      <c r="I69" s="175">
        <v>0.589166166660559</v>
      </c>
      <c r="J69" s="101"/>
      <c r="K69" s="174" t="s">
        <v>68</v>
      </c>
      <c r="L69" s="175">
        <v>46.641487415071</v>
      </c>
      <c r="M69" s="175">
        <v>68.4508228454606</v>
      </c>
      <c r="N69" s="175">
        <v>0</v>
      </c>
      <c r="O69" s="175">
        <v>-13.680963246477</v>
      </c>
      <c r="P69" s="175">
        <v>-13.6320323470012</v>
      </c>
      <c r="Q69" s="175">
        <v>0</v>
      </c>
      <c r="R69" s="175">
        <v>33.0461460106508</v>
      </c>
    </row>
    <row r="70" ht="15.6" spans="1:28">
      <c r="A70" s="101"/>
      <c r="B70" s="147" t="s">
        <v>70</v>
      </c>
      <c r="C70" s="107">
        <v>1.05712329084614</v>
      </c>
      <c r="D70" s="107">
        <v>1.15101645502857</v>
      </c>
      <c r="E70" s="107">
        <v>1.52030202186707</v>
      </c>
      <c r="F70" s="107">
        <v>1.47223936638124</v>
      </c>
      <c r="G70" s="107">
        <v>1.29249397713029</v>
      </c>
      <c r="H70" s="107">
        <v>1.22084748988729</v>
      </c>
      <c r="I70" s="107">
        <v>0.913014674484721</v>
      </c>
      <c r="J70" s="101"/>
      <c r="K70" s="147" t="s">
        <v>70</v>
      </c>
      <c r="L70" s="107">
        <v>-0.848806317124891</v>
      </c>
      <c r="M70" s="107">
        <v>-0.971327613255487</v>
      </c>
      <c r="N70" s="107">
        <v>-1.60880084646957</v>
      </c>
      <c r="O70" s="107">
        <v>-1.47622934761601</v>
      </c>
      <c r="P70" s="107">
        <v>-1.32905673672447</v>
      </c>
      <c r="Q70" s="107">
        <v>-1.17869277330684</v>
      </c>
      <c r="R70" s="107">
        <v>-0.692289746633747</v>
      </c>
      <c r="S70" s="101"/>
      <c r="AB70" s="101"/>
    </row>
    <row r="71" ht="15.6" spans="1:28">
      <c r="B71" s="174" t="s">
        <v>72</v>
      </c>
      <c r="C71" s="175">
        <v>-0.0260036462219082</v>
      </c>
      <c r="D71" s="175">
        <v>0.923731650180041</v>
      </c>
      <c r="E71" s="175">
        <v>1.70602330206281</v>
      </c>
      <c r="F71" s="175">
        <v>0.812680282094152</v>
      </c>
      <c r="G71" s="175">
        <v>0.959000881879278</v>
      </c>
      <c r="H71" s="175">
        <v>0.761787419504623</v>
      </c>
      <c r="I71" s="175">
        <v>0.151607069066315</v>
      </c>
      <c r="J71" s="101"/>
      <c r="K71" s="174" t="s">
        <v>72</v>
      </c>
      <c r="L71" s="175">
        <v>7.72450929755637</v>
      </c>
      <c r="M71" s="175">
        <v>6.26207344700598</v>
      </c>
      <c r="N71" s="175">
        <v>-3.30071699593245</v>
      </c>
      <c r="O71" s="175">
        <v>-1.11895344019688</v>
      </c>
      <c r="P71" s="175">
        <v>-1.97308110464801</v>
      </c>
      <c r="Q71" s="175">
        <v>0.514771019828627</v>
      </c>
      <c r="R71" s="175">
        <v>17.7653231340511</v>
      </c>
    </row>
    <row r="72" ht="15.6" spans="1:28">
      <c r="B72" s="174" t="s">
        <v>74</v>
      </c>
      <c r="C72" s="175">
        <v>0.546537650873589</v>
      </c>
      <c r="D72" s="175">
        <v>1.40588453977734</v>
      </c>
      <c r="E72" s="175">
        <v>0</v>
      </c>
      <c r="F72" s="175">
        <v>0</v>
      </c>
      <c r="G72" s="175">
        <v>5.90673876006682</v>
      </c>
      <c r="H72" s="175">
        <v>3.5028943501563</v>
      </c>
      <c r="I72" s="175">
        <v>-0.617372374276139</v>
      </c>
      <c r="J72" s="101"/>
      <c r="K72" s="174" t="s">
        <v>74</v>
      </c>
      <c r="L72" s="175">
        <v>43.2613946443931</v>
      </c>
      <c r="M72" s="175">
        <v>13.2206143130581</v>
      </c>
      <c r="N72" s="175">
        <v>0</v>
      </c>
      <c r="O72" s="175">
        <v>0</v>
      </c>
      <c r="P72" s="175">
        <v>-12.6228860677572</v>
      </c>
      <c r="Q72" s="175">
        <v>-0.65008868872553</v>
      </c>
      <c r="R72" s="175">
        <v>41.7520107043854</v>
      </c>
    </row>
    <row r="73" ht="15.6" spans="1:28">
      <c r="A73" s="101"/>
      <c r="B73" s="147" t="s">
        <v>76</v>
      </c>
      <c r="C73" s="107">
        <v>1.84098612103234</v>
      </c>
      <c r="D73" s="107">
        <v>1.33880656620793</v>
      </c>
      <c r="E73" s="107">
        <v>2.27267048420429</v>
      </c>
      <c r="F73" s="107">
        <v>1.57563557131858</v>
      </c>
      <c r="G73" s="107">
        <v>1.43179049142458</v>
      </c>
      <c r="H73" s="107">
        <v>1.25840002895897</v>
      </c>
      <c r="I73" s="107">
        <v>1.80567990894121</v>
      </c>
      <c r="J73" s="101"/>
      <c r="K73" s="147" t="s">
        <v>76</v>
      </c>
      <c r="L73" s="107">
        <v>-1.46205901780192</v>
      </c>
      <c r="M73" s="107">
        <v>-1.04392052133059</v>
      </c>
      <c r="N73" s="107">
        <v>-2.43351451924009</v>
      </c>
      <c r="O73" s="107">
        <v>-1.59888253199011</v>
      </c>
      <c r="P73" s="107">
        <v>-1.50643786533252</v>
      </c>
      <c r="Q73" s="107">
        <v>-1.19037849000147</v>
      </c>
      <c r="R73" s="107">
        <v>-1.42353212486969</v>
      </c>
      <c r="S73" s="101"/>
      <c r="AB73" s="101"/>
    </row>
    <row r="74" ht="15.6" spans="1:28">
      <c r="A74" s="101"/>
      <c r="B74" s="147" t="s">
        <v>78</v>
      </c>
      <c r="C74" s="107">
        <v>0.628579610525789</v>
      </c>
      <c r="D74" s="107">
        <v>0.792926643834671</v>
      </c>
      <c r="E74" s="107">
        <v>1.06167170800373</v>
      </c>
      <c r="F74" s="107">
        <v>1.11092544850721</v>
      </c>
      <c r="G74" s="107">
        <v>1.24828884658578</v>
      </c>
      <c r="H74" s="107">
        <v>1.33010971891438</v>
      </c>
      <c r="I74" s="107">
        <v>0.925679022390248</v>
      </c>
      <c r="J74" s="101"/>
      <c r="K74" s="147" t="s">
        <v>78</v>
      </c>
      <c r="L74" s="107">
        <v>0.511383958638192</v>
      </c>
      <c r="M74" s="107">
        <v>-0.0518821906481303</v>
      </c>
      <c r="N74" s="107">
        <v>-1.24021745590572</v>
      </c>
      <c r="O74" s="107">
        <v>-1.15822405649543</v>
      </c>
      <c r="P74" s="107">
        <v>-1.42142871474468</v>
      </c>
      <c r="Q74" s="107">
        <v>-1.15631290332062</v>
      </c>
      <c r="R74" s="107">
        <v>0.848240694019385</v>
      </c>
      <c r="S74" s="101"/>
      <c r="AB74" s="101"/>
    </row>
    <row r="75" ht="15.6" spans="1:28">
      <c r="B75" s="147" t="s">
        <v>80</v>
      </c>
      <c r="C75" s="107">
        <v>1.08576750789989</v>
      </c>
      <c r="D75" s="107">
        <v>1.24708394499068</v>
      </c>
      <c r="E75" s="107">
        <v>1.94244466121839</v>
      </c>
      <c r="F75" s="107">
        <v>1.63364061178695</v>
      </c>
      <c r="G75" s="107">
        <v>1.41262969002139</v>
      </c>
      <c r="H75" s="107">
        <v>1.18570330240256</v>
      </c>
      <c r="I75" s="107">
        <v>1.04121001449754</v>
      </c>
      <c r="J75" s="101"/>
      <c r="K75" s="147" t="s">
        <v>80</v>
      </c>
      <c r="L75" s="107">
        <v>6.26630977533636</v>
      </c>
      <c r="M75" s="107">
        <v>2.88620967013449</v>
      </c>
      <c r="N75" s="107">
        <v>-4.44733796686585</v>
      </c>
      <c r="O75" s="107">
        <v>-2.10131337642898</v>
      </c>
      <c r="P75" s="107">
        <v>-2.61109518913621</v>
      </c>
      <c r="Q75" s="107">
        <v>-0.0795982318228116</v>
      </c>
      <c r="R75" s="107">
        <v>6.94029745430946</v>
      </c>
    </row>
    <row r="76" ht="15.6" spans="1:28">
      <c r="B76" s="147" t="s">
        <v>82</v>
      </c>
      <c r="C76" s="107">
        <v>1.00334767053147</v>
      </c>
      <c r="D76" s="107">
        <v>1.1391261790722</v>
      </c>
      <c r="E76" s="107">
        <v>1.64945108233769</v>
      </c>
      <c r="F76" s="107">
        <v>1.44608837190221</v>
      </c>
      <c r="G76" s="107">
        <v>1.18771625954298</v>
      </c>
      <c r="H76" s="107">
        <v>1.06971208530325</v>
      </c>
      <c r="I76" s="107">
        <v>0.993500767663377</v>
      </c>
      <c r="J76" s="101"/>
      <c r="K76" s="147" t="s">
        <v>82</v>
      </c>
      <c r="L76" s="107">
        <v>0.320470595193538</v>
      </c>
      <c r="M76" s="107">
        <v>-0.256544821839676</v>
      </c>
      <c r="N76" s="107">
        <v>-2.0840424866842</v>
      </c>
      <c r="O76" s="107">
        <v>-1.52446927732122</v>
      </c>
      <c r="P76" s="107">
        <v>-1.43616738983483</v>
      </c>
      <c r="Q76" s="107">
        <v>-0.855938838610411</v>
      </c>
      <c r="R76" s="107">
        <v>0.500524995755747</v>
      </c>
    </row>
    <row r="77" ht="15.6" spans="1:28">
      <c r="B77" s="147" t="s">
        <v>84</v>
      </c>
      <c r="C77" s="107">
        <v>2.24048494858255</v>
      </c>
      <c r="D77" s="107">
        <v>1.50180936096304</v>
      </c>
      <c r="E77" s="107">
        <v>1.98263069364054</v>
      </c>
      <c r="F77" s="107">
        <v>1.36316986218813</v>
      </c>
      <c r="G77" s="107">
        <v>1.12350460608914</v>
      </c>
      <c r="H77" s="107">
        <v>1.21487704158976</v>
      </c>
      <c r="I77" s="107">
        <v>2.26244017900628</v>
      </c>
      <c r="J77" s="101"/>
      <c r="K77" s="147" t="s">
        <v>84</v>
      </c>
      <c r="L77" s="107">
        <v>6.00388209269452</v>
      </c>
      <c r="M77" s="107">
        <v>10.3681177560931</v>
      </c>
      <c r="N77" s="107">
        <v>-8.86958690486222</v>
      </c>
      <c r="O77" s="107">
        <v>-2.6170203195209</v>
      </c>
      <c r="P77" s="107">
        <v>-3.56876249434415</v>
      </c>
      <c r="Q77" s="107">
        <v>0.518838367857721</v>
      </c>
      <c r="R77" s="107">
        <v>6.00506404794129</v>
      </c>
    </row>
    <row r="78" ht="15.6" spans="1:28">
      <c r="B78" s="147" t="s">
        <v>86</v>
      </c>
      <c r="C78" s="107">
        <v>0.743708367165731</v>
      </c>
      <c r="D78" s="107">
        <v>1.0997176612374</v>
      </c>
      <c r="E78" s="107">
        <v>1.41812378490732</v>
      </c>
      <c r="F78" s="107">
        <v>2.16938994397499</v>
      </c>
      <c r="G78" s="107">
        <v>1.65479102559261</v>
      </c>
      <c r="H78" s="107">
        <v>1.85151015381685</v>
      </c>
      <c r="I78" s="107">
        <v>0.864840428743104</v>
      </c>
      <c r="J78" s="101"/>
      <c r="K78" s="147" t="s">
        <v>86</v>
      </c>
      <c r="L78" s="107">
        <v>5.22859312974556</v>
      </c>
      <c r="M78" s="107">
        <v>2.60883824460768</v>
      </c>
      <c r="N78" s="107">
        <v>-2.76704847361048</v>
      </c>
      <c r="O78" s="107">
        <v>-2.44104223788762</v>
      </c>
      <c r="P78" s="107">
        <v>-2.72923221198549</v>
      </c>
      <c r="Q78" s="107">
        <v>-1.04212435640756</v>
      </c>
      <c r="R78" s="107">
        <v>7.58433543878808</v>
      </c>
    </row>
    <row r="79" ht="15.6" spans="1:28">
      <c r="B79" s="147" t="s">
        <v>88</v>
      </c>
      <c r="C79" s="107">
        <v>1.81429590874192</v>
      </c>
      <c r="D79" s="107">
        <v>2.2559592183662</v>
      </c>
      <c r="E79" s="107">
        <v>2.52194285748924</v>
      </c>
      <c r="F79" s="107">
        <v>1.24750969124446</v>
      </c>
      <c r="G79" s="107">
        <v>1.41646636957874</v>
      </c>
      <c r="H79" s="107">
        <v>1.71623118408746</v>
      </c>
      <c r="I79" s="107">
        <v>1.53884774980376</v>
      </c>
      <c r="J79" s="173"/>
      <c r="K79" s="147" t="s">
        <v>88</v>
      </c>
      <c r="L79" s="107">
        <v>1.08027195234757</v>
      </c>
      <c r="M79" s="107">
        <v>4.35703009587406</v>
      </c>
      <c r="N79" s="107">
        <v>-8.17725765088139</v>
      </c>
      <c r="O79" s="107">
        <v>-1.98022786018261</v>
      </c>
      <c r="P79" s="107">
        <v>-2.59581365415029</v>
      </c>
      <c r="Q79" s="107">
        <v>-0.999214302057409</v>
      </c>
      <c r="R79" s="107">
        <v>1.75075754012356</v>
      </c>
    </row>
    <row r="80" ht="15.6" spans="1:28">
      <c r="B80" s="147" t="s">
        <v>90</v>
      </c>
      <c r="C80" s="107">
        <v>1.18055284690091</v>
      </c>
      <c r="D80" s="107">
        <v>1.22848294905236</v>
      </c>
      <c r="E80" s="107">
        <v>1.73261755823997</v>
      </c>
      <c r="F80" s="107">
        <v>1.36131506495275</v>
      </c>
      <c r="G80" s="107">
        <v>1.42983361235223</v>
      </c>
      <c r="H80" s="107">
        <v>1.2603755559626</v>
      </c>
      <c r="I80" s="107">
        <v>1.19904655559445</v>
      </c>
      <c r="J80" s="101"/>
      <c r="K80" s="147" t="s">
        <v>90</v>
      </c>
      <c r="L80" s="107">
        <v>-0.291234462026995</v>
      </c>
      <c r="M80" s="107">
        <v>-0.573428167316387</v>
      </c>
      <c r="N80" s="107">
        <v>-2.06923305338255</v>
      </c>
      <c r="O80" s="107">
        <v>-1.4194941444174</v>
      </c>
      <c r="P80" s="107">
        <v>-1.14840142566462</v>
      </c>
      <c r="Q80" s="107">
        <v>-1.11453161140791</v>
      </c>
      <c r="R80" s="107">
        <v>0.0109397831237601</v>
      </c>
    </row>
    <row r="81" ht="15.6" spans="2:18">
      <c r="B81" s="147" t="s">
        <v>92</v>
      </c>
      <c r="C81" s="107">
        <v>0.765162834735127</v>
      </c>
      <c r="D81" s="107">
        <v>0.620597628418775</v>
      </c>
      <c r="E81" s="107">
        <v>0.46182747083872</v>
      </c>
      <c r="F81" s="107">
        <v>0.347022650154606</v>
      </c>
      <c r="G81" s="107">
        <v>0.4446658440014</v>
      </c>
      <c r="H81" s="107">
        <v>0.442838814561491</v>
      </c>
      <c r="I81" s="107">
        <v>0.854890340942187</v>
      </c>
      <c r="J81" s="101"/>
      <c r="K81" s="147" t="s">
        <v>92</v>
      </c>
      <c r="L81" s="107">
        <v>-0.766993135870193</v>
      </c>
      <c r="M81" s="107">
        <v>-0.600620780850266</v>
      </c>
      <c r="N81" s="107">
        <v>-0.507303801545205</v>
      </c>
      <c r="O81" s="107">
        <v>-0.380605228707132</v>
      </c>
      <c r="P81" s="107">
        <v>-0.487347063000226</v>
      </c>
      <c r="Q81" s="107">
        <v>-0.473011147689648</v>
      </c>
      <c r="R81" s="107">
        <v>-0.837860166031653</v>
      </c>
    </row>
    <row r="82" ht="15.6" spans="2:18">
      <c r="B82" s="147" t="s">
        <v>94</v>
      </c>
      <c r="C82" s="107">
        <v>1.29386454544465</v>
      </c>
      <c r="D82" s="107">
        <v>2.17748501921423</v>
      </c>
      <c r="E82" s="107">
        <v>1.56444211499822</v>
      </c>
      <c r="F82" s="107">
        <v>2.01529249428286</v>
      </c>
      <c r="G82" s="107">
        <v>2.0466601459853</v>
      </c>
      <c r="H82" s="107">
        <v>1.69420653309802</v>
      </c>
      <c r="I82" s="107">
        <v>0.951372190440668</v>
      </c>
      <c r="J82" s="101"/>
      <c r="K82" s="147" t="s">
        <v>94</v>
      </c>
      <c r="L82" s="107">
        <v>-1.03212343274724</v>
      </c>
      <c r="M82" s="107">
        <v>-1.97923627070398</v>
      </c>
      <c r="N82" s="107">
        <v>-1.7287455108894</v>
      </c>
      <c r="O82" s="107">
        <v>-2.00662893170799</v>
      </c>
      <c r="P82" s="107">
        <v>-2.06296067804812</v>
      </c>
      <c r="Q82" s="107">
        <v>-1.62971090691207</v>
      </c>
      <c r="R82" s="107">
        <v>-0.739509742716399</v>
      </c>
    </row>
    <row r="83" ht="15.6" spans="2:18">
      <c r="B83" s="147" t="s">
        <v>96</v>
      </c>
      <c r="C83" s="107">
        <v>0.289158225069576</v>
      </c>
      <c r="D83" s="107">
        <v>0.377549755236522</v>
      </c>
      <c r="E83" s="107">
        <v>0.539401732012554</v>
      </c>
      <c r="F83" s="107">
        <v>0.63092648185809</v>
      </c>
      <c r="G83" s="107">
        <v>0.614462617817971</v>
      </c>
      <c r="H83" s="107">
        <v>0.546419902321566</v>
      </c>
      <c r="I83" s="107">
        <v>0.352148804018844</v>
      </c>
      <c r="J83" s="101"/>
      <c r="K83" s="147" t="s">
        <v>96</v>
      </c>
      <c r="L83" s="107">
        <v>-0.210933346033496</v>
      </c>
      <c r="M83" s="107">
        <v>-0.350719368051238</v>
      </c>
      <c r="N83" s="107">
        <v>-0.581069442334976</v>
      </c>
      <c r="O83" s="107">
        <v>-0.655640605585785</v>
      </c>
      <c r="P83" s="107">
        <v>-0.646115919136059</v>
      </c>
      <c r="Q83" s="107">
        <v>-0.550343733491218</v>
      </c>
      <c r="R83" s="107">
        <v>-0.225088655346553</v>
      </c>
    </row>
    <row r="84" ht="15.6" spans="2:18">
      <c r="B84" s="174" t="s">
        <v>98</v>
      </c>
      <c r="C84" s="175">
        <v>0.978871043967179</v>
      </c>
      <c r="D84" s="175">
        <v>-0.826838219794117</v>
      </c>
      <c r="E84" s="175">
        <v>-0.412203630243405</v>
      </c>
      <c r="F84" s="175">
        <v>-0.610278272244014</v>
      </c>
      <c r="G84" s="175">
        <v>0.0153685961273863</v>
      </c>
      <c r="H84" s="175">
        <v>1.91699949925827</v>
      </c>
      <c r="I84" s="175">
        <v>0.76183517864223</v>
      </c>
      <c r="J84" s="101"/>
      <c r="K84" s="174" t="s">
        <v>98</v>
      </c>
      <c r="L84" s="175">
        <v>566.986548240549</v>
      </c>
      <c r="M84" s="175">
        <v>69.048118395388</v>
      </c>
      <c r="N84" s="175">
        <v>-10.4924733865796</v>
      </c>
      <c r="O84" s="175">
        <v>-7.04301580054904</v>
      </c>
      <c r="P84" s="175">
        <v>-1006.23467035867</v>
      </c>
      <c r="Q84" s="175">
        <v>66.353910600424</v>
      </c>
      <c r="R84" s="175">
        <v>711.569434460362</v>
      </c>
    </row>
    <row r="85" ht="15.6" spans="2:18">
      <c r="B85" s="147" t="s">
        <v>100</v>
      </c>
      <c r="C85" s="107">
        <v>1.33456297673667</v>
      </c>
      <c r="D85" s="107">
        <v>2.07297113572082</v>
      </c>
      <c r="E85" s="107">
        <v>1.65185484266432</v>
      </c>
      <c r="F85" s="107">
        <v>1.34741300163437</v>
      </c>
      <c r="G85" s="107">
        <v>1.65103944860256</v>
      </c>
      <c r="H85" s="107">
        <v>1.58708580782011</v>
      </c>
      <c r="I85" s="107">
        <v>0.981369278936206</v>
      </c>
      <c r="J85" s="101"/>
      <c r="K85" s="147" t="s">
        <v>100</v>
      </c>
      <c r="L85" s="107">
        <v>-0.771169071179381</v>
      </c>
      <c r="M85" s="107">
        <v>-1.58646060591604</v>
      </c>
      <c r="N85" s="107">
        <v>-2.09865911726062</v>
      </c>
      <c r="O85" s="107">
        <v>-1.41759787794902</v>
      </c>
      <c r="P85" s="107">
        <v>-1.81856113341219</v>
      </c>
      <c r="Q85" s="107">
        <v>-1.47302610469872</v>
      </c>
      <c r="R85" s="107">
        <v>-0.487726549498484</v>
      </c>
    </row>
    <row r="86" ht="15.6" spans="2:18">
      <c r="B86" s="147" t="s">
        <v>102</v>
      </c>
      <c r="C86" s="107">
        <v>0.852168347922496</v>
      </c>
      <c r="D86" s="107">
        <v>1.08069085640735</v>
      </c>
      <c r="E86" s="107">
        <v>1.54024663585196</v>
      </c>
      <c r="F86" s="107">
        <v>1.26148347734831</v>
      </c>
      <c r="G86" s="107">
        <v>1.04523360508211</v>
      </c>
      <c r="H86" s="107">
        <v>1.07316545581452</v>
      </c>
      <c r="I86" s="107">
        <v>0.729131504764526</v>
      </c>
      <c r="J86" s="101"/>
      <c r="K86" s="147" t="s">
        <v>102</v>
      </c>
      <c r="L86" s="107">
        <v>0.598698015606482</v>
      </c>
      <c r="M86" s="107">
        <v>-0.347645532249869</v>
      </c>
      <c r="N86" s="107">
        <v>-1.97002228044268</v>
      </c>
      <c r="O86" s="107">
        <v>-1.34068692512803</v>
      </c>
      <c r="P86" s="107">
        <v>-1.28744974947115</v>
      </c>
      <c r="Q86" s="107">
        <v>-0.865849283614421</v>
      </c>
      <c r="R86" s="107">
        <v>0.828180500139801</v>
      </c>
    </row>
    <row r="87" ht="15.6" spans="2:18">
      <c r="B87" s="147" t="s">
        <v>104</v>
      </c>
      <c r="C87" s="107">
        <v>0.84540667691092</v>
      </c>
      <c r="D87" s="107">
        <v>1.01833128122919</v>
      </c>
      <c r="E87" s="107">
        <v>0.847250640071678</v>
      </c>
      <c r="F87" s="107">
        <v>0.754112925393532</v>
      </c>
      <c r="G87" s="107">
        <v>0.750598882256723</v>
      </c>
      <c r="H87" s="107">
        <v>0.821203179049116</v>
      </c>
      <c r="I87" s="107">
        <v>0.733501468179022</v>
      </c>
      <c r="J87" s="101"/>
      <c r="K87" s="147" t="s">
        <v>104</v>
      </c>
      <c r="L87" s="107">
        <v>0.0720453751879837</v>
      </c>
      <c r="M87" s="107">
        <v>-0.254790642130755</v>
      </c>
      <c r="N87" s="107">
        <v>-1.21828052776055</v>
      </c>
      <c r="O87" s="107">
        <v>-0.817599664929603</v>
      </c>
      <c r="P87" s="107">
        <v>-0.959934934272958</v>
      </c>
      <c r="Q87" s="107">
        <v>-0.656409684437932</v>
      </c>
      <c r="R87" s="107">
        <v>0.270011221146692</v>
      </c>
    </row>
    <row r="88" ht="15.6" spans="2:18">
      <c r="B88" s="147" t="s">
        <v>106</v>
      </c>
      <c r="C88" s="107">
        <v>1.0586669896526</v>
      </c>
      <c r="D88" s="107">
        <v>0.493161620078021</v>
      </c>
      <c r="E88" s="107">
        <v>0.0267758296211675</v>
      </c>
      <c r="F88" s="107">
        <v>0.256129969745328</v>
      </c>
      <c r="G88" s="107">
        <v>0.68210163060711</v>
      </c>
      <c r="H88" s="107">
        <v>0.539838958127292</v>
      </c>
      <c r="I88" s="107">
        <v>1.03827318802169</v>
      </c>
      <c r="J88" s="101"/>
      <c r="K88" s="147" t="s">
        <v>106</v>
      </c>
      <c r="L88" s="107">
        <v>5.58502532468457</v>
      </c>
      <c r="M88" s="107">
        <v>1.66099251984236</v>
      </c>
      <c r="N88" s="107">
        <v>-0.831984462401107</v>
      </c>
      <c r="O88" s="107">
        <v>-0.49071090548762</v>
      </c>
      <c r="P88" s="107">
        <v>-1.60213198973604</v>
      </c>
      <c r="Q88" s="107">
        <v>0.480527936931832</v>
      </c>
      <c r="R88" s="107">
        <v>5.81861803554747</v>
      </c>
    </row>
    <row r="89" ht="15.6" spans="2:18">
      <c r="B89" s="174" t="s">
        <v>108</v>
      </c>
      <c r="C89" s="175">
        <v>0.455294232035999</v>
      </c>
      <c r="D89" s="175">
        <v>1.53340619154577</v>
      </c>
      <c r="E89" s="175">
        <v>2.22898563263267</v>
      </c>
      <c r="F89" s="175">
        <v>1.09753831673136</v>
      </c>
      <c r="G89" s="175">
        <v>1.89718290636933</v>
      </c>
      <c r="H89" s="175">
        <v>0.303599740974655</v>
      </c>
      <c r="I89" s="175">
        <v>0.335307097465262</v>
      </c>
      <c r="J89" s="101"/>
      <c r="K89" s="174" t="s">
        <v>108</v>
      </c>
      <c r="L89" s="175">
        <v>138.272517047814</v>
      </c>
      <c r="M89" s="175">
        <v>35.9099544749682</v>
      </c>
      <c r="N89" s="175">
        <v>-41.5990888137214</v>
      </c>
      <c r="O89" s="175">
        <v>-9.3003152718907</v>
      </c>
      <c r="P89" s="175">
        <v>-31.4512288155695</v>
      </c>
      <c r="Q89" s="175">
        <v>8.93214978474088</v>
      </c>
      <c r="R89" s="175">
        <v>126.679681846665</v>
      </c>
    </row>
    <row r="90" ht="15.6" spans="2:18">
      <c r="B90" s="147" t="s">
        <v>110</v>
      </c>
      <c r="C90" s="107">
        <v>0.597764985816433</v>
      </c>
      <c r="D90" s="107">
        <v>0.918591801191355</v>
      </c>
      <c r="E90" s="107">
        <v>1.06329377469646</v>
      </c>
      <c r="F90" s="107">
        <v>1.08308795416213</v>
      </c>
      <c r="G90" s="107">
        <v>1.05588977315966</v>
      </c>
      <c r="H90" s="107">
        <v>0.938573900586868</v>
      </c>
      <c r="I90" s="107">
        <v>0.569736122370851</v>
      </c>
      <c r="J90" s="101"/>
      <c r="K90" s="147" t="s">
        <v>110</v>
      </c>
      <c r="L90" s="107">
        <v>-0.10494168675856</v>
      </c>
      <c r="M90" s="107">
        <v>-0.645207100248255</v>
      </c>
      <c r="N90" s="107">
        <v>-1.17773395568542</v>
      </c>
      <c r="O90" s="107">
        <v>-1.1053972462718</v>
      </c>
      <c r="P90" s="107">
        <v>-1.13884958496309</v>
      </c>
      <c r="Q90" s="107">
        <v>-0.865905315982735</v>
      </c>
      <c r="R90" s="107">
        <v>0.0340360031736429</v>
      </c>
    </row>
    <row r="91" ht="15.6" spans="2:18">
      <c r="B91" s="174" t="s">
        <v>112</v>
      </c>
      <c r="C91" s="175">
        <v>7.290996640631</v>
      </c>
      <c r="D91" s="175">
        <v>4.89112562908433</v>
      </c>
      <c r="E91" s="175">
        <v>0.502413352462651</v>
      </c>
      <c r="F91" s="175">
        <v>1.36199020830618</v>
      </c>
      <c r="G91" s="175">
        <v>1.92148889575055</v>
      </c>
      <c r="H91" s="175">
        <v>2.09033334282736</v>
      </c>
      <c r="I91" s="175">
        <v>4.89077011238639</v>
      </c>
      <c r="J91" s="101"/>
      <c r="K91" s="174" t="s">
        <v>112</v>
      </c>
      <c r="L91" s="175">
        <v>85.5797700446964</v>
      </c>
      <c r="M91" s="175">
        <v>48.74381668618</v>
      </c>
      <c r="N91" s="175">
        <v>-415.401984821264</v>
      </c>
      <c r="O91" s="175">
        <v>-36.590485184458</v>
      </c>
      <c r="P91" s="175">
        <v>-154.950161938047</v>
      </c>
      <c r="Q91" s="175">
        <v>38.7771087204923</v>
      </c>
      <c r="R91" s="175">
        <v>47.0820386032511</v>
      </c>
    </row>
    <row r="92" ht="15.6" spans="2:18">
      <c r="B92" s="147" t="s">
        <v>114</v>
      </c>
      <c r="C92" s="107">
        <v>0.753231500117993</v>
      </c>
      <c r="D92" s="107">
        <v>1.07405194796796</v>
      </c>
      <c r="E92" s="107">
        <v>1.26306378918983</v>
      </c>
      <c r="F92" s="107">
        <v>1.12003862994544</v>
      </c>
      <c r="G92" s="107">
        <v>1.06301650492555</v>
      </c>
      <c r="H92" s="107">
        <v>1.03735649912601</v>
      </c>
      <c r="I92" s="107">
        <v>0.894668937648455</v>
      </c>
      <c r="J92" s="101"/>
      <c r="K92" s="147" t="s">
        <v>114</v>
      </c>
      <c r="L92" s="107">
        <v>-0.582891409286952</v>
      </c>
      <c r="M92" s="107">
        <v>-0.877296347500716</v>
      </c>
      <c r="N92" s="107">
        <v>-1.31957995806779</v>
      </c>
      <c r="O92" s="107">
        <v>-1.1275365578465</v>
      </c>
      <c r="P92" s="107">
        <v>-1.09603279304317</v>
      </c>
      <c r="Q92" s="107">
        <v>-1.00595044002675</v>
      </c>
      <c r="R92" s="107">
        <v>-0.660226669083211</v>
      </c>
    </row>
    <row r="93" ht="15.6" spans="2:18">
      <c r="B93" s="147" t="s">
        <v>116</v>
      </c>
      <c r="C93" s="107">
        <v>1.1672185921567</v>
      </c>
      <c r="D93" s="107">
        <v>1.39327323943335</v>
      </c>
      <c r="E93" s="107">
        <v>1.53248807075573</v>
      </c>
      <c r="F93" s="107">
        <v>1.56653899878803</v>
      </c>
      <c r="G93" s="107">
        <v>1.20708017205478</v>
      </c>
      <c r="H93" s="107">
        <v>1.2482870411127</v>
      </c>
      <c r="I93" s="107">
        <v>1.00084985920072</v>
      </c>
      <c r="J93" s="101"/>
      <c r="K93" s="147" t="s">
        <v>116</v>
      </c>
      <c r="L93" s="107">
        <v>-1.0800274860382</v>
      </c>
      <c r="M93" s="107">
        <v>-1.29983902640676</v>
      </c>
      <c r="N93" s="107">
        <v>-1.53744134761456</v>
      </c>
      <c r="O93" s="107">
        <v>-1.52799912308911</v>
      </c>
      <c r="P93" s="107">
        <v>-1.21229199647576</v>
      </c>
      <c r="Q93" s="107">
        <v>-1.21573731190404</v>
      </c>
      <c r="R93" s="107">
        <v>-0.924615509800393</v>
      </c>
    </row>
    <row r="94" ht="15.6" spans="2:18">
      <c r="B94" s="174" t="s">
        <v>118</v>
      </c>
      <c r="C94" s="175">
        <v>2.00363466344752</v>
      </c>
      <c r="D94" s="175">
        <v>2.63837531715537</v>
      </c>
      <c r="E94" s="175">
        <v>-0.393594084263372</v>
      </c>
      <c r="F94" s="175">
        <v>-0.625751566112668</v>
      </c>
      <c r="G94" s="175">
        <v>0.496000797121076</v>
      </c>
      <c r="H94" s="175">
        <v>0.327603232066504</v>
      </c>
      <c r="I94" s="175">
        <v>1.44783892940989</v>
      </c>
      <c r="J94" s="101"/>
      <c r="K94" s="174" t="s">
        <v>118</v>
      </c>
      <c r="L94" s="175">
        <v>99.6408645068883</v>
      </c>
      <c r="M94" s="175">
        <v>105.382162981807</v>
      </c>
      <c r="N94" s="175">
        <v>-53.4148399885295</v>
      </c>
      <c r="O94" s="175">
        <v>-13.188368707384</v>
      </c>
      <c r="P94" s="175">
        <v>-47.7587237944794</v>
      </c>
      <c r="Q94" s="175">
        <v>77.2474460919908</v>
      </c>
      <c r="R94" s="175">
        <v>73.7267705209984</v>
      </c>
    </row>
    <row r="95" ht="15.6" spans="2:18">
      <c r="B95" s="147" t="s">
        <v>120</v>
      </c>
      <c r="C95" s="107">
        <v>2.54565708446099</v>
      </c>
      <c r="D95" s="107">
        <v>2.95216078974683</v>
      </c>
      <c r="E95" s="107">
        <v>2.37673568434062</v>
      </c>
      <c r="F95" s="107">
        <v>3.42030503743889</v>
      </c>
      <c r="G95" s="107">
        <v>2.7655934338115</v>
      </c>
      <c r="H95" s="107">
        <v>2.93486440592952</v>
      </c>
      <c r="I95" s="107">
        <v>1.88790836961903</v>
      </c>
      <c r="J95" s="101"/>
      <c r="K95" s="147" t="s">
        <v>120</v>
      </c>
      <c r="L95" s="107">
        <v>-2.24941487697445</v>
      </c>
      <c r="M95" s="107">
        <v>-2.63356988309679</v>
      </c>
      <c r="N95" s="107">
        <v>-2.48624594680406</v>
      </c>
      <c r="O95" s="107">
        <v>-3.28927213579297</v>
      </c>
      <c r="P95" s="107">
        <v>-2.69473126707847</v>
      </c>
      <c r="Q95" s="107">
        <v>-2.72408738714691</v>
      </c>
      <c r="R95" s="107">
        <v>-1.69062358387397</v>
      </c>
    </row>
    <row r="96" ht="15.6" spans="2:18">
      <c r="B96" s="147" t="s">
        <v>122</v>
      </c>
      <c r="C96" s="107">
        <v>0.41501253051714</v>
      </c>
      <c r="D96" s="107">
        <v>0.798404437965162</v>
      </c>
      <c r="E96" s="107">
        <v>1.1558475586695</v>
      </c>
      <c r="F96" s="107">
        <v>1.2684816838082</v>
      </c>
      <c r="G96" s="107">
        <v>0.985518451049952</v>
      </c>
      <c r="H96" s="107">
        <v>0.946722807345851</v>
      </c>
      <c r="I96" s="107">
        <v>0.317216559240381</v>
      </c>
      <c r="J96" s="101"/>
      <c r="K96" s="147" t="s">
        <v>122</v>
      </c>
      <c r="L96" s="107">
        <v>-0.109432785168529</v>
      </c>
      <c r="M96" s="107">
        <v>-0.639627482608415</v>
      </c>
      <c r="N96" s="107">
        <v>-1.23049402845947</v>
      </c>
      <c r="O96" s="107">
        <v>-1.27485789089938</v>
      </c>
      <c r="P96" s="107">
        <v>-1.03077791996571</v>
      </c>
      <c r="Q96" s="107">
        <v>-0.906054330894774</v>
      </c>
      <c r="R96" s="107">
        <v>0.085248748751114</v>
      </c>
    </row>
    <row r="97" ht="15.6" spans="1:28">
      <c r="B97" s="147" t="s">
        <v>124</v>
      </c>
      <c r="C97" s="107">
        <v>1.12354851621982</v>
      </c>
      <c r="D97" s="107">
        <v>1.25724615690893</v>
      </c>
      <c r="E97" s="107">
        <v>1.36022266757349</v>
      </c>
      <c r="F97" s="107">
        <v>1.54201207283227</v>
      </c>
      <c r="G97" s="107">
        <v>1.31887645909898</v>
      </c>
      <c r="H97" s="107">
        <v>1.24173505636718</v>
      </c>
      <c r="I97" s="107">
        <v>1.01394476737145</v>
      </c>
      <c r="J97" s="101"/>
      <c r="K97" s="147" t="s">
        <v>124</v>
      </c>
      <c r="L97" s="107">
        <v>-0.915957099788283</v>
      </c>
      <c r="M97" s="107">
        <v>-0.998835330559544</v>
      </c>
      <c r="N97" s="107">
        <v>-1.46611085337052</v>
      </c>
      <c r="O97" s="107">
        <v>-1.54646322537606</v>
      </c>
      <c r="P97" s="107">
        <v>-1.36613670310287</v>
      </c>
      <c r="Q97" s="107">
        <v>-1.19500723245486</v>
      </c>
      <c r="R97" s="107">
        <v>-0.791024839933426</v>
      </c>
    </row>
    <row r="98" ht="15.6" spans="1:28">
      <c r="B98" s="147" t="s">
        <v>126</v>
      </c>
      <c r="C98" s="107">
        <v>1.44414054058776</v>
      </c>
      <c r="D98" s="107">
        <v>1.60402909052799</v>
      </c>
      <c r="E98" s="107">
        <v>0.900469779698604</v>
      </c>
      <c r="F98" s="107">
        <v>1.10875062710379</v>
      </c>
      <c r="G98" s="107">
        <v>1.48228680651372</v>
      </c>
      <c r="H98" s="107">
        <v>1.15811965238857</v>
      </c>
      <c r="I98" s="107">
        <v>1.19403083886648</v>
      </c>
      <c r="J98" s="101"/>
      <c r="K98" s="147" t="s">
        <v>126</v>
      </c>
      <c r="L98" s="107">
        <v>-0.529971387728946</v>
      </c>
      <c r="M98" s="107">
        <v>-0.0708910843090084</v>
      </c>
      <c r="N98" s="107">
        <v>-1.72251345256209</v>
      </c>
      <c r="O98" s="107">
        <v>-1.25339881636155</v>
      </c>
      <c r="P98" s="107">
        <v>-1.82710066166467</v>
      </c>
      <c r="Q98" s="107">
        <v>-0.950144107899952</v>
      </c>
      <c r="R98" s="107">
        <v>-0.311351034146017</v>
      </c>
    </row>
    <row r="99" ht="15.6" spans="1:28">
      <c r="B99" s="147" t="s">
        <v>128</v>
      </c>
      <c r="C99" s="107">
        <v>1.60663380366574</v>
      </c>
      <c r="D99" s="107">
        <v>1.41606175651571</v>
      </c>
      <c r="E99" s="107">
        <v>2.05403994627996</v>
      </c>
      <c r="F99" s="107">
        <v>2.03686775766776</v>
      </c>
      <c r="G99" s="107">
        <v>1.14983277914707</v>
      </c>
      <c r="H99" s="107">
        <v>1.59977736989467</v>
      </c>
      <c r="I99" s="107">
        <v>1.23360501359462</v>
      </c>
      <c r="J99" s="101"/>
      <c r="K99" s="147" t="s">
        <v>128</v>
      </c>
      <c r="L99" s="107">
        <v>3.82535673784587</v>
      </c>
      <c r="M99" s="107">
        <v>0.787585779337041</v>
      </c>
      <c r="N99" s="107">
        <v>-4.43745395754091</v>
      </c>
      <c r="O99" s="107">
        <v>-2.33632234499488</v>
      </c>
      <c r="P99" s="107">
        <v>-2.17013988609136</v>
      </c>
      <c r="Q99" s="107">
        <v>-0.852612241862605</v>
      </c>
      <c r="R99" s="107">
        <v>3.41301134023945</v>
      </c>
    </row>
    <row r="100" ht="15.6" spans="1:28">
      <c r="B100" s="147" t="s">
        <v>130</v>
      </c>
      <c r="C100" s="107">
        <v>2.22168468035054</v>
      </c>
      <c r="D100" s="107">
        <v>1.45487897541298</v>
      </c>
      <c r="E100" s="107">
        <v>1.73830797499149</v>
      </c>
      <c r="F100" s="107">
        <v>0.976113420077191</v>
      </c>
      <c r="G100" s="107">
        <v>1.45643170385415</v>
      </c>
      <c r="H100" s="107">
        <v>1.70380549089045</v>
      </c>
      <c r="I100" s="107">
        <v>1.8746392142618</v>
      </c>
      <c r="J100" s="101"/>
      <c r="K100" s="147" t="s">
        <v>130</v>
      </c>
      <c r="L100" s="107">
        <v>-0.0217566537673087</v>
      </c>
      <c r="M100" s="107">
        <v>4.34025623776738</v>
      </c>
      <c r="N100" s="107">
        <v>-6.35220149294498</v>
      </c>
      <c r="O100" s="107">
        <v>-1.44946462650523</v>
      </c>
      <c r="P100" s="107">
        <v>-2.51489755332011</v>
      </c>
      <c r="Q100" s="107">
        <v>-1.03589436102121</v>
      </c>
      <c r="R100" s="107">
        <v>0.109474684503556</v>
      </c>
    </row>
    <row r="101" ht="15.6" spans="1:28">
      <c r="B101" s="147" t="s">
        <v>132</v>
      </c>
      <c r="C101" s="107">
        <v>2.9853146890559</v>
      </c>
      <c r="D101" s="107">
        <v>3.20642192786333</v>
      </c>
      <c r="E101" s="107">
        <v>1.46427727616893</v>
      </c>
      <c r="F101" s="107">
        <v>1.50663610153051</v>
      </c>
      <c r="G101" s="107">
        <v>1.89218652334004</v>
      </c>
      <c r="H101" s="107">
        <v>1.56954359167313</v>
      </c>
      <c r="I101" s="107">
        <v>2.40404758554965</v>
      </c>
      <c r="J101" s="101"/>
      <c r="K101" s="147" t="s">
        <v>132</v>
      </c>
      <c r="L101" s="107">
        <v>-2.52130406648079</v>
      </c>
      <c r="M101" s="107">
        <v>-2.51516072386604</v>
      </c>
      <c r="N101" s="107">
        <v>-2.54413973110235</v>
      </c>
      <c r="O101" s="107">
        <v>-1.61299592478058</v>
      </c>
      <c r="P101" s="107">
        <v>-2.15267617170076</v>
      </c>
      <c r="Q101" s="107">
        <v>-1.42337308168301</v>
      </c>
      <c r="R101" s="107">
        <v>-2.03839328949653</v>
      </c>
    </row>
    <row r="102" ht="15.6" spans="1:28">
      <c r="B102" s="147" t="s">
        <v>134</v>
      </c>
      <c r="C102" s="107">
        <v>1.80559917377313</v>
      </c>
      <c r="D102" s="107">
        <v>1.07764344545864</v>
      </c>
      <c r="E102" s="107">
        <v>1.08684548112187</v>
      </c>
      <c r="F102" s="107">
        <v>1.07027458760249</v>
      </c>
      <c r="G102" s="107">
        <v>1.46326840071822</v>
      </c>
      <c r="H102" s="107">
        <v>1.62976883303248</v>
      </c>
      <c r="I102" s="107">
        <v>1.83309477228346</v>
      </c>
      <c r="J102" s="101"/>
      <c r="K102" s="147" t="s">
        <v>134</v>
      </c>
      <c r="L102" s="107">
        <v>-1.62467330276176</v>
      </c>
      <c r="M102" s="107">
        <v>-0.837577750828091</v>
      </c>
      <c r="N102" s="107">
        <v>-1.15092912489334</v>
      </c>
      <c r="O102" s="107">
        <v>-1.08268141622394</v>
      </c>
      <c r="P102" s="107">
        <v>-1.48711890521502</v>
      </c>
      <c r="Q102" s="107">
        <v>-1.5703240748503</v>
      </c>
      <c r="R102" s="107">
        <v>-1.63837984020624</v>
      </c>
    </row>
    <row r="103" ht="15.6" spans="1:28">
      <c r="B103" s="147" t="s">
        <v>136</v>
      </c>
      <c r="C103" s="107">
        <v>1.0878832598703</v>
      </c>
      <c r="D103" s="107">
        <v>0.886998646127221</v>
      </c>
      <c r="E103" s="107">
        <v>0.833850865861974</v>
      </c>
      <c r="F103" s="107">
        <v>1.06704454368577</v>
      </c>
      <c r="G103" s="107">
        <v>1.05772042656559</v>
      </c>
      <c r="H103" s="107">
        <v>1.59158928999011</v>
      </c>
      <c r="I103" s="107">
        <v>1.13347274872168</v>
      </c>
      <c r="J103" s="173"/>
      <c r="K103" s="147" t="s">
        <v>136</v>
      </c>
      <c r="L103" s="107">
        <v>1.5122081140968</v>
      </c>
      <c r="M103" s="107">
        <v>8.48509483695532</v>
      </c>
      <c r="N103" s="107">
        <v>-2.22974951690522</v>
      </c>
      <c r="O103" s="107">
        <v>-1.40987207200702</v>
      </c>
      <c r="P103" s="107">
        <v>-1.98776058295324</v>
      </c>
      <c r="Q103" s="107">
        <v>-1.10132427642767</v>
      </c>
      <c r="R103" s="107">
        <v>2.11412037029139</v>
      </c>
    </row>
    <row r="104" ht="15.6" spans="1:28">
      <c r="B104" s="147" t="s">
        <v>137</v>
      </c>
      <c r="C104" s="107">
        <v>3.08854292180451</v>
      </c>
      <c r="D104" s="107">
        <v>2.46210927532566</v>
      </c>
      <c r="E104" s="107">
        <v>1.43325419772373</v>
      </c>
      <c r="F104" s="107">
        <v>1.53942338939562</v>
      </c>
      <c r="G104" s="107">
        <v>2.94176989580835</v>
      </c>
      <c r="H104" s="107">
        <v>1.57035953979757</v>
      </c>
      <c r="I104" s="107">
        <v>2.27918759012601</v>
      </c>
      <c r="J104" s="101"/>
      <c r="K104" s="147" t="s">
        <v>137</v>
      </c>
      <c r="L104" s="107">
        <v>0.982658619937428</v>
      </c>
      <c r="M104" s="107">
        <v>1.79734430584536</v>
      </c>
      <c r="N104" s="107">
        <v>-20.2353141458472</v>
      </c>
      <c r="O104" s="107">
        <v>-3.96025682901995</v>
      </c>
      <c r="P104" s="107">
        <v>-5.09391763344699</v>
      </c>
      <c r="Q104" s="107">
        <v>-0.433194747132056</v>
      </c>
      <c r="R104" s="107">
        <v>0.720205762478191</v>
      </c>
    </row>
    <row r="105" ht="15.6" spans="1:28">
      <c r="B105" s="147" t="s">
        <v>138</v>
      </c>
      <c r="C105" s="107">
        <v>2.70605441346461</v>
      </c>
      <c r="D105" s="107">
        <v>1.12273058414023</v>
      </c>
      <c r="E105" s="107">
        <v>-1.420602636056</v>
      </c>
      <c r="F105" s="107">
        <v>5.80188583328825</v>
      </c>
      <c r="G105" s="107">
        <v>0.27698369003147</v>
      </c>
      <c r="H105" s="107">
        <v>1.93816071208634</v>
      </c>
      <c r="I105" s="107">
        <v>2.20016545304263</v>
      </c>
      <c r="J105" s="101"/>
      <c r="K105" s="147" t="s">
        <v>138</v>
      </c>
      <c r="L105" s="107">
        <v>17.8585277883342</v>
      </c>
      <c r="M105" s="107">
        <v>28.2038365756166</v>
      </c>
      <c r="N105" s="107">
        <v>-47.3388613645513</v>
      </c>
      <c r="O105" s="107">
        <v>-7.28683704643455</v>
      </c>
      <c r="P105" s="107">
        <v>-9.39997323781484</v>
      </c>
      <c r="Q105" s="107">
        <v>7.90464460931753</v>
      </c>
      <c r="R105" s="107">
        <v>15.1880929710557</v>
      </c>
    </row>
    <row r="106" ht="15.6" spans="1:28">
      <c r="B106" s="147" t="s">
        <v>139</v>
      </c>
      <c r="C106" s="107">
        <v>2.24531712914886</v>
      </c>
      <c r="D106" s="107">
        <v>2.33456020266601</v>
      </c>
      <c r="E106" s="107">
        <v>1.85914248033363</v>
      </c>
      <c r="F106" s="107">
        <v>1.26480532351772</v>
      </c>
      <c r="G106" s="107">
        <v>1.73962558524092</v>
      </c>
      <c r="H106" s="107">
        <v>1.58673518068673</v>
      </c>
      <c r="I106" s="107">
        <v>1.95355303864662</v>
      </c>
      <c r="J106" s="101"/>
      <c r="K106" s="147" t="s">
        <v>139</v>
      </c>
      <c r="L106" s="107">
        <v>5.12980859010318</v>
      </c>
      <c r="M106" s="107">
        <v>7.63684077579539</v>
      </c>
      <c r="N106" s="107">
        <v>-14.7758504706367</v>
      </c>
      <c r="O106" s="107">
        <v>-2.98479553660292</v>
      </c>
      <c r="P106" s="107">
        <v>-4.41315375452944</v>
      </c>
      <c r="Q106" s="107">
        <v>0.0652723747152766</v>
      </c>
      <c r="R106" s="107">
        <v>4.62013676329449</v>
      </c>
    </row>
    <row r="107" ht="15.6" spans="1:28">
      <c r="B107" s="147" t="s">
        <v>142</v>
      </c>
      <c r="C107" s="107">
        <v>0.791438027683508</v>
      </c>
      <c r="D107" s="107">
        <v>2.43592611244287</v>
      </c>
      <c r="E107" s="107">
        <v>2.25947327408974</v>
      </c>
      <c r="F107" s="107">
        <v>0.517319441141296</v>
      </c>
      <c r="G107" s="107">
        <v>2.30667744710598</v>
      </c>
      <c r="H107" s="107">
        <v>2.47079823260238</v>
      </c>
      <c r="I107" s="107">
        <v>0.330204129651851</v>
      </c>
      <c r="J107" s="101"/>
      <c r="K107" s="147" t="s">
        <v>142</v>
      </c>
      <c r="L107" s="107">
        <v>10.346700818638</v>
      </c>
      <c r="M107" s="107">
        <v>0.00841433238301903</v>
      </c>
      <c r="N107" s="107">
        <v>-7.53492583629486</v>
      </c>
      <c r="O107" s="107">
        <v>-1.33173467689158</v>
      </c>
      <c r="P107" s="107">
        <v>-3.9035961877446</v>
      </c>
      <c r="Q107" s="107">
        <v>-1.35903520681367</v>
      </c>
      <c r="R107" s="107">
        <v>6.1894010334838</v>
      </c>
    </row>
    <row r="108" ht="15.6" spans="1:28">
      <c r="B108" s="147" t="s">
        <v>143</v>
      </c>
      <c r="C108" s="107">
        <v>1.51774955543397</v>
      </c>
      <c r="D108" s="107">
        <v>1.79597312906779</v>
      </c>
      <c r="E108" s="107">
        <v>1.80631195538387</v>
      </c>
      <c r="F108" s="107">
        <v>1.652068957005</v>
      </c>
      <c r="G108" s="107">
        <v>1.67979782145662</v>
      </c>
      <c r="H108" s="107">
        <v>1.48916005798053</v>
      </c>
      <c r="I108" s="107">
        <v>1.21771955950371</v>
      </c>
      <c r="J108" s="101"/>
      <c r="K108" s="147" t="s">
        <v>143</v>
      </c>
      <c r="L108" s="107">
        <v>-1.29949266027315</v>
      </c>
      <c r="M108" s="107">
        <v>-1.40141265798255</v>
      </c>
      <c r="N108" s="107">
        <v>-2.04920976937234</v>
      </c>
      <c r="O108" s="107">
        <v>-1.67801979104171</v>
      </c>
      <c r="P108" s="107">
        <v>-1.74046391947513</v>
      </c>
      <c r="Q108" s="107">
        <v>-1.42693675118335</v>
      </c>
      <c r="R108" s="107">
        <v>-1.02095654217236</v>
      </c>
    </row>
    <row r="109" ht="15.6" spans="1:28">
      <c r="B109" s="147" t="s">
        <v>144</v>
      </c>
      <c r="C109" s="107">
        <v>0.917726320439942</v>
      </c>
      <c r="D109" s="107">
        <v>2.37167097488619</v>
      </c>
      <c r="E109" s="107">
        <v>1.40179707189673</v>
      </c>
      <c r="F109" s="107">
        <v>2.2095986893933</v>
      </c>
      <c r="G109" s="107">
        <v>2.23361249638366</v>
      </c>
      <c r="H109" s="107">
        <v>2.90770425709903</v>
      </c>
      <c r="I109" s="107">
        <v>0.668007919124272</v>
      </c>
      <c r="J109" s="101"/>
      <c r="K109" s="147" t="s">
        <v>144</v>
      </c>
      <c r="L109" s="107">
        <v>8.08439718526552</v>
      </c>
      <c r="M109" s="107">
        <v>13.1097506632762</v>
      </c>
      <c r="N109" s="107">
        <v>-10.8818361647896</v>
      </c>
      <c r="O109" s="107">
        <v>-4.14791363142542</v>
      </c>
      <c r="P109" s="107">
        <v>-6.09452740834623</v>
      </c>
      <c r="Q109" s="107">
        <v>-1.8426239415154</v>
      </c>
      <c r="R109" s="107">
        <v>10.6356479256901</v>
      </c>
    </row>
    <row r="110" s="94" customFormat="1" ht="9" customHeight="1" spans="1:28">
      <c r="A110" s="96"/>
      <c r="B110" s="111"/>
      <c r="C110" s="111"/>
      <c r="D110" s="111"/>
      <c r="E110" s="111"/>
      <c r="F110" s="111"/>
      <c r="G110" s="111"/>
      <c r="H110" s="111"/>
      <c r="I110" s="111"/>
      <c r="J110" s="96"/>
      <c r="K110" s="111"/>
      <c r="L110" s="111"/>
      <c r="M110" s="111"/>
      <c r="N110" s="111"/>
      <c r="O110" s="111"/>
      <c r="P110" s="111"/>
      <c r="Q110" s="111"/>
      <c r="R110" s="111"/>
      <c r="S110" s="96"/>
      <c r="AB110" s="96"/>
    </row>
  </sheetData>
  <conditionalFormatting sqref="B17:R17">
    <cfRule type="cellIs" dxfId="0" priority="8" operator="equal">
      <formula>0</formula>
    </cfRule>
  </conditionalFormatting>
  <conditionalFormatting sqref="B19:R19">
    <cfRule type="cellIs" dxfId="0" priority="1" operator="equal">
      <formula>0</formula>
    </cfRule>
  </conditionalFormatting>
  <conditionalFormatting sqref="B20:R20">
    <cfRule type="cellIs" dxfId="0" priority="4" operator="equal">
      <formula>0</formula>
    </cfRule>
  </conditionalFormatting>
  <conditionalFormatting sqref="B32:R32">
    <cfRule type="cellIs" dxfId="0" priority="10" operator="equal">
      <formula>0</formula>
    </cfRule>
  </conditionalFormatting>
  <conditionalFormatting sqref="B37:R37">
    <cfRule type="cellIs" dxfId="0" priority="5" operator="equal">
      <formula>0</formula>
    </cfRule>
  </conditionalFormatting>
  <conditionalFormatting sqref="B39:R39">
    <cfRule type="cellIs" dxfId="0" priority="11" operator="equal">
      <formula>0</formula>
    </cfRule>
  </conditionalFormatting>
  <conditionalFormatting sqref="B42:R42">
    <cfRule type="cellIs" dxfId="0" priority="13" operator="equal">
      <formula>0</formula>
    </cfRule>
  </conditionalFormatting>
  <conditionalFormatting sqref="B69:R69">
    <cfRule type="cellIs" dxfId="0" priority="7" operator="equal">
      <formula>0</formula>
    </cfRule>
  </conditionalFormatting>
  <conditionalFormatting sqref="B71:R71">
    <cfRule type="cellIs" dxfId="0" priority="2" operator="equal">
      <formula>0</formula>
    </cfRule>
  </conditionalFormatting>
  <conditionalFormatting sqref="B72:R72">
    <cfRule type="cellIs" dxfId="0" priority="3" operator="equal">
      <formula>0</formula>
    </cfRule>
  </conditionalFormatting>
  <conditionalFormatting sqref="B84:R84">
    <cfRule type="cellIs" dxfId="0" priority="9" operator="equal">
      <formula>0</formula>
    </cfRule>
  </conditionalFormatting>
  <conditionalFormatting sqref="B89:R89">
    <cfRule type="cellIs" dxfId="0" priority="6" operator="equal">
      <formula>0</formula>
    </cfRule>
  </conditionalFormatting>
  <conditionalFormatting sqref="B91:R91">
    <cfRule type="cellIs" dxfId="0" priority="12" operator="equal">
      <formula>0</formula>
    </cfRule>
  </conditionalFormatting>
  <conditionalFormatting sqref="B4:I16 K2:K3 B54:B55 J54:K55 K4:R16 B56:R68 K43:R51 B43:I51 B92:R109 K40:R41 B40:I41 K33:R36 B33:I36 B85:R88 K18:R18 B18:I18 B70:R70 B90:R90 B38:I38 K38:R38 B21:I31 K21:R31 B73:R83">
    <cfRule type="cellIs" dxfId="0" priority="15" operator="equal">
      <formula>0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1"/>
  <sheetViews>
    <sheetView workbookViewId="0">
      <selection activeCell="B62" sqref="B62:V120"/>
    </sheetView>
  </sheetViews>
  <sheetFormatPr defaultColWidth="11" defaultRowHeight="14.4"/>
  <cols>
    <col min="1" max="1" width="4.71296296296296" style="96" customWidth="1"/>
    <col min="2" max="2" width="5.13888888888889" style="31" customWidth="1"/>
    <col min="3" max="3" width="9.71296296296296" customWidth="1"/>
    <col min="4" max="6" width="13.5740740740741" customWidth="1"/>
    <col min="7" max="11" width="9.71296296296296" customWidth="1"/>
    <col min="12" max="12" width="4.71296296296296" style="94" customWidth="1"/>
    <col min="13" max="13" width="5.13888888888889" style="31" customWidth="1"/>
    <col min="14" max="14" width="9.71296296296296" customWidth="1"/>
    <col min="15" max="17" width="13.5740740740741" customWidth="1"/>
    <col min="18" max="22" width="9.71296296296296" customWidth="1"/>
    <col min="23" max="23" width="4.71296296296296" style="94" customWidth="1"/>
    <col min="24" max="35" width="9.71296296296296" customWidth="1"/>
  </cols>
  <sheetData>
    <row r="1" s="94" customFormat="1" ht="15.15" spans="1:30">
      <c r="A1" s="96"/>
      <c r="B1" s="137"/>
      <c r="M1" s="137"/>
    </row>
    <row r="2" ht="43.95" spans="1:30">
      <c r="B2" s="98" t="s">
        <v>8</v>
      </c>
      <c r="C2" s="98"/>
      <c r="D2" s="98" t="s">
        <v>299</v>
      </c>
      <c r="E2" s="98" t="s">
        <v>300</v>
      </c>
      <c r="F2" s="98" t="s">
        <v>301</v>
      </c>
      <c r="G2" s="98" t="s">
        <v>302</v>
      </c>
      <c r="H2" s="98" t="s">
        <v>303</v>
      </c>
      <c r="I2" s="98" t="s">
        <v>304</v>
      </c>
      <c r="J2" s="98" t="s">
        <v>305</v>
      </c>
      <c r="K2" s="98" t="s">
        <v>306</v>
      </c>
      <c r="M2" s="98" t="s">
        <v>9</v>
      </c>
      <c r="N2" s="98"/>
      <c r="O2" s="98" t="s">
        <v>299</v>
      </c>
      <c r="P2" s="98" t="s">
        <v>300</v>
      </c>
      <c r="Q2" s="98" t="s">
        <v>301</v>
      </c>
      <c r="R2" s="98" t="s">
        <v>302</v>
      </c>
      <c r="S2" s="98" t="s">
        <v>303</v>
      </c>
      <c r="T2" s="98" t="s">
        <v>304</v>
      </c>
      <c r="U2" s="98" t="s">
        <v>305</v>
      </c>
      <c r="V2" s="98" t="s">
        <v>306</v>
      </c>
      <c r="Z2" s="159" t="s">
        <v>228</v>
      </c>
      <c r="AA2" s="160" t="s">
        <v>229</v>
      </c>
    </row>
    <row r="3" s="94" customFormat="1" ht="9" customHeight="1" spans="1:30">
      <c r="A3" s="96"/>
      <c r="B3" s="99"/>
      <c r="C3" s="99"/>
      <c r="D3" s="99"/>
      <c r="E3" s="99"/>
      <c r="F3" s="99"/>
      <c r="G3" s="99"/>
      <c r="H3" s="99"/>
      <c r="I3" s="99"/>
      <c r="J3" s="99"/>
      <c r="K3" s="99"/>
      <c r="M3" s="99"/>
      <c r="N3" s="99"/>
      <c r="O3" s="99"/>
      <c r="P3" s="99"/>
      <c r="Q3" s="99"/>
      <c r="R3" s="99"/>
      <c r="S3" s="99"/>
      <c r="T3" s="99"/>
      <c r="U3" s="99"/>
      <c r="V3" s="99"/>
      <c r="Y3" t="s">
        <v>307</v>
      </c>
      <c r="Z3" s="161" t="s">
        <v>308</v>
      </c>
      <c r="AA3" s="162" t="s">
        <v>309</v>
      </c>
      <c r="AB3" s="94" t="s">
        <v>310</v>
      </c>
      <c r="AC3" s="94" t="s">
        <v>311</v>
      </c>
    </row>
    <row r="4" s="94" customFormat="1" ht="9" customHeight="1" spans="1:30">
      <c r="A4" s="96"/>
      <c r="B4" s="100"/>
      <c r="C4" s="100"/>
      <c r="D4" s="100"/>
      <c r="E4" s="100"/>
      <c r="F4" s="100"/>
      <c r="G4" s="100"/>
      <c r="H4" s="100"/>
      <c r="I4" s="100"/>
      <c r="J4" s="100"/>
      <c r="K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Y4"/>
      <c r="Z4" s="161"/>
      <c r="AA4" s="162"/>
    </row>
    <row r="5" ht="15.6" spans="1:30">
      <c r="A5" s="101"/>
      <c r="B5" s="147" t="s">
        <v>12</v>
      </c>
      <c r="C5" s="147" t="s">
        <v>51</v>
      </c>
      <c r="D5" s="107">
        <v>0.322904537406103</v>
      </c>
      <c r="E5" s="107">
        <v>0.291353559349734</v>
      </c>
      <c r="F5" s="107">
        <v>0.667638537929872</v>
      </c>
      <c r="G5" s="107">
        <v>1.04348132100254</v>
      </c>
      <c r="H5" s="107">
        <v>0.971726865753784</v>
      </c>
      <c r="I5" s="107">
        <v>0.9574394561005</v>
      </c>
      <c r="J5" s="107">
        <v>0.878228949150483</v>
      </c>
      <c r="K5" s="107">
        <v>0.297024773022176</v>
      </c>
      <c r="M5" s="147" t="s">
        <v>12</v>
      </c>
      <c r="N5" s="147" t="s">
        <v>52</v>
      </c>
      <c r="O5" s="107">
        <v>0.171616287467659</v>
      </c>
      <c r="P5" s="107">
        <v>0.346976651948221</v>
      </c>
      <c r="Q5" s="107">
        <v>-0.537789227128195</v>
      </c>
      <c r="R5" s="107">
        <v>-1.08265326171847</v>
      </c>
      <c r="S5" s="107">
        <v>-0.985756976120308</v>
      </c>
      <c r="T5" s="107">
        <v>-0.978082129339293</v>
      </c>
      <c r="U5" s="107">
        <v>-0.827132453506682</v>
      </c>
      <c r="V5" s="107">
        <v>0.704410259902178</v>
      </c>
      <c r="Y5" s="163" t="s">
        <v>52</v>
      </c>
      <c r="Z5" s="164">
        <v>0.322904537406103</v>
      </c>
      <c r="AA5" s="165">
        <v>0.171616287467659</v>
      </c>
      <c r="AB5" t="s">
        <v>12</v>
      </c>
      <c r="AC5" t="s">
        <v>52</v>
      </c>
      <c r="AD5" s="31">
        <f>IF(Y5=AC5,0,1)</f>
        <v>0</v>
      </c>
    </row>
    <row r="6" ht="15.6" spans="1:30">
      <c r="A6" s="101"/>
      <c r="B6" s="147" t="s">
        <v>12</v>
      </c>
      <c r="C6" s="147" t="s">
        <v>55</v>
      </c>
      <c r="D6" s="107">
        <v>0.775840967344575</v>
      </c>
      <c r="E6" s="107">
        <v>0.753716632339636</v>
      </c>
      <c r="F6" s="107">
        <v>1.17226264813792</v>
      </c>
      <c r="G6" s="107">
        <v>1.46679089672926</v>
      </c>
      <c r="H6" s="107">
        <v>1.51551198587742</v>
      </c>
      <c r="I6" s="107">
        <v>1.24366727459318</v>
      </c>
      <c r="J6" s="107">
        <v>1.11155543976157</v>
      </c>
      <c r="K6" s="107">
        <v>0.60912714041761</v>
      </c>
      <c r="M6" s="147" t="s">
        <v>12</v>
      </c>
      <c r="N6" s="147" t="s">
        <v>56</v>
      </c>
      <c r="O6" s="107">
        <v>-0.0258028537190547</v>
      </c>
      <c r="P6" s="107">
        <v>0.147030166644408</v>
      </c>
      <c r="Q6" s="107">
        <v>-0.928138279178639</v>
      </c>
      <c r="R6" s="107">
        <v>-1.58372737938239</v>
      </c>
      <c r="S6" s="107">
        <v>-1.52463088200028</v>
      </c>
      <c r="T6" s="107">
        <v>-1.27225327118747</v>
      </c>
      <c r="U6" s="107">
        <v>-1.02321099304128</v>
      </c>
      <c r="V6" s="107">
        <v>0.425886387097208</v>
      </c>
      <c r="Y6" s="166" t="s">
        <v>56</v>
      </c>
      <c r="Z6" s="167">
        <v>0.775840967344575</v>
      </c>
      <c r="AA6" s="168">
        <v>-0.0258028537190547</v>
      </c>
      <c r="AB6" t="s">
        <v>12</v>
      </c>
      <c r="AC6" t="s">
        <v>56</v>
      </c>
      <c r="AD6" s="31">
        <f>IF(Y6=AC6,0,1)</f>
        <v>0</v>
      </c>
    </row>
    <row r="7" ht="15.6" spans="1:30">
      <c r="A7" s="101"/>
      <c r="B7" s="147"/>
      <c r="C7" s="147"/>
      <c r="D7" s="107"/>
      <c r="E7" s="107"/>
      <c r="F7" s="107"/>
      <c r="G7" s="107"/>
      <c r="H7" s="107"/>
      <c r="I7" s="107"/>
      <c r="J7" s="107"/>
      <c r="K7" s="107"/>
      <c r="M7" s="147"/>
      <c r="N7" s="147"/>
      <c r="O7" s="107"/>
      <c r="P7" s="107"/>
      <c r="Q7" s="107"/>
      <c r="R7" s="107"/>
      <c r="S7" s="107"/>
      <c r="T7" s="107"/>
      <c r="U7" s="107"/>
      <c r="V7" s="107"/>
      <c r="Y7" s="166"/>
      <c r="Z7" s="167"/>
      <c r="AA7" s="168"/>
      <c r="AD7" s="31"/>
    </row>
    <row r="8" ht="15.6" spans="1:30">
      <c r="A8" s="101"/>
      <c r="B8" s="147" t="s">
        <v>13</v>
      </c>
      <c r="C8" s="147" t="s">
        <v>49</v>
      </c>
      <c r="D8" s="107">
        <v>0.877960896814207</v>
      </c>
      <c r="E8" s="107">
        <v>0.796722292352308</v>
      </c>
      <c r="F8" s="107">
        <v>0.90588528214549</v>
      </c>
      <c r="G8" s="107">
        <v>0.909248782262836</v>
      </c>
      <c r="H8" s="107">
        <v>0.683962920925333</v>
      </c>
      <c r="I8" s="107">
        <v>0.818599740052762</v>
      </c>
      <c r="J8" s="107">
        <v>0.799124419434478</v>
      </c>
      <c r="K8" s="107">
        <v>0.807233965769623</v>
      </c>
      <c r="M8" s="147" t="s">
        <v>13</v>
      </c>
      <c r="N8" s="147" t="s">
        <v>50</v>
      </c>
      <c r="O8" s="107">
        <v>0.424292173840703</v>
      </c>
      <c r="P8" s="107">
        <v>0.534933090817586</v>
      </c>
      <c r="Q8" s="107">
        <v>-0.298690444022464</v>
      </c>
      <c r="R8" s="107">
        <v>-1.0853139470886</v>
      </c>
      <c r="S8" s="107">
        <v>-0.739970144044323</v>
      </c>
      <c r="T8" s="107">
        <v>-0.883142476721219</v>
      </c>
      <c r="U8" s="107">
        <v>-0.631210970659751</v>
      </c>
      <c r="V8" s="107">
        <v>0.926462515910284</v>
      </c>
      <c r="Y8" s="166" t="s">
        <v>50</v>
      </c>
      <c r="Z8" s="167">
        <v>0.877960896814207</v>
      </c>
      <c r="AA8" s="168">
        <v>0.424292173840703</v>
      </c>
      <c r="AB8" t="s">
        <v>13</v>
      </c>
      <c r="AC8" t="s">
        <v>50</v>
      </c>
      <c r="AD8" s="31">
        <f>IF(Y8=AC8,0,1)</f>
        <v>0</v>
      </c>
    </row>
    <row r="9" ht="15.6" spans="1:30">
      <c r="A9" s="101"/>
      <c r="B9" s="147"/>
      <c r="C9" s="147"/>
      <c r="D9" s="107"/>
      <c r="E9" s="107"/>
      <c r="F9" s="107"/>
      <c r="G9" s="107"/>
      <c r="H9" s="107"/>
      <c r="I9" s="107"/>
      <c r="J9" s="107"/>
      <c r="K9" s="107"/>
      <c r="M9" s="147"/>
      <c r="N9" s="147"/>
      <c r="O9" s="107"/>
      <c r="P9" s="107"/>
      <c r="Q9" s="107"/>
      <c r="R9" s="107"/>
      <c r="S9" s="107"/>
      <c r="T9" s="107"/>
      <c r="U9" s="107"/>
      <c r="V9" s="107"/>
      <c r="Y9" s="166"/>
      <c r="Z9" s="167"/>
      <c r="AA9" s="168"/>
      <c r="AD9" s="31"/>
    </row>
    <row r="10" ht="15.6" spans="1:30">
      <c r="A10" s="101"/>
      <c r="B10" s="147" t="s">
        <v>15</v>
      </c>
      <c r="C10" s="147" t="s">
        <v>41</v>
      </c>
      <c r="D10" s="107">
        <v>0.286173004466951</v>
      </c>
      <c r="E10" s="107">
        <v>0.298916187349072</v>
      </c>
      <c r="F10" s="107">
        <v>0.456149425850422</v>
      </c>
      <c r="G10" s="107">
        <v>0.803444030446107</v>
      </c>
      <c r="H10" s="107">
        <v>0.810766518544298</v>
      </c>
      <c r="I10" s="107">
        <v>0.774231292489176</v>
      </c>
      <c r="J10" s="107">
        <v>0.662470030163124</v>
      </c>
      <c r="K10" s="107">
        <v>0.325213523351974</v>
      </c>
      <c r="M10" s="147" t="s">
        <v>15</v>
      </c>
      <c r="N10" s="147" t="s">
        <v>42</v>
      </c>
      <c r="O10" s="107">
        <v>-0.0359066576345585</v>
      </c>
      <c r="P10" s="107">
        <v>0.0347851486682074</v>
      </c>
      <c r="Q10" s="107">
        <v>-0.408515007034669</v>
      </c>
      <c r="R10" s="107">
        <v>-0.842061453316485</v>
      </c>
      <c r="S10" s="107">
        <v>-0.833768010675972</v>
      </c>
      <c r="T10" s="107">
        <v>-0.800384342412279</v>
      </c>
      <c r="U10" s="107">
        <v>-0.651495166096358</v>
      </c>
      <c r="V10" s="107">
        <v>0.221258455878653</v>
      </c>
      <c r="Y10" s="166" t="s">
        <v>42</v>
      </c>
      <c r="Z10" s="167">
        <v>0.286173004466951</v>
      </c>
      <c r="AA10" s="168">
        <v>-0.0359066576345585</v>
      </c>
      <c r="AB10" t="s">
        <v>15</v>
      </c>
      <c r="AC10" t="s">
        <v>42</v>
      </c>
      <c r="AD10" s="31">
        <f t="shared" ref="AD10:AD19" si="0">IF(Y10=AC10,0,1)</f>
        <v>0</v>
      </c>
    </row>
    <row r="11" ht="15.6" spans="1:30">
      <c r="A11" s="101"/>
      <c r="B11" s="147" t="s">
        <v>15</v>
      </c>
      <c r="C11" s="147" t="s">
        <v>43</v>
      </c>
      <c r="D11" s="107">
        <v>0.677005084129206</v>
      </c>
      <c r="E11" s="107">
        <v>0.595464436700397</v>
      </c>
      <c r="F11" s="107">
        <v>0.80568397968193</v>
      </c>
      <c r="G11" s="107">
        <v>1.0235349489675</v>
      </c>
      <c r="H11" s="107">
        <v>1.11375333859014</v>
      </c>
      <c r="I11" s="107">
        <v>0.847430541738598</v>
      </c>
      <c r="J11" s="107">
        <v>0.801693056907784</v>
      </c>
      <c r="K11" s="107">
        <v>0.540586098518039</v>
      </c>
      <c r="M11" s="147" t="s">
        <v>15</v>
      </c>
      <c r="N11" s="147" t="s">
        <v>44</v>
      </c>
      <c r="O11" s="107">
        <v>-0.0806611398531337</v>
      </c>
      <c r="P11" s="107">
        <v>0.0235075800054587</v>
      </c>
      <c r="Q11" s="107">
        <v>-0.541233273963049</v>
      </c>
      <c r="R11" s="107">
        <v>-1.11179960423835</v>
      </c>
      <c r="S11" s="107">
        <v>-1.13234514511878</v>
      </c>
      <c r="T11" s="107">
        <v>-0.879711093613919</v>
      </c>
      <c r="U11" s="107">
        <v>-0.736569428250721</v>
      </c>
      <c r="V11" s="107">
        <v>0.303627108107755</v>
      </c>
      <c r="Y11" s="166" t="s">
        <v>44</v>
      </c>
      <c r="Z11" s="167">
        <v>0.677005084129206</v>
      </c>
      <c r="AA11" s="168">
        <v>-0.0806611398531337</v>
      </c>
      <c r="AB11" t="s">
        <v>15</v>
      </c>
      <c r="AC11" t="s">
        <v>44</v>
      </c>
      <c r="AD11" s="31">
        <f t="shared" si="0"/>
        <v>0</v>
      </c>
    </row>
    <row r="12" ht="15.6" spans="1:30">
      <c r="A12" s="101"/>
      <c r="B12" s="147" t="s">
        <v>15</v>
      </c>
      <c r="C12" s="147" t="s">
        <v>45</v>
      </c>
      <c r="D12" s="107">
        <v>0.305880871413959</v>
      </c>
      <c r="E12" s="107">
        <v>0.312690450361572</v>
      </c>
      <c r="F12" s="107">
        <v>0.609971957731519</v>
      </c>
      <c r="G12" s="107">
        <v>0.959722326741751</v>
      </c>
      <c r="H12" s="107">
        <v>0.996783468399015</v>
      </c>
      <c r="I12" s="107">
        <v>0.87863885423966</v>
      </c>
      <c r="J12" s="107">
        <v>0.80661268240486</v>
      </c>
      <c r="K12" s="107">
        <v>0.258493654726148</v>
      </c>
      <c r="M12" s="147" t="s">
        <v>15</v>
      </c>
      <c r="N12" s="147" t="s">
        <v>46</v>
      </c>
      <c r="O12" s="107">
        <v>0.221612348325005</v>
      </c>
      <c r="P12" s="107">
        <v>0.418918827837649</v>
      </c>
      <c r="Q12" s="107">
        <v>-0.486970931374872</v>
      </c>
      <c r="R12" s="107">
        <v>-1.00723174088349</v>
      </c>
      <c r="S12" s="107">
        <v>-1.01060013989136</v>
      </c>
      <c r="T12" s="107">
        <v>-0.903572537378394</v>
      </c>
      <c r="U12" s="107">
        <v>-0.754152133047106</v>
      </c>
      <c r="V12" s="107">
        <v>0.798532111420224</v>
      </c>
      <c r="Y12" s="166" t="s">
        <v>46</v>
      </c>
      <c r="Z12" s="167">
        <v>0.305880871413959</v>
      </c>
      <c r="AA12" s="168">
        <v>0.221612348325005</v>
      </c>
      <c r="AB12" t="s">
        <v>15</v>
      </c>
      <c r="AC12" t="s">
        <v>46</v>
      </c>
      <c r="AD12" s="31">
        <f t="shared" si="0"/>
        <v>0</v>
      </c>
    </row>
    <row r="13" ht="15.6" spans="1:30">
      <c r="A13" s="101"/>
      <c r="B13" s="147" t="s">
        <v>15</v>
      </c>
      <c r="C13" s="147" t="s">
        <v>47</v>
      </c>
      <c r="D13" s="107">
        <v>0.620790526790394</v>
      </c>
      <c r="E13" s="107">
        <v>0.589362272128542</v>
      </c>
      <c r="F13" s="107">
        <v>0.953596031151412</v>
      </c>
      <c r="G13" s="107">
        <v>1.03195001232642</v>
      </c>
      <c r="H13" s="107">
        <v>1.14764504722</v>
      </c>
      <c r="I13" s="107">
        <v>1.15276210969584</v>
      </c>
      <c r="J13" s="107">
        <v>0.998490247782289</v>
      </c>
      <c r="K13" s="107">
        <v>0.534808657592224</v>
      </c>
      <c r="M13" s="147" t="s">
        <v>15</v>
      </c>
      <c r="N13" s="147" t="s">
        <v>48</v>
      </c>
      <c r="O13" s="107">
        <v>-0.462055973447952</v>
      </c>
      <c r="P13" s="107">
        <v>-0.394251789570469</v>
      </c>
      <c r="Q13" s="107">
        <v>-0.902157089594909</v>
      </c>
      <c r="R13" s="107">
        <v>-1.0494462457378</v>
      </c>
      <c r="S13" s="107">
        <v>-1.134034028073</v>
      </c>
      <c r="T13" s="107">
        <v>-1.14074368753428</v>
      </c>
      <c r="U13" s="107">
        <v>-0.978722656404423</v>
      </c>
      <c r="V13" s="107">
        <v>-0.272713803723366</v>
      </c>
      <c r="Y13" s="166" t="s">
        <v>48</v>
      </c>
      <c r="Z13" s="167">
        <v>0.620790526790394</v>
      </c>
      <c r="AA13" s="168">
        <v>-0.462055973447952</v>
      </c>
      <c r="AB13" t="s">
        <v>15</v>
      </c>
      <c r="AC13" t="s">
        <v>48</v>
      </c>
      <c r="AD13" s="31">
        <f t="shared" si="0"/>
        <v>0</v>
      </c>
    </row>
    <row r="14" ht="15.6" spans="1:30">
      <c r="A14" s="101"/>
      <c r="B14" s="147" t="s">
        <v>15</v>
      </c>
      <c r="C14" s="147" t="s">
        <v>53</v>
      </c>
      <c r="D14" s="107">
        <v>0.337379609735086</v>
      </c>
      <c r="E14" s="107">
        <v>0.300439150349849</v>
      </c>
      <c r="F14" s="107">
        <v>0.649746655787799</v>
      </c>
      <c r="G14" s="107">
        <v>0.851685115594032</v>
      </c>
      <c r="H14" s="107">
        <v>0.916557541010313</v>
      </c>
      <c r="I14" s="107">
        <v>0.916052248707647</v>
      </c>
      <c r="J14" s="107">
        <v>0.728990644520286</v>
      </c>
      <c r="K14" s="107">
        <v>0.356058621179539</v>
      </c>
      <c r="M14" s="147" t="s">
        <v>15</v>
      </c>
      <c r="N14" s="147" t="s">
        <v>54</v>
      </c>
      <c r="O14" s="107">
        <v>1.02775108183844</v>
      </c>
      <c r="P14" s="107">
        <v>1.38863529596394</v>
      </c>
      <c r="Q14" s="107">
        <v>-0.241419386525823</v>
      </c>
      <c r="R14" s="107">
        <v>-0.981354797136831</v>
      </c>
      <c r="S14" s="107">
        <v>-0.952471020308064</v>
      </c>
      <c r="T14" s="107">
        <v>-0.968922997764248</v>
      </c>
      <c r="U14" s="107">
        <v>-0.580363382281394</v>
      </c>
      <c r="V14" s="107">
        <v>2.38652394122423</v>
      </c>
      <c r="Y14" s="166" t="s">
        <v>54</v>
      </c>
      <c r="Z14" s="167">
        <v>0.337379609735086</v>
      </c>
      <c r="AA14" s="168">
        <v>1.02775108183844</v>
      </c>
      <c r="AB14" t="s">
        <v>15</v>
      </c>
      <c r="AC14" t="s">
        <v>54</v>
      </c>
      <c r="AD14" s="31">
        <f t="shared" si="0"/>
        <v>0</v>
      </c>
    </row>
    <row r="15" ht="15.6" spans="1:30">
      <c r="A15" s="101"/>
      <c r="B15" s="147" t="s">
        <v>15</v>
      </c>
      <c r="C15" s="147" t="s">
        <v>57</v>
      </c>
      <c r="D15" s="107">
        <v>0.30319766743977</v>
      </c>
      <c r="E15" s="107">
        <v>0.407966492584787</v>
      </c>
      <c r="F15" s="107">
        <v>0.44341527028405</v>
      </c>
      <c r="G15" s="107">
        <v>0.866993364349247</v>
      </c>
      <c r="H15" s="107">
        <v>0.882313110035616</v>
      </c>
      <c r="I15" s="107">
        <v>0.633214310469791</v>
      </c>
      <c r="J15" s="107">
        <v>0.730345526140182</v>
      </c>
      <c r="K15" s="107">
        <v>0.509186478321654</v>
      </c>
      <c r="M15" s="147" t="s">
        <v>15</v>
      </c>
      <c r="N15" s="147" t="s">
        <v>58</v>
      </c>
      <c r="O15" s="107">
        <v>0.86976005481045</v>
      </c>
      <c r="P15" s="107">
        <v>1.36479128773429</v>
      </c>
      <c r="Q15" s="107">
        <v>-0.178462664549688</v>
      </c>
      <c r="R15" s="107">
        <v>-0.945664986497076</v>
      </c>
      <c r="S15" s="107">
        <v>-0.912269925996448</v>
      </c>
      <c r="T15" s="107">
        <v>-0.682003797060488</v>
      </c>
      <c r="U15" s="107">
        <v>-0.591709284250162</v>
      </c>
      <c r="V15" s="107">
        <v>2.17387994511889</v>
      </c>
      <c r="Y15" s="166" t="s">
        <v>58</v>
      </c>
      <c r="Z15" s="167">
        <v>0.30319766743977</v>
      </c>
      <c r="AA15" s="168">
        <v>0.86976005481045</v>
      </c>
      <c r="AB15" t="s">
        <v>15</v>
      </c>
      <c r="AC15" t="s">
        <v>58</v>
      </c>
      <c r="AD15" s="31">
        <f t="shared" si="0"/>
        <v>0</v>
      </c>
    </row>
    <row r="16" ht="15.6" spans="1:30">
      <c r="A16" s="101"/>
      <c r="B16" s="147" t="s">
        <v>15</v>
      </c>
      <c r="C16" s="147" t="s">
        <v>59</v>
      </c>
      <c r="D16" s="107">
        <v>1.89990134491198</v>
      </c>
      <c r="E16" s="107">
        <v>1.64929169024241</v>
      </c>
      <c r="F16" s="107">
        <v>0.947572167009837</v>
      </c>
      <c r="G16" s="107">
        <v>3.04352435288066</v>
      </c>
      <c r="H16" s="107">
        <v>0.989478222546567</v>
      </c>
      <c r="I16" s="107">
        <v>1.53809989112083</v>
      </c>
      <c r="J16" s="107">
        <v>0.865303945698052</v>
      </c>
      <c r="K16" s="107">
        <v>1.38477321082137</v>
      </c>
      <c r="M16" s="147" t="s">
        <v>15</v>
      </c>
      <c r="N16" s="147" t="s">
        <v>60</v>
      </c>
      <c r="O16" s="107">
        <v>52.6983440571456</v>
      </c>
      <c r="P16" s="107">
        <v>46.3364453146378</v>
      </c>
      <c r="Q16" s="107">
        <v>50.9632664238994</v>
      </c>
      <c r="R16" s="107">
        <v>-32.2981071442223</v>
      </c>
      <c r="S16" s="107">
        <v>-5.54082366322279</v>
      </c>
      <c r="T16" s="107">
        <v>-5.96203742958424</v>
      </c>
      <c r="U16" s="107">
        <v>8.64659391431765</v>
      </c>
      <c r="V16" s="107">
        <v>48.6841647566437</v>
      </c>
      <c r="Y16" s="166" t="s">
        <v>60</v>
      </c>
      <c r="Z16" s="167">
        <v>1.89990134491198</v>
      </c>
      <c r="AA16" s="168">
        <v>52.6983440571456</v>
      </c>
      <c r="AB16" t="s">
        <v>15</v>
      </c>
      <c r="AC16" t="s">
        <v>60</v>
      </c>
      <c r="AD16" s="31">
        <f t="shared" si="0"/>
        <v>0</v>
      </c>
    </row>
    <row r="17" ht="15.6" spans="1:30">
      <c r="A17" s="101"/>
      <c r="B17" s="147" t="s">
        <v>15</v>
      </c>
      <c r="C17" s="147" t="s">
        <v>61</v>
      </c>
      <c r="D17" s="107">
        <v>0.258821168939703</v>
      </c>
      <c r="E17" s="107">
        <v>0.288286873130077</v>
      </c>
      <c r="F17" s="107">
        <v>0.496424231733317</v>
      </c>
      <c r="G17" s="107">
        <v>0.855942964375955</v>
      </c>
      <c r="H17" s="107">
        <v>0.863005632014871</v>
      </c>
      <c r="I17" s="107">
        <v>0.675963222869577</v>
      </c>
      <c r="J17" s="107">
        <v>0.706189061591338</v>
      </c>
      <c r="K17" s="107">
        <v>0.26856503024201</v>
      </c>
      <c r="M17" s="147" t="s">
        <v>15</v>
      </c>
      <c r="N17" s="147" t="s">
        <v>62</v>
      </c>
      <c r="O17" s="107">
        <v>1.06025637530976</v>
      </c>
      <c r="P17" s="107">
        <v>1.58673043048178</v>
      </c>
      <c r="Q17" s="107">
        <v>-0.175179821148319</v>
      </c>
      <c r="R17" s="107">
        <v>-0.95772975479527</v>
      </c>
      <c r="S17" s="107">
        <v>-0.898484346845511</v>
      </c>
      <c r="T17" s="107">
        <v>-0.730992706731268</v>
      </c>
      <c r="U17" s="107">
        <v>-0.560500344249462</v>
      </c>
      <c r="V17" s="107">
        <v>2.52036501357428</v>
      </c>
      <c r="Y17" s="166" t="s">
        <v>62</v>
      </c>
      <c r="Z17" s="167">
        <v>0.258821168939703</v>
      </c>
      <c r="AA17" s="168">
        <v>1.06025637530976</v>
      </c>
      <c r="AB17" t="s">
        <v>15</v>
      </c>
      <c r="AC17" t="s">
        <v>62</v>
      </c>
      <c r="AD17" s="31">
        <f t="shared" si="0"/>
        <v>0</v>
      </c>
    </row>
    <row r="18" ht="15.6" spans="1:30">
      <c r="A18" s="101"/>
      <c r="B18" s="147" t="s">
        <v>15</v>
      </c>
      <c r="C18" s="147" t="s">
        <v>63</v>
      </c>
      <c r="D18" s="107">
        <v>0.312774333780603</v>
      </c>
      <c r="E18" s="107">
        <v>0.354871663015045</v>
      </c>
      <c r="F18" s="107">
        <v>0.533394678524283</v>
      </c>
      <c r="G18" s="107">
        <v>0.894059741935329</v>
      </c>
      <c r="H18" s="107">
        <v>1.11957828454185</v>
      </c>
      <c r="I18" s="107">
        <v>0.829394937860886</v>
      </c>
      <c r="J18" s="107">
        <v>0.667859416896669</v>
      </c>
      <c r="K18" s="107">
        <v>0.357607013679641</v>
      </c>
      <c r="M18" s="147" t="s">
        <v>15</v>
      </c>
      <c r="N18" s="147" t="s">
        <v>64</v>
      </c>
      <c r="O18" s="107">
        <v>1.60973116867074</v>
      </c>
      <c r="P18" s="107">
        <v>2.34870778173623</v>
      </c>
      <c r="Q18" s="107">
        <v>-0.0542376987973611</v>
      </c>
      <c r="R18" s="107">
        <v>-1.04148448264087</v>
      </c>
      <c r="S18" s="107">
        <v>-1.16720709086342</v>
      </c>
      <c r="T18" s="107">
        <v>-0.905244810004468</v>
      </c>
      <c r="U18" s="107">
        <v>-0.452416021959189</v>
      </c>
      <c r="V18" s="107">
        <v>3.61886273888684</v>
      </c>
      <c r="Y18" s="166" t="s">
        <v>64</v>
      </c>
      <c r="Z18" s="167">
        <v>0.312774333780603</v>
      </c>
      <c r="AA18" s="168">
        <v>1.60973116867074</v>
      </c>
      <c r="AB18" t="s">
        <v>15</v>
      </c>
      <c r="AC18" t="s">
        <v>64</v>
      </c>
      <c r="AD18" s="31">
        <f t="shared" si="0"/>
        <v>0</v>
      </c>
    </row>
    <row r="19" ht="15.6" spans="1:30">
      <c r="A19" s="101"/>
      <c r="B19" s="147" t="s">
        <v>15</v>
      </c>
      <c r="C19" s="147" t="s">
        <v>65</v>
      </c>
      <c r="D19" s="107">
        <v>1.66562863677206</v>
      </c>
      <c r="E19" s="107">
        <v>1.46903889954245</v>
      </c>
      <c r="F19" s="107">
        <v>1.83855203898502</v>
      </c>
      <c r="G19" s="107">
        <v>2.28757894083617</v>
      </c>
      <c r="H19" s="107">
        <v>1.54250679235557</v>
      </c>
      <c r="I19" s="107">
        <v>0.786206268556942</v>
      </c>
      <c r="J19" s="107">
        <v>1.21476969427574</v>
      </c>
      <c r="K19" s="107">
        <v>1.23515890287068</v>
      </c>
      <c r="M19" s="147" t="s">
        <v>15</v>
      </c>
      <c r="N19" s="147" t="s">
        <v>66</v>
      </c>
      <c r="O19" s="107">
        <v>4.69262134527209</v>
      </c>
      <c r="P19" s="107">
        <v>4.55710606350369</v>
      </c>
      <c r="Q19" s="107">
        <v>2.09534300958444</v>
      </c>
      <c r="R19" s="107">
        <v>-4.96920068684402</v>
      </c>
      <c r="S19" s="107">
        <v>-2.00750300320306</v>
      </c>
      <c r="T19" s="107">
        <v>-1.29378053820698</v>
      </c>
      <c r="U19" s="107">
        <v>-0.276335817490566</v>
      </c>
      <c r="V19" s="107">
        <v>4.95517607001921</v>
      </c>
      <c r="Y19" s="166" t="s">
        <v>66</v>
      </c>
      <c r="Z19" s="167">
        <v>1.66562863677206</v>
      </c>
      <c r="AA19" s="168">
        <v>4.69262134527209</v>
      </c>
      <c r="AB19" t="s">
        <v>15</v>
      </c>
      <c r="AC19" t="s">
        <v>66</v>
      </c>
      <c r="AD19" s="31">
        <f t="shared" si="0"/>
        <v>0</v>
      </c>
    </row>
    <row r="20" ht="15.6" spans="1:30">
      <c r="A20" s="101"/>
      <c r="B20" s="147"/>
      <c r="C20" s="147"/>
      <c r="D20" s="107"/>
      <c r="E20" s="107"/>
      <c r="F20" s="107"/>
      <c r="G20" s="107"/>
      <c r="H20" s="107"/>
      <c r="I20" s="107"/>
      <c r="J20" s="107"/>
      <c r="K20" s="107"/>
      <c r="M20" s="147"/>
      <c r="N20" s="147"/>
      <c r="O20" s="107"/>
      <c r="P20" s="107"/>
      <c r="Q20" s="107"/>
      <c r="R20" s="107"/>
      <c r="S20" s="107"/>
      <c r="T20" s="107"/>
      <c r="U20" s="107"/>
      <c r="V20" s="107"/>
      <c r="Y20" s="166"/>
      <c r="Z20" s="167"/>
      <c r="AA20" s="168"/>
      <c r="AD20" s="31"/>
    </row>
    <row r="21" ht="15.6" spans="1:30">
      <c r="B21" s="147" t="s">
        <v>16</v>
      </c>
      <c r="C21" s="147" t="s">
        <v>75</v>
      </c>
      <c r="D21" s="107">
        <v>1.22679198408903</v>
      </c>
      <c r="E21" s="107">
        <v>1.21754842016599</v>
      </c>
      <c r="F21" s="107">
        <v>1.06231998539538</v>
      </c>
      <c r="G21" s="107">
        <v>1.45536678848452</v>
      </c>
      <c r="H21" s="107">
        <v>1.4566490410116</v>
      </c>
      <c r="I21" s="107">
        <v>1.09644622819152</v>
      </c>
      <c r="J21" s="107">
        <v>1.15402511389987</v>
      </c>
      <c r="K21" s="107">
        <v>1.02726836549101</v>
      </c>
      <c r="M21" s="147" t="s">
        <v>16</v>
      </c>
      <c r="N21" s="147" t="s">
        <v>76</v>
      </c>
      <c r="O21" s="107">
        <v>0.228213031463564</v>
      </c>
      <c r="P21" s="107">
        <v>0.338931795605491</v>
      </c>
      <c r="Q21" s="107">
        <v>-0.465676421808649</v>
      </c>
      <c r="R21" s="107">
        <v>-1.7664923368685</v>
      </c>
      <c r="S21" s="107">
        <v>-1.52137508696932</v>
      </c>
      <c r="T21" s="107">
        <v>-1.17504337698429</v>
      </c>
      <c r="U21" s="107">
        <v>-0.956988637485987</v>
      </c>
      <c r="V21" s="107">
        <v>0.662155710114007</v>
      </c>
      <c r="Y21" s="166" t="s">
        <v>76</v>
      </c>
      <c r="Z21" s="167">
        <v>1.22679198408903</v>
      </c>
      <c r="AA21" s="168">
        <v>0.228213031463564</v>
      </c>
      <c r="AB21" t="s">
        <v>16</v>
      </c>
      <c r="AC21" t="s">
        <v>76</v>
      </c>
      <c r="AD21" s="31">
        <f t="shared" ref="AD21:AD28" si="1">IF(Y21=AC21,0,1)</f>
        <v>0</v>
      </c>
    </row>
    <row r="22" ht="15.6" spans="1:30">
      <c r="B22" s="147" t="s">
        <v>16</v>
      </c>
      <c r="C22" s="147" t="s">
        <v>77</v>
      </c>
      <c r="D22" s="107">
        <v>0.76226492076565</v>
      </c>
      <c r="E22" s="107">
        <v>0.782803311553515</v>
      </c>
      <c r="F22" s="107">
        <v>0.746650544026967</v>
      </c>
      <c r="G22" s="107">
        <v>1.12104417758278</v>
      </c>
      <c r="H22" s="107">
        <v>1.08371432937773</v>
      </c>
      <c r="I22" s="107">
        <v>1.102428671332</v>
      </c>
      <c r="J22" s="107">
        <v>0.918382284859842</v>
      </c>
      <c r="K22" s="107">
        <v>0.992033053931839</v>
      </c>
      <c r="M22" s="147" t="s">
        <v>16</v>
      </c>
      <c r="N22" s="147" t="s">
        <v>78</v>
      </c>
      <c r="O22" s="107">
        <v>2.62633916586624</v>
      </c>
      <c r="P22" s="107">
        <v>3.11383903483126</v>
      </c>
      <c r="Q22" s="107">
        <v>0.426858450804962</v>
      </c>
      <c r="R22" s="107">
        <v>-1.48515875518657</v>
      </c>
      <c r="S22" s="107">
        <v>-1.1788307498103</v>
      </c>
      <c r="T22" s="107">
        <v>-1.23232736101789</v>
      </c>
      <c r="U22" s="107">
        <v>-0.495825926405645</v>
      </c>
      <c r="V22" s="107">
        <v>4.76390433413242</v>
      </c>
      <c r="Y22" s="166" t="s">
        <v>78</v>
      </c>
      <c r="Z22" s="167">
        <v>0.76226492076565</v>
      </c>
      <c r="AA22" s="168">
        <v>2.62633916586624</v>
      </c>
      <c r="AB22" t="s">
        <v>16</v>
      </c>
      <c r="AC22" t="s">
        <v>78</v>
      </c>
      <c r="AD22" s="31">
        <f t="shared" si="1"/>
        <v>0</v>
      </c>
    </row>
    <row r="23" ht="15.6" spans="1:30">
      <c r="A23" s="101"/>
      <c r="B23" s="147" t="s">
        <v>16</v>
      </c>
      <c r="C23" s="147" t="s">
        <v>79</v>
      </c>
      <c r="D23" s="107">
        <v>0.650229355110504</v>
      </c>
      <c r="E23" s="107">
        <v>0.652103281172081</v>
      </c>
      <c r="F23" s="107">
        <v>0.836648200828729</v>
      </c>
      <c r="G23" s="107">
        <v>1.23299798547828</v>
      </c>
      <c r="H23" s="107">
        <v>1.34436762295961</v>
      </c>
      <c r="I23" s="107">
        <v>1.2471350167773</v>
      </c>
      <c r="J23" s="107">
        <v>1.00963891354886</v>
      </c>
      <c r="K23" s="107">
        <v>0.357716221197293</v>
      </c>
      <c r="M23" s="147" t="s">
        <v>16</v>
      </c>
      <c r="N23" s="147" t="s">
        <v>80</v>
      </c>
      <c r="O23" s="107">
        <v>28.9938252059426</v>
      </c>
      <c r="P23" s="107">
        <v>34.6327901558457</v>
      </c>
      <c r="Q23" s="107">
        <v>8.76443173542817</v>
      </c>
      <c r="R23" s="107">
        <v>-5.96635055261977</v>
      </c>
      <c r="S23" s="107">
        <v>-2.52946522169143</v>
      </c>
      <c r="T23" s="107">
        <v>-2.71630833348713</v>
      </c>
      <c r="U23" s="107">
        <v>2.94645270628957</v>
      </c>
      <c r="V23" s="107">
        <v>37.5128945483116</v>
      </c>
      <c r="Y23" s="166" t="s">
        <v>80</v>
      </c>
      <c r="Z23" s="167">
        <v>0.650229355110504</v>
      </c>
      <c r="AA23" s="168">
        <v>28.9938252059426</v>
      </c>
      <c r="AB23" t="s">
        <v>16</v>
      </c>
      <c r="AC23" t="s">
        <v>80</v>
      </c>
      <c r="AD23" s="31">
        <f t="shared" si="1"/>
        <v>0</v>
      </c>
    </row>
    <row r="24" ht="15.6" spans="1:30">
      <c r="A24" s="101"/>
      <c r="B24" s="147" t="s">
        <v>16</v>
      </c>
      <c r="C24" s="147" t="s">
        <v>81</v>
      </c>
      <c r="D24" s="107">
        <v>0.736004087738615</v>
      </c>
      <c r="E24" s="107">
        <v>0.712184353351356</v>
      </c>
      <c r="F24" s="107">
        <v>1.03825291992821</v>
      </c>
      <c r="G24" s="107">
        <v>1.05225285346824</v>
      </c>
      <c r="H24" s="107">
        <v>1.14103405104571</v>
      </c>
      <c r="I24" s="107">
        <v>1.17480523478155</v>
      </c>
      <c r="J24" s="107">
        <v>1.15736897246988</v>
      </c>
      <c r="K24" s="107">
        <v>0.606927841848736</v>
      </c>
      <c r="M24" s="147" t="s">
        <v>16</v>
      </c>
      <c r="N24" s="147" t="s">
        <v>82</v>
      </c>
      <c r="O24" s="107">
        <v>6.25171485525664</v>
      </c>
      <c r="P24" s="107">
        <v>7.46807777827435</v>
      </c>
      <c r="Q24" s="107">
        <v>1.29646906658528</v>
      </c>
      <c r="R24" s="107">
        <v>-2.16835292460894</v>
      </c>
      <c r="S24" s="107">
        <v>-1.26372720024574</v>
      </c>
      <c r="T24" s="107">
        <v>-1.49728900420705</v>
      </c>
      <c r="U24" s="107">
        <v>-0.369246719466414</v>
      </c>
      <c r="V24" s="107">
        <v>9.37249882626441</v>
      </c>
      <c r="Y24" s="166" t="s">
        <v>82</v>
      </c>
      <c r="Z24" s="167">
        <v>0.736004087738615</v>
      </c>
      <c r="AA24" s="168">
        <v>6.25171485525664</v>
      </c>
      <c r="AB24" t="s">
        <v>16</v>
      </c>
      <c r="AC24" t="s">
        <v>82</v>
      </c>
      <c r="AD24" s="31">
        <f t="shared" si="1"/>
        <v>0</v>
      </c>
    </row>
    <row r="25" ht="15.6" spans="1:30">
      <c r="A25" s="101"/>
      <c r="B25" s="147" t="s">
        <v>16</v>
      </c>
      <c r="C25" s="147" t="s">
        <v>83</v>
      </c>
      <c r="D25" s="107">
        <v>3.02775437441953</v>
      </c>
      <c r="E25" s="107">
        <v>3.18584428182805</v>
      </c>
      <c r="F25" s="107">
        <v>1.29547520611548</v>
      </c>
      <c r="G25" s="107">
        <v>1.64371071132692</v>
      </c>
      <c r="H25" s="107">
        <v>0.934639319947921</v>
      </c>
      <c r="I25" s="107">
        <v>2.44287049846337</v>
      </c>
      <c r="J25" s="107">
        <v>1.05493433740377</v>
      </c>
      <c r="K25" s="107">
        <v>3.03333760511837</v>
      </c>
      <c r="M25" s="147" t="s">
        <v>16</v>
      </c>
      <c r="N25" s="147" t="s">
        <v>84</v>
      </c>
      <c r="O25" s="107">
        <v>15.9329704098913</v>
      </c>
      <c r="P25" s="107">
        <v>16.5616323853206</v>
      </c>
      <c r="Q25" s="107">
        <v>7.07687289334518</v>
      </c>
      <c r="R25" s="107">
        <v>-6.10841732041112</v>
      </c>
      <c r="S25" s="107">
        <v>-1.89216375330369</v>
      </c>
      <c r="T25" s="107">
        <v>-3.66681042831949</v>
      </c>
      <c r="U25" s="107">
        <v>2.1333577290719</v>
      </c>
      <c r="V25" s="107">
        <v>16.6656277858984</v>
      </c>
      <c r="Y25" s="166" t="s">
        <v>84</v>
      </c>
      <c r="Z25" s="167">
        <v>3.02775437441953</v>
      </c>
      <c r="AA25" s="168">
        <v>15.9329704098913</v>
      </c>
      <c r="AB25" t="s">
        <v>16</v>
      </c>
      <c r="AC25" t="s">
        <v>84</v>
      </c>
      <c r="AD25" s="31">
        <f t="shared" si="1"/>
        <v>0</v>
      </c>
    </row>
    <row r="26" ht="15.6" spans="1:30">
      <c r="A26" s="101"/>
      <c r="B26" s="147" t="s">
        <v>16</v>
      </c>
      <c r="C26" s="147" t="s">
        <v>85</v>
      </c>
      <c r="D26" s="107">
        <v>0.575030246811611</v>
      </c>
      <c r="E26" s="107">
        <v>0.496005918581941</v>
      </c>
      <c r="F26" s="107">
        <v>0.688945905122132</v>
      </c>
      <c r="G26" s="107">
        <v>1.37099941131234</v>
      </c>
      <c r="H26" s="107">
        <v>1.19223235970627</v>
      </c>
      <c r="I26" s="107">
        <v>1.41554640468445</v>
      </c>
      <c r="J26" s="107">
        <v>0.693280930654197</v>
      </c>
      <c r="K26" s="107">
        <v>0.579378869344302</v>
      </c>
      <c r="M26" s="147" t="s">
        <v>16</v>
      </c>
      <c r="N26" s="147" t="s">
        <v>86</v>
      </c>
      <c r="O26" s="107">
        <v>17.9234158715535</v>
      </c>
      <c r="P26" s="107">
        <v>18.739476349319</v>
      </c>
      <c r="Q26" s="107">
        <v>7.51170316964546</v>
      </c>
      <c r="R26" s="107">
        <v>-4.01119257176771</v>
      </c>
      <c r="S26" s="107">
        <v>-1.95695137450325</v>
      </c>
      <c r="T26" s="107">
        <v>-2.280800288269</v>
      </c>
      <c r="U26" s="107">
        <v>0.825843797087698</v>
      </c>
      <c r="V26" s="107">
        <v>31.8380361582918</v>
      </c>
      <c r="Y26" s="166" t="s">
        <v>86</v>
      </c>
      <c r="Z26" s="167">
        <v>0.575030246811611</v>
      </c>
      <c r="AA26" s="168">
        <v>17.9234158715535</v>
      </c>
      <c r="AB26" t="s">
        <v>16</v>
      </c>
      <c r="AC26" t="s">
        <v>86</v>
      </c>
      <c r="AD26" s="31">
        <f t="shared" si="1"/>
        <v>0</v>
      </c>
    </row>
    <row r="27" ht="15.6" spans="1:30">
      <c r="A27" s="101"/>
      <c r="B27" s="147" t="s">
        <v>16</v>
      </c>
      <c r="C27" s="147" t="s">
        <v>87</v>
      </c>
      <c r="D27" s="107">
        <v>1.59308540956944</v>
      </c>
      <c r="E27" s="107">
        <v>1.30032008997484</v>
      </c>
      <c r="F27" s="107">
        <v>2.44323148175443</v>
      </c>
      <c r="G27" s="107">
        <v>1.00287291310914</v>
      </c>
      <c r="H27" s="107">
        <v>1.01332368462154</v>
      </c>
      <c r="I27" s="107">
        <v>1.7778182829357</v>
      </c>
      <c r="J27" s="107">
        <v>1.19982192412826</v>
      </c>
      <c r="K27" s="107">
        <v>1.01484153359969</v>
      </c>
      <c r="M27" s="147" t="s">
        <v>16</v>
      </c>
      <c r="N27" s="147" t="s">
        <v>88</v>
      </c>
      <c r="O27" s="107">
        <v>10.8945448159756</v>
      </c>
      <c r="P27" s="107">
        <v>9.88078685482103</v>
      </c>
      <c r="Q27" s="107">
        <v>8.0101202314679</v>
      </c>
      <c r="R27" s="107">
        <v>-8.15986697804567</v>
      </c>
      <c r="S27" s="107">
        <v>-2.76068855927317</v>
      </c>
      <c r="T27" s="107">
        <v>-2.94221946116822</v>
      </c>
      <c r="U27" s="107">
        <v>0.641325565237466</v>
      </c>
      <c r="V27" s="107">
        <v>10.3529485236784</v>
      </c>
      <c r="Y27" s="166" t="s">
        <v>88</v>
      </c>
      <c r="Z27" s="167">
        <v>1.59308540956944</v>
      </c>
      <c r="AA27" s="168">
        <v>10.8945448159756</v>
      </c>
      <c r="AB27" t="s">
        <v>16</v>
      </c>
      <c r="AC27" t="s">
        <v>88</v>
      </c>
      <c r="AD27" s="31">
        <f t="shared" si="1"/>
        <v>0</v>
      </c>
    </row>
    <row r="28" ht="15.6" spans="1:30">
      <c r="A28" s="101"/>
      <c r="B28" s="147" t="s">
        <v>16</v>
      </c>
      <c r="C28" s="147" t="s">
        <v>89</v>
      </c>
      <c r="D28" s="107">
        <v>0.914097786785599</v>
      </c>
      <c r="E28" s="107">
        <v>0.875735849681408</v>
      </c>
      <c r="F28" s="107">
        <v>0.992008051101883</v>
      </c>
      <c r="G28" s="107">
        <v>0.985262441006294</v>
      </c>
      <c r="H28" s="107">
        <v>1.15130076557903</v>
      </c>
      <c r="I28" s="107">
        <v>1.25470950333316</v>
      </c>
      <c r="J28" s="107">
        <v>0.941940963096634</v>
      </c>
      <c r="K28" s="107">
        <v>0.809940586288838</v>
      </c>
      <c r="M28" s="147" t="s">
        <v>16</v>
      </c>
      <c r="N28" s="147" t="s">
        <v>90</v>
      </c>
      <c r="O28" s="107">
        <v>2.21639883749838</v>
      </c>
      <c r="P28" s="107">
        <v>2.51657534989565</v>
      </c>
      <c r="Q28" s="107">
        <v>0.249558106710041</v>
      </c>
      <c r="R28" s="107">
        <v>-1.50620856106805</v>
      </c>
      <c r="S28" s="107">
        <v>-1.27036977102704</v>
      </c>
      <c r="T28" s="107">
        <v>-1.39462891605983</v>
      </c>
      <c r="U28" s="107">
        <v>-0.525329668124831</v>
      </c>
      <c r="V28" s="107">
        <v>3.32091325989384</v>
      </c>
      <c r="Y28" s="166" t="s">
        <v>90</v>
      </c>
      <c r="Z28" s="167">
        <v>0.914097786785599</v>
      </c>
      <c r="AA28" s="168">
        <v>2.21639883749838</v>
      </c>
      <c r="AB28" t="s">
        <v>16</v>
      </c>
      <c r="AC28" t="s">
        <v>90</v>
      </c>
      <c r="AD28" s="31">
        <f t="shared" si="1"/>
        <v>0</v>
      </c>
    </row>
    <row r="29" ht="15.6" spans="1:30">
      <c r="A29" s="101"/>
      <c r="B29" s="147"/>
      <c r="C29" s="147"/>
      <c r="D29" s="107"/>
      <c r="E29" s="107"/>
      <c r="F29" s="107"/>
      <c r="G29" s="107"/>
      <c r="H29" s="107"/>
      <c r="I29" s="107"/>
      <c r="J29" s="107"/>
      <c r="K29" s="107"/>
      <c r="M29" s="147"/>
      <c r="N29" s="147"/>
      <c r="O29" s="107"/>
      <c r="P29" s="107"/>
      <c r="Q29" s="107"/>
      <c r="R29" s="107"/>
      <c r="S29" s="107"/>
      <c r="T29" s="107"/>
      <c r="U29" s="107"/>
      <c r="V29" s="107"/>
      <c r="Y29" s="166"/>
      <c r="Z29" s="167"/>
      <c r="AA29" s="168"/>
      <c r="AD29" s="31"/>
    </row>
    <row r="30" ht="15.6" spans="1:30">
      <c r="B30" s="147" t="s">
        <v>17</v>
      </c>
      <c r="C30" s="147" t="s">
        <v>113</v>
      </c>
      <c r="D30" s="107">
        <v>0.744552079498027</v>
      </c>
      <c r="E30" s="107">
        <v>0.611229945806402</v>
      </c>
      <c r="F30" s="107">
        <v>0.822840600219738</v>
      </c>
      <c r="G30" s="107">
        <v>1.22158373910976</v>
      </c>
      <c r="H30" s="107">
        <v>1.05699936508101</v>
      </c>
      <c r="I30" s="107">
        <v>0.896394191559931</v>
      </c>
      <c r="J30" s="107">
        <v>0.911004156724427</v>
      </c>
      <c r="K30" s="107">
        <v>0.732843214741301</v>
      </c>
      <c r="M30" s="147" t="s">
        <v>17</v>
      </c>
      <c r="N30" s="147" t="s">
        <v>114</v>
      </c>
      <c r="O30" s="107">
        <v>0.0956144684940208</v>
      </c>
      <c r="P30" s="107">
        <v>0.190206693946595</v>
      </c>
      <c r="Q30" s="107">
        <v>-0.318728959582802</v>
      </c>
      <c r="R30" s="107">
        <v>-1.33521180194855</v>
      </c>
      <c r="S30" s="107">
        <v>-1.08387649965448</v>
      </c>
      <c r="T30" s="107">
        <v>-0.934532655234472</v>
      </c>
      <c r="U30" s="107">
        <v>-0.812108520308666</v>
      </c>
      <c r="V30" s="107">
        <v>0.524440911565881</v>
      </c>
      <c r="Y30" s="166" t="s">
        <v>114</v>
      </c>
      <c r="Z30" s="167">
        <v>0.744552079498027</v>
      </c>
      <c r="AA30" s="168">
        <v>0.0956144684940208</v>
      </c>
      <c r="AB30" t="s">
        <v>17</v>
      </c>
      <c r="AC30" t="s">
        <v>114</v>
      </c>
      <c r="AD30" s="31">
        <f>IF(Y30=AC30,0,1)</f>
        <v>0</v>
      </c>
    </row>
    <row r="31" ht="15.6" spans="1:30">
      <c r="B31" s="147"/>
      <c r="C31" s="147"/>
      <c r="D31" s="107"/>
      <c r="E31" s="107"/>
      <c r="F31" s="107"/>
      <c r="G31" s="107"/>
      <c r="H31" s="107"/>
      <c r="I31" s="107"/>
      <c r="J31" s="107"/>
      <c r="K31" s="107"/>
      <c r="M31" s="147"/>
      <c r="N31" s="147"/>
      <c r="O31" s="107"/>
      <c r="P31" s="107"/>
      <c r="Q31" s="107"/>
      <c r="R31" s="107"/>
      <c r="S31" s="107"/>
      <c r="T31" s="107"/>
      <c r="U31" s="107"/>
      <c r="V31" s="107"/>
      <c r="Y31" s="166"/>
      <c r="Z31" s="167"/>
      <c r="AA31" s="168"/>
      <c r="AD31" s="31"/>
    </row>
    <row r="32" ht="15.6" spans="1:30">
      <c r="A32" s="101"/>
      <c r="B32" s="147" t="s">
        <v>18</v>
      </c>
      <c r="C32" s="147" t="s">
        <v>101</v>
      </c>
      <c r="D32" s="107">
        <v>0.703074978186477</v>
      </c>
      <c r="E32" s="107">
        <v>0.774560114995558</v>
      </c>
      <c r="F32" s="107">
        <v>0.882662999414793</v>
      </c>
      <c r="G32" s="107">
        <v>1.28871957690263</v>
      </c>
      <c r="H32" s="107">
        <v>1.04822646546676</v>
      </c>
      <c r="I32" s="107">
        <v>1.17198693952899</v>
      </c>
      <c r="J32" s="107">
        <v>0.984158933479407</v>
      </c>
      <c r="K32" s="107">
        <v>0.602095479333266</v>
      </c>
      <c r="M32" s="147" t="s">
        <v>18</v>
      </c>
      <c r="N32" s="147" t="s">
        <v>102</v>
      </c>
      <c r="O32" s="107">
        <v>4.24405808770532</v>
      </c>
      <c r="P32" s="107">
        <v>5.61172947378522</v>
      </c>
      <c r="Q32" s="107">
        <v>0.514414686760543</v>
      </c>
      <c r="R32" s="107">
        <v>-1.9097146090339</v>
      </c>
      <c r="S32" s="107">
        <v>-1.24253095498533</v>
      </c>
      <c r="T32" s="107">
        <v>-1.39119099512731</v>
      </c>
      <c r="U32" s="107">
        <v>-0.401953498881131</v>
      </c>
      <c r="V32" s="107">
        <v>6.57425593774178</v>
      </c>
      <c r="Y32" s="166" t="s">
        <v>102</v>
      </c>
      <c r="Z32" s="167">
        <v>0.703074978186477</v>
      </c>
      <c r="AA32" s="168">
        <v>4.24405808770532</v>
      </c>
      <c r="AB32" t="s">
        <v>18</v>
      </c>
      <c r="AC32" t="s">
        <v>102</v>
      </c>
      <c r="AD32" s="31">
        <f>IF(Y32=AC32,0,1)</f>
        <v>0</v>
      </c>
    </row>
    <row r="33" ht="15.6" spans="1:30">
      <c r="A33" s="101"/>
      <c r="B33" s="147" t="s">
        <v>18</v>
      </c>
      <c r="C33" s="147" t="s">
        <v>103</v>
      </c>
      <c r="D33" s="107">
        <v>1.00639799333609</v>
      </c>
      <c r="E33" s="107">
        <v>0.884074657087084</v>
      </c>
      <c r="F33" s="107">
        <v>1.33946942773572</v>
      </c>
      <c r="G33" s="107">
        <v>1.10917399481008</v>
      </c>
      <c r="H33" s="107">
        <v>1.00375696397823</v>
      </c>
      <c r="I33" s="107">
        <v>1.06187043113948</v>
      </c>
      <c r="J33" s="107">
        <v>0.66267530287281</v>
      </c>
      <c r="K33" s="107">
        <v>0.806910537693861</v>
      </c>
      <c r="M33" s="147" t="s">
        <v>18</v>
      </c>
      <c r="N33" s="147" t="s">
        <v>104</v>
      </c>
      <c r="O33" s="107">
        <v>1.75211306397925</v>
      </c>
      <c r="P33" s="107">
        <v>1.91896009979599</v>
      </c>
      <c r="Q33" s="107">
        <v>-0.0254905972789736</v>
      </c>
      <c r="R33" s="107">
        <v>-1.70184347590353</v>
      </c>
      <c r="S33" s="107">
        <v>-1.15756041980144</v>
      </c>
      <c r="T33" s="107">
        <v>-1.19307038557797</v>
      </c>
      <c r="U33" s="107">
        <v>-0.303161360678018</v>
      </c>
      <c r="V33" s="107">
        <v>2.49912668499071</v>
      </c>
      <c r="Y33" s="166" t="s">
        <v>104</v>
      </c>
      <c r="Z33" s="167">
        <v>1.00639799333609</v>
      </c>
      <c r="AA33" s="168">
        <v>1.75211306397925</v>
      </c>
      <c r="AB33" t="s">
        <v>18</v>
      </c>
      <c r="AC33" t="s">
        <v>104</v>
      </c>
      <c r="AD33" s="31">
        <f>IF(Y33=AC33,0,1)</f>
        <v>0</v>
      </c>
    </row>
    <row r="34" ht="15.6" spans="1:30">
      <c r="A34" s="101"/>
      <c r="B34" s="147" t="s">
        <v>18</v>
      </c>
      <c r="C34" s="147" t="s">
        <v>105</v>
      </c>
      <c r="D34" s="107">
        <v>0.983702640301605</v>
      </c>
      <c r="E34" s="107">
        <v>1.02719082729544</v>
      </c>
      <c r="F34" s="107">
        <v>1.11950216745828</v>
      </c>
      <c r="G34" s="107">
        <v>0.891160558083661</v>
      </c>
      <c r="H34" s="107">
        <v>1.73710212938735</v>
      </c>
      <c r="I34" s="107">
        <v>0.968563253108169</v>
      </c>
      <c r="J34" s="107">
        <v>1.0566720958622</v>
      </c>
      <c r="K34" s="107">
        <v>0.742762855392462</v>
      </c>
      <c r="M34" s="147" t="s">
        <v>18</v>
      </c>
      <c r="N34" s="147" t="s">
        <v>106</v>
      </c>
      <c r="O34" s="107">
        <v>34.3967659525422</v>
      </c>
      <c r="P34" s="107">
        <v>41.0873440092562</v>
      </c>
      <c r="Q34" s="107">
        <v>10.3387581531269</v>
      </c>
      <c r="R34" s="107">
        <v>-5.9735428350211</v>
      </c>
      <c r="S34" s="107">
        <v>-3.27972168644075</v>
      </c>
      <c r="T34" s="107">
        <v>-3.16372990000991</v>
      </c>
      <c r="U34" s="107">
        <v>3.89540566675314</v>
      </c>
      <c r="V34" s="107">
        <v>41.0071037153155</v>
      </c>
      <c r="Y34" s="166" t="s">
        <v>106</v>
      </c>
      <c r="Z34" s="167">
        <v>0.983702640301605</v>
      </c>
      <c r="AA34" s="168">
        <v>34.3967659525422</v>
      </c>
      <c r="AB34" t="s">
        <v>18</v>
      </c>
      <c r="AC34" t="s">
        <v>106</v>
      </c>
      <c r="AD34" s="31">
        <f>IF(Y34=AC34,0,1)</f>
        <v>0</v>
      </c>
    </row>
    <row r="35" ht="15.6" spans="1:30">
      <c r="B35" s="147" t="s">
        <v>18</v>
      </c>
      <c r="C35" s="147" t="s">
        <v>125</v>
      </c>
      <c r="D35" s="107">
        <v>1.25201978603311</v>
      </c>
      <c r="E35" s="107">
        <v>1.33833949173589</v>
      </c>
      <c r="F35" s="107">
        <v>0.886657961616866</v>
      </c>
      <c r="G35" s="107">
        <v>0.868599413370808</v>
      </c>
      <c r="H35" s="107">
        <v>0.432420703885044</v>
      </c>
      <c r="I35" s="107">
        <v>0.662940055376804</v>
      </c>
      <c r="J35" s="107">
        <v>0.845592735446056</v>
      </c>
      <c r="K35" s="107">
        <v>1.31494427886427</v>
      </c>
      <c r="M35" s="147" t="s">
        <v>18</v>
      </c>
      <c r="N35" s="147" t="s">
        <v>126</v>
      </c>
      <c r="O35" s="107">
        <v>1.98366480455769</v>
      </c>
      <c r="P35" s="107">
        <v>2.30372051554795</v>
      </c>
      <c r="Q35" s="107">
        <v>0.287417718302782</v>
      </c>
      <c r="R35" s="107">
        <v>-1.33610118253212</v>
      </c>
      <c r="S35" s="107">
        <v>-0.555973272635674</v>
      </c>
      <c r="T35" s="107">
        <v>-0.838489079942553</v>
      </c>
      <c r="U35" s="107">
        <v>-0.411157690422554</v>
      </c>
      <c r="V35" s="107">
        <v>2.8178473254755</v>
      </c>
      <c r="Y35" s="166" t="s">
        <v>126</v>
      </c>
      <c r="Z35" s="167">
        <v>1.25201978603311</v>
      </c>
      <c r="AA35" s="168">
        <v>1.98366480455769</v>
      </c>
      <c r="AB35" t="s">
        <v>18</v>
      </c>
      <c r="AC35" t="s">
        <v>126</v>
      </c>
      <c r="AD35" s="31">
        <f>IF(Y35=AC35,0,1)</f>
        <v>0</v>
      </c>
    </row>
    <row r="36" ht="15.6" spans="1:30">
      <c r="B36" s="147"/>
      <c r="C36" s="147"/>
      <c r="D36" s="107"/>
      <c r="E36" s="107"/>
      <c r="F36" s="107"/>
      <c r="G36" s="107"/>
      <c r="H36" s="107"/>
      <c r="I36" s="107"/>
      <c r="J36" s="107"/>
      <c r="K36" s="107"/>
      <c r="M36" s="147"/>
      <c r="N36" s="147"/>
      <c r="O36" s="107"/>
      <c r="P36" s="107"/>
      <c r="Q36" s="107"/>
      <c r="R36" s="107"/>
      <c r="S36" s="107"/>
      <c r="T36" s="107"/>
      <c r="U36" s="107"/>
      <c r="V36" s="107"/>
      <c r="Y36" s="166"/>
      <c r="Z36" s="167"/>
      <c r="AA36" s="168"/>
      <c r="AD36" s="31"/>
    </row>
    <row r="37" ht="15.6" spans="1:30">
      <c r="A37" s="101"/>
      <c r="B37" s="147" t="s">
        <v>19</v>
      </c>
      <c r="C37" s="147" t="s">
        <v>99</v>
      </c>
      <c r="D37" s="107">
        <v>1.51523446814084</v>
      </c>
      <c r="E37" s="107">
        <v>1.41505483140843</v>
      </c>
      <c r="F37" s="107">
        <v>1.79151968664095</v>
      </c>
      <c r="G37" s="107">
        <v>1.17787219572677</v>
      </c>
      <c r="H37" s="107">
        <v>1.58918455874289</v>
      </c>
      <c r="I37" s="107">
        <v>1.68602128944389</v>
      </c>
      <c r="J37" s="107">
        <v>1.73878669996008</v>
      </c>
      <c r="K37" s="107">
        <v>1.08875545642961</v>
      </c>
      <c r="M37" s="147" t="s">
        <v>19</v>
      </c>
      <c r="N37" s="147" t="s">
        <v>100</v>
      </c>
      <c r="O37" s="107">
        <v>0.210396263865335</v>
      </c>
      <c r="P37" s="107">
        <v>0.371229595600275</v>
      </c>
      <c r="Q37" s="107">
        <v>-1.00934693417862</v>
      </c>
      <c r="R37" s="107">
        <v>-1.78417436569866</v>
      </c>
      <c r="S37" s="107">
        <v>-1.69620715514487</v>
      </c>
      <c r="T37" s="107">
        <v>-1.81172712214325</v>
      </c>
      <c r="U37" s="107">
        <v>-1.48627803659686</v>
      </c>
      <c r="V37" s="107">
        <v>0.647956913413162</v>
      </c>
      <c r="Y37" s="166" t="s">
        <v>100</v>
      </c>
      <c r="Z37" s="167">
        <v>1.51523446814084</v>
      </c>
      <c r="AA37" s="168">
        <v>0.210396263865335</v>
      </c>
      <c r="AB37" t="s">
        <v>19</v>
      </c>
      <c r="AC37" t="s">
        <v>100</v>
      </c>
      <c r="AD37" s="31">
        <f>IF(Y37=AC37,0,1)</f>
        <v>0</v>
      </c>
    </row>
    <row r="38" ht="15.6" spans="1:30">
      <c r="A38" s="101"/>
      <c r="B38" s="147" t="s">
        <v>19</v>
      </c>
      <c r="C38" s="147" t="s">
        <v>109</v>
      </c>
      <c r="D38" s="107">
        <v>0.583762748147057</v>
      </c>
      <c r="E38" s="107">
        <v>0.588596212943962</v>
      </c>
      <c r="F38" s="107">
        <v>0.782719803988158</v>
      </c>
      <c r="G38" s="107">
        <v>1.02830596279879</v>
      </c>
      <c r="H38" s="107">
        <v>0.887690066270173</v>
      </c>
      <c r="I38" s="107">
        <v>0.917395416536229</v>
      </c>
      <c r="J38" s="107">
        <v>1.03856638485888</v>
      </c>
      <c r="K38" s="107">
        <v>0.61120585789817</v>
      </c>
      <c r="M38" s="147" t="s">
        <v>19</v>
      </c>
      <c r="N38" s="147" t="s">
        <v>110</v>
      </c>
      <c r="O38" s="107">
        <v>1.04178877803719</v>
      </c>
      <c r="P38" s="107">
        <v>1.38319217028286</v>
      </c>
      <c r="Q38" s="107">
        <v>-0.276709477076978</v>
      </c>
      <c r="R38" s="107">
        <v>-1.19134830157578</v>
      </c>
      <c r="S38" s="107">
        <v>-0.938862699672325</v>
      </c>
      <c r="T38" s="107">
        <v>-0.985708736819868</v>
      </c>
      <c r="U38" s="107">
        <v>-0.846557737974256</v>
      </c>
      <c r="V38" s="107">
        <v>2.10729103446082</v>
      </c>
      <c r="Y38" s="166" t="s">
        <v>110</v>
      </c>
      <c r="Z38" s="167">
        <v>0.583762748147057</v>
      </c>
      <c r="AA38" s="168">
        <v>1.04178877803719</v>
      </c>
      <c r="AB38" t="s">
        <v>19</v>
      </c>
      <c r="AC38" t="s">
        <v>110</v>
      </c>
      <c r="AD38" s="31">
        <f>IF(Y38=AC38,0,1)</f>
        <v>0</v>
      </c>
    </row>
    <row r="39" ht="15.6" spans="1:30">
      <c r="A39" s="101"/>
      <c r="B39" s="147"/>
      <c r="C39" s="147"/>
      <c r="D39" s="107"/>
      <c r="E39" s="107"/>
      <c r="F39" s="107"/>
      <c r="G39" s="107"/>
      <c r="H39" s="107"/>
      <c r="I39" s="107"/>
      <c r="J39" s="107"/>
      <c r="K39" s="107"/>
      <c r="M39" s="147"/>
      <c r="N39" s="147"/>
      <c r="O39" s="107"/>
      <c r="P39" s="107"/>
      <c r="Q39" s="107"/>
      <c r="R39" s="107"/>
      <c r="S39" s="107"/>
      <c r="T39" s="107"/>
      <c r="U39" s="107"/>
      <c r="V39" s="107"/>
      <c r="Y39" s="166"/>
      <c r="Z39" s="167"/>
      <c r="AA39" s="168"/>
      <c r="AD39" s="31"/>
    </row>
    <row r="40" ht="15.6" spans="1:30">
      <c r="A40" s="101"/>
      <c r="B40" s="147" t="s">
        <v>21</v>
      </c>
      <c r="C40" s="147" t="s">
        <v>95</v>
      </c>
      <c r="D40" s="107">
        <v>0.387933660288236</v>
      </c>
      <c r="E40" s="107">
        <v>0.385720582529724</v>
      </c>
      <c r="F40" s="107">
        <v>0.510672830670677</v>
      </c>
      <c r="G40" s="107">
        <v>0.775502092355131</v>
      </c>
      <c r="H40" s="107">
        <v>0.7291026327363</v>
      </c>
      <c r="I40" s="107">
        <v>0.64033767319912</v>
      </c>
      <c r="J40" s="107">
        <v>0.574200448981786</v>
      </c>
      <c r="K40" s="107">
        <v>0.454903973133502</v>
      </c>
      <c r="M40" s="147" t="s">
        <v>21</v>
      </c>
      <c r="N40" s="147" t="s">
        <v>96</v>
      </c>
      <c r="O40" s="107">
        <v>-0.147953985634076</v>
      </c>
      <c r="P40" s="107">
        <v>-0.089320920551644</v>
      </c>
      <c r="Q40" s="107">
        <v>-0.453271027321115</v>
      </c>
      <c r="R40" s="107">
        <v>-0.816193585766095</v>
      </c>
      <c r="S40" s="107">
        <v>-0.755850417584487</v>
      </c>
      <c r="T40" s="107">
        <v>-0.671778347183937</v>
      </c>
      <c r="U40" s="107">
        <v>-0.562530358814414</v>
      </c>
      <c r="V40" s="107">
        <v>0.0148860267311102</v>
      </c>
      <c r="Y40" s="166" t="s">
        <v>96</v>
      </c>
      <c r="Z40" s="167">
        <v>0.387933660288236</v>
      </c>
      <c r="AA40" s="168">
        <v>-0.147953985634076</v>
      </c>
      <c r="AB40" t="s">
        <v>21</v>
      </c>
      <c r="AC40" t="s">
        <v>96</v>
      </c>
      <c r="AD40" s="31">
        <f>IF(Y40=AC40,0,1)</f>
        <v>0</v>
      </c>
    </row>
    <row r="41" ht="15.6" spans="1:30">
      <c r="A41" s="101"/>
      <c r="B41" s="147"/>
      <c r="C41" s="147"/>
      <c r="D41" s="107"/>
      <c r="E41" s="107"/>
      <c r="F41" s="107"/>
      <c r="G41" s="107"/>
      <c r="H41" s="107"/>
      <c r="I41" s="107"/>
      <c r="J41" s="107"/>
      <c r="K41" s="107"/>
      <c r="M41" s="147"/>
      <c r="N41" s="147"/>
      <c r="O41" s="107"/>
      <c r="P41" s="107"/>
      <c r="Q41" s="107"/>
      <c r="R41" s="107"/>
      <c r="S41" s="107"/>
      <c r="T41" s="107"/>
      <c r="U41" s="107"/>
      <c r="V41" s="107"/>
      <c r="Y41" s="166"/>
      <c r="Z41" s="167"/>
      <c r="AA41" s="168"/>
      <c r="AD41" s="31"/>
    </row>
    <row r="42" ht="15.6" spans="1:30">
      <c r="A42" s="101"/>
      <c r="B42" s="147" t="s">
        <v>23</v>
      </c>
      <c r="C42" s="147" t="s">
        <v>93</v>
      </c>
      <c r="D42" s="107">
        <v>1.18681539587736</v>
      </c>
      <c r="E42" s="107">
        <v>1.31125577622658</v>
      </c>
      <c r="F42" s="107">
        <v>1.47656617705745</v>
      </c>
      <c r="G42" s="107">
        <v>1.76886395027669</v>
      </c>
      <c r="H42" s="107">
        <v>1.15240407548047</v>
      </c>
      <c r="I42" s="107">
        <v>1.09076729100704</v>
      </c>
      <c r="J42" s="107">
        <v>1.41022177208189</v>
      </c>
      <c r="K42" s="107">
        <v>1.02571554932905</v>
      </c>
      <c r="M42" s="147" t="s">
        <v>23</v>
      </c>
      <c r="N42" s="147" t="s">
        <v>94</v>
      </c>
      <c r="O42" s="107">
        <v>-0.486073996586317</v>
      </c>
      <c r="P42" s="107">
        <v>-0.401735086735295</v>
      </c>
      <c r="Q42" s="107">
        <v>-1.25903699433998</v>
      </c>
      <c r="R42" s="107">
        <v>-1.882604735692</v>
      </c>
      <c r="S42" s="107">
        <v>-1.18101845788351</v>
      </c>
      <c r="T42" s="107">
        <v>-1.12962371764067</v>
      </c>
      <c r="U42" s="107">
        <v>-1.31084693728703</v>
      </c>
      <c r="V42" s="107">
        <v>-0.179022517938364</v>
      </c>
      <c r="Y42" s="166" t="s">
        <v>94</v>
      </c>
      <c r="Z42" s="167">
        <v>1.18681539587736</v>
      </c>
      <c r="AA42" s="168">
        <v>-0.486073996586317</v>
      </c>
      <c r="AB42" t="s">
        <v>23</v>
      </c>
      <c r="AC42" t="s">
        <v>94</v>
      </c>
      <c r="AD42" s="31">
        <f>IF(Y42=AC42,0,1)</f>
        <v>0</v>
      </c>
    </row>
    <row r="43" ht="15.6" spans="1:30">
      <c r="A43" s="101"/>
      <c r="B43" s="147"/>
      <c r="C43" s="147"/>
      <c r="D43" s="107"/>
      <c r="E43" s="107"/>
      <c r="F43" s="107"/>
      <c r="G43" s="107"/>
      <c r="H43" s="107"/>
      <c r="I43" s="107"/>
      <c r="J43" s="107"/>
      <c r="K43" s="107"/>
      <c r="M43" s="147"/>
      <c r="N43" s="147"/>
      <c r="O43" s="107"/>
      <c r="P43" s="107"/>
      <c r="Q43" s="107"/>
      <c r="R43" s="107"/>
      <c r="S43" s="107"/>
      <c r="T43" s="107"/>
      <c r="U43" s="107"/>
      <c r="V43" s="107"/>
      <c r="Y43" s="166"/>
      <c r="Z43" s="167"/>
      <c r="AA43" s="168"/>
      <c r="AD43" s="31"/>
    </row>
    <row r="44" ht="15.6" spans="1:30">
      <c r="B44" s="147" t="s">
        <v>24</v>
      </c>
      <c r="C44" s="147" t="s">
        <v>69</v>
      </c>
      <c r="D44" s="107">
        <v>1.03657803962839</v>
      </c>
      <c r="E44" s="107">
        <v>1.00630710037414</v>
      </c>
      <c r="F44" s="107">
        <v>1.07432661357141</v>
      </c>
      <c r="G44" s="107">
        <v>1.19341813457248</v>
      </c>
      <c r="H44" s="107">
        <v>1.25066388882084</v>
      </c>
      <c r="I44" s="107">
        <v>1.46027692261367</v>
      </c>
      <c r="J44" s="107">
        <v>1.20290427893162</v>
      </c>
      <c r="K44" s="107">
        <v>0.971378175023511</v>
      </c>
      <c r="M44" s="147" t="s">
        <v>24</v>
      </c>
      <c r="N44" s="147" t="s">
        <v>70</v>
      </c>
      <c r="O44" s="107">
        <v>-0.151820739534641</v>
      </c>
      <c r="P44" s="107">
        <v>-0.0495199554696739</v>
      </c>
      <c r="Q44" s="107">
        <v>-0.720753684646251</v>
      </c>
      <c r="R44" s="107">
        <v>-1.36959825990927</v>
      </c>
      <c r="S44" s="107">
        <v>-1.28282766345194</v>
      </c>
      <c r="T44" s="107">
        <v>-1.48520112668924</v>
      </c>
      <c r="U44" s="107">
        <v>-1.09646502227592</v>
      </c>
      <c r="V44" s="107">
        <v>0.214861199416937</v>
      </c>
      <c r="Y44" s="166" t="s">
        <v>70</v>
      </c>
      <c r="Z44" s="167">
        <v>1.03657803962839</v>
      </c>
      <c r="AA44" s="168">
        <v>-0.151820739534641</v>
      </c>
      <c r="AB44" t="s">
        <v>24</v>
      </c>
      <c r="AC44" t="s">
        <v>70</v>
      </c>
      <c r="AD44" s="31">
        <f>IF(Y44=AC44,0,1)</f>
        <v>0</v>
      </c>
    </row>
    <row r="45" ht="15.6" spans="1:30">
      <c r="B45" s="147"/>
      <c r="C45" s="147"/>
      <c r="D45" s="107"/>
      <c r="E45" s="107"/>
      <c r="F45" s="107"/>
      <c r="G45" s="107"/>
      <c r="H45" s="107"/>
      <c r="I45" s="107"/>
      <c r="J45" s="107"/>
      <c r="K45" s="107"/>
      <c r="M45" s="147"/>
      <c r="N45" s="147"/>
      <c r="O45" s="107"/>
      <c r="P45" s="107"/>
      <c r="Q45" s="107"/>
      <c r="R45" s="107"/>
      <c r="S45" s="107"/>
      <c r="T45" s="107"/>
      <c r="U45" s="107"/>
      <c r="V45" s="107"/>
      <c r="Y45" s="166"/>
      <c r="Z45" s="167"/>
      <c r="AA45" s="168"/>
      <c r="AD45" s="31"/>
    </row>
    <row r="46" ht="15.6" spans="1:30">
      <c r="B46" s="147" t="s">
        <v>25</v>
      </c>
      <c r="C46" s="147" t="s">
        <v>119</v>
      </c>
      <c r="D46" s="107">
        <v>3.54129151352257</v>
      </c>
      <c r="E46" s="107">
        <v>3.36769109066068</v>
      </c>
      <c r="F46" s="107">
        <v>3.40494551281222</v>
      </c>
      <c r="G46" s="107">
        <v>2.02562985970112</v>
      </c>
      <c r="H46" s="107">
        <v>2.41162585956752</v>
      </c>
      <c r="I46" s="107">
        <v>2.03110888751901</v>
      </c>
      <c r="J46" s="107">
        <v>3.08319706467855</v>
      </c>
      <c r="K46" s="107">
        <v>2.54121551434826</v>
      </c>
      <c r="M46" s="147" t="s">
        <v>25</v>
      </c>
      <c r="N46" s="147" t="s">
        <v>120</v>
      </c>
      <c r="O46" s="107">
        <v>-2.70319497996419</v>
      </c>
      <c r="P46" s="107">
        <v>-2.53917667934029</v>
      </c>
      <c r="Q46" s="107">
        <v>-2.87713420512511</v>
      </c>
      <c r="R46" s="107">
        <v>-2.24516872342743</v>
      </c>
      <c r="S46" s="107">
        <v>-2.40296715844086</v>
      </c>
      <c r="T46" s="107">
        <v>-2.03402585888819</v>
      </c>
      <c r="U46" s="107">
        <v>-2.78225556747672</v>
      </c>
      <c r="V46" s="107">
        <v>-1.91852858081711</v>
      </c>
      <c r="Y46" s="166" t="s">
        <v>120</v>
      </c>
      <c r="Z46" s="167">
        <v>3.54129151352257</v>
      </c>
      <c r="AA46" s="168">
        <v>-2.70319497996419</v>
      </c>
      <c r="AB46" t="s">
        <v>25</v>
      </c>
      <c r="AC46" t="s">
        <v>120</v>
      </c>
      <c r="AD46" s="31">
        <f>IF(Y46=AC46,0,1)</f>
        <v>0</v>
      </c>
    </row>
    <row r="47" ht="15.6" spans="1:30">
      <c r="A47" s="101"/>
      <c r="B47" s="147" t="s">
        <v>25</v>
      </c>
      <c r="C47" s="147" t="s">
        <v>121</v>
      </c>
      <c r="D47" s="107">
        <v>0.457164915752468</v>
      </c>
      <c r="E47" s="107">
        <v>0.422119526906042</v>
      </c>
      <c r="F47" s="107">
        <v>0.746627427663792</v>
      </c>
      <c r="G47" s="107">
        <v>1.52190825198488</v>
      </c>
      <c r="H47" s="107">
        <v>1.23054430230038</v>
      </c>
      <c r="I47" s="107">
        <v>1.20702000265133</v>
      </c>
      <c r="J47" s="107">
        <v>0.720763935525028</v>
      </c>
      <c r="K47" s="107">
        <v>0.280768523902692</v>
      </c>
      <c r="M47" s="147" t="s">
        <v>25</v>
      </c>
      <c r="N47" s="147" t="s">
        <v>122</v>
      </c>
      <c r="O47" s="107">
        <v>0.615960280702946</v>
      </c>
      <c r="P47" s="107">
        <v>0.861399830465777</v>
      </c>
      <c r="Q47" s="107">
        <v>-0.405895840610454</v>
      </c>
      <c r="R47" s="107">
        <v>-1.63746231681666</v>
      </c>
      <c r="S47" s="107">
        <v>-1.26245269551851</v>
      </c>
      <c r="T47" s="107">
        <v>-1.2477605089968</v>
      </c>
      <c r="U47" s="107">
        <v>-0.608695530775451</v>
      </c>
      <c r="V47" s="107">
        <v>1.425751418481</v>
      </c>
      <c r="Y47" s="166" t="s">
        <v>122</v>
      </c>
      <c r="Z47" s="167">
        <v>0.457164915752468</v>
      </c>
      <c r="AA47" s="168">
        <v>0.615960280702946</v>
      </c>
      <c r="AB47" t="s">
        <v>25</v>
      </c>
      <c r="AC47" t="s">
        <v>122</v>
      </c>
      <c r="AD47" s="31">
        <f>IF(Y47=AC47,0,1)</f>
        <v>0</v>
      </c>
    </row>
    <row r="48" ht="15.6" spans="1:30">
      <c r="A48" s="101"/>
      <c r="B48" s="147"/>
      <c r="C48" s="147"/>
      <c r="D48" s="107"/>
      <c r="E48" s="107"/>
      <c r="F48" s="107"/>
      <c r="G48" s="107"/>
      <c r="H48" s="107"/>
      <c r="I48" s="107"/>
      <c r="J48" s="107"/>
      <c r="K48" s="107"/>
      <c r="M48" s="147"/>
      <c r="N48" s="147"/>
      <c r="O48" s="107"/>
      <c r="P48" s="107"/>
      <c r="Q48" s="107"/>
      <c r="R48" s="107"/>
      <c r="S48" s="107"/>
      <c r="T48" s="107"/>
      <c r="U48" s="107"/>
      <c r="V48" s="107"/>
      <c r="Y48" s="166"/>
      <c r="Z48" s="167"/>
      <c r="AA48" s="168"/>
      <c r="AD48" s="31"/>
    </row>
    <row r="49" ht="15.6" spans="1:30">
      <c r="A49" s="101"/>
      <c r="B49" s="147" t="s">
        <v>26</v>
      </c>
      <c r="C49" s="147" t="s">
        <v>123</v>
      </c>
      <c r="D49" s="107">
        <v>1.38318307849083</v>
      </c>
      <c r="E49" s="107">
        <v>1.21639258351864</v>
      </c>
      <c r="F49" s="107">
        <v>1.69837985004344</v>
      </c>
      <c r="G49" s="107">
        <v>1.17827590291085</v>
      </c>
      <c r="H49" s="107">
        <v>1.25721602952509</v>
      </c>
      <c r="I49" s="107">
        <v>1.44487566879119</v>
      </c>
      <c r="J49" s="107">
        <v>1.26641327439443</v>
      </c>
      <c r="K49" s="107">
        <v>1.06804073881008</v>
      </c>
      <c r="M49" s="147" t="s">
        <v>26</v>
      </c>
      <c r="N49" s="147" t="s">
        <v>124</v>
      </c>
      <c r="O49" s="107">
        <v>-0.685631333080545</v>
      </c>
      <c r="P49" s="107">
        <v>-0.543152622547972</v>
      </c>
      <c r="Q49" s="107">
        <v>-1.29636226975986</v>
      </c>
      <c r="R49" s="107">
        <v>-1.35506415309592</v>
      </c>
      <c r="S49" s="107">
        <v>-1.29130231661501</v>
      </c>
      <c r="T49" s="107">
        <v>-1.47549825632089</v>
      </c>
      <c r="U49" s="107">
        <v>-1.16068409297186</v>
      </c>
      <c r="V49" s="107">
        <v>-0.335528052838408</v>
      </c>
      <c r="Y49" s="166" t="s">
        <v>124</v>
      </c>
      <c r="Z49" s="167">
        <v>1.38318307849083</v>
      </c>
      <c r="AA49" s="168">
        <v>-0.685631333080545</v>
      </c>
      <c r="AB49" t="s">
        <v>26</v>
      </c>
      <c r="AC49" t="s">
        <v>124</v>
      </c>
      <c r="AD49" s="31">
        <f>IF(Y49=AC49,0,1)</f>
        <v>0</v>
      </c>
    </row>
    <row r="50" ht="15.6" spans="1:30">
      <c r="A50" s="101"/>
      <c r="B50" s="147"/>
      <c r="C50" s="147"/>
      <c r="D50" s="107"/>
      <c r="E50" s="107"/>
      <c r="F50" s="107"/>
      <c r="G50" s="107"/>
      <c r="H50" s="107"/>
      <c r="I50" s="107"/>
      <c r="J50" s="107"/>
      <c r="K50" s="107"/>
      <c r="M50" s="147"/>
      <c r="N50" s="147"/>
      <c r="O50" s="107"/>
      <c r="P50" s="107"/>
      <c r="Q50" s="107"/>
      <c r="R50" s="107"/>
      <c r="S50" s="107"/>
      <c r="T50" s="107"/>
      <c r="U50" s="107"/>
      <c r="V50" s="107"/>
      <c r="Y50" s="166"/>
      <c r="Z50" s="167"/>
      <c r="AA50" s="168"/>
      <c r="AD50" s="31"/>
    </row>
    <row r="51" ht="15.6" spans="1:30">
      <c r="B51" s="147" t="s">
        <v>28</v>
      </c>
      <c r="C51" s="147" t="s">
        <v>91</v>
      </c>
      <c r="D51" s="107">
        <v>0.928402067932694</v>
      </c>
      <c r="E51" s="107">
        <v>0.803089159667684</v>
      </c>
      <c r="F51" s="107">
        <v>0.542563063977885</v>
      </c>
      <c r="G51" s="107">
        <v>0.468101887586643</v>
      </c>
      <c r="H51" s="107">
        <v>0.412630484921674</v>
      </c>
      <c r="I51" s="107">
        <v>0.542865742291034</v>
      </c>
      <c r="J51" s="107">
        <v>0.372739304320828</v>
      </c>
      <c r="K51" s="107">
        <v>0.906073310195004</v>
      </c>
      <c r="M51" s="147" t="s">
        <v>28</v>
      </c>
      <c r="N51" s="147" t="s">
        <v>92</v>
      </c>
      <c r="O51" s="107">
        <v>-0.757481314049131</v>
      </c>
      <c r="P51" s="107">
        <v>-0.656575211414858</v>
      </c>
      <c r="Q51" s="107">
        <v>-0.43165580615043</v>
      </c>
      <c r="R51" s="107">
        <v>-0.518068957848183</v>
      </c>
      <c r="S51" s="107">
        <v>-0.443422094228371</v>
      </c>
      <c r="T51" s="107">
        <v>-0.577323338750297</v>
      </c>
      <c r="U51" s="107">
        <v>-0.370369156881782</v>
      </c>
      <c r="V51" s="107">
        <v>-0.683045131349182</v>
      </c>
      <c r="Y51" s="166" t="s">
        <v>92</v>
      </c>
      <c r="Z51" s="167">
        <v>0.928402067932694</v>
      </c>
      <c r="AA51" s="168">
        <v>-0.757481314049131</v>
      </c>
      <c r="AB51" t="s">
        <v>28</v>
      </c>
      <c r="AC51" t="s">
        <v>92</v>
      </c>
      <c r="AD51" s="31">
        <f>IF(Y51=AC51,0,1)</f>
        <v>0</v>
      </c>
    </row>
    <row r="52" ht="15.6" spans="1:30">
      <c r="A52" s="101"/>
      <c r="B52" s="147" t="s">
        <v>28</v>
      </c>
      <c r="C52" s="147" t="s">
        <v>127</v>
      </c>
      <c r="D52" s="107">
        <v>1.65551214751041</v>
      </c>
      <c r="E52" s="107">
        <v>1.92620111403006</v>
      </c>
      <c r="F52" s="107">
        <v>0.864382734158962</v>
      </c>
      <c r="G52" s="107">
        <v>2.03066624803635</v>
      </c>
      <c r="H52" s="107">
        <v>1.42343617771364</v>
      </c>
      <c r="I52" s="107">
        <v>2.20426103205077</v>
      </c>
      <c r="J52" s="107">
        <v>1.01455300700132</v>
      </c>
      <c r="K52" s="107">
        <v>1.64781996969428</v>
      </c>
      <c r="M52" s="147" t="s">
        <v>28</v>
      </c>
      <c r="N52" s="147" t="s">
        <v>128</v>
      </c>
      <c r="O52" s="107">
        <v>13.0593854459943</v>
      </c>
      <c r="P52" s="107">
        <v>15.4589549068886</v>
      </c>
      <c r="Q52" s="107">
        <v>3.97139745578587</v>
      </c>
      <c r="R52" s="107">
        <v>-3.24950124773965</v>
      </c>
      <c r="S52" s="107">
        <v>-1.77663639172322</v>
      </c>
      <c r="T52" s="107">
        <v>-3.027964528794</v>
      </c>
      <c r="U52" s="107">
        <v>1.731636978986</v>
      </c>
      <c r="V52" s="107">
        <v>15.4939381736798</v>
      </c>
      <c r="Y52" s="166" t="s">
        <v>128</v>
      </c>
      <c r="Z52" s="167">
        <v>1.65551214751041</v>
      </c>
      <c r="AA52" s="168">
        <v>13.0593854459943</v>
      </c>
      <c r="AB52" t="s">
        <v>28</v>
      </c>
      <c r="AC52" t="s">
        <v>128</v>
      </c>
      <c r="AD52" s="31">
        <f>IF(Y52=AC52,0,1)</f>
        <v>0</v>
      </c>
    </row>
    <row r="53" ht="15.6" spans="1:30">
      <c r="A53" s="101"/>
      <c r="B53" s="147"/>
      <c r="C53" s="147"/>
      <c r="D53" s="107"/>
      <c r="E53" s="107"/>
      <c r="F53" s="107"/>
      <c r="G53" s="107"/>
      <c r="H53" s="107"/>
      <c r="I53" s="107"/>
      <c r="J53" s="107"/>
      <c r="K53" s="107"/>
      <c r="M53" s="147"/>
      <c r="N53" s="147"/>
      <c r="O53" s="107"/>
      <c r="P53" s="107"/>
      <c r="Q53" s="107"/>
      <c r="R53" s="107"/>
      <c r="S53" s="107"/>
      <c r="T53" s="107"/>
      <c r="U53" s="107"/>
      <c r="V53" s="107"/>
      <c r="Y53" s="166"/>
      <c r="Z53" s="167"/>
      <c r="AA53" s="168"/>
      <c r="AD53" s="31"/>
    </row>
    <row r="54" ht="15.6" spans="1:30">
      <c r="A54" s="101"/>
      <c r="B54" s="147" t="s">
        <v>30</v>
      </c>
      <c r="C54" s="147" t="s">
        <v>115</v>
      </c>
      <c r="D54" s="107">
        <v>1.01306638834786</v>
      </c>
      <c r="E54" s="107">
        <v>0.944666874864849</v>
      </c>
      <c r="F54" s="107">
        <v>1.19123226827512</v>
      </c>
      <c r="G54" s="107">
        <v>1.55868281881629</v>
      </c>
      <c r="H54" s="107">
        <v>1.33546273917066</v>
      </c>
      <c r="I54" s="107">
        <v>1.3439513786123</v>
      </c>
      <c r="J54" s="107">
        <v>1.32216236387132</v>
      </c>
      <c r="K54" s="107">
        <v>0.788996357091712</v>
      </c>
      <c r="M54" s="147" t="s">
        <v>30</v>
      </c>
      <c r="N54" s="147" t="s">
        <v>116</v>
      </c>
      <c r="O54" s="107">
        <v>-0.589746998731406</v>
      </c>
      <c r="P54" s="107">
        <v>-0.498201095342531</v>
      </c>
      <c r="Q54" s="107">
        <v>-1.00532589441529</v>
      </c>
      <c r="R54" s="107">
        <v>-1.62036149903744</v>
      </c>
      <c r="S54" s="107">
        <v>-1.33808954192932</v>
      </c>
      <c r="T54" s="107">
        <v>-1.34617981835977</v>
      </c>
      <c r="U54" s="107">
        <v>-1.2497854742522</v>
      </c>
      <c r="V54" s="107">
        <v>-0.277656458919964</v>
      </c>
      <c r="Y54" s="166" t="s">
        <v>116</v>
      </c>
      <c r="Z54" s="167">
        <v>1.01306638834786</v>
      </c>
      <c r="AA54" s="168">
        <v>-0.589746998731406</v>
      </c>
      <c r="AB54" t="s">
        <v>30</v>
      </c>
      <c r="AC54" t="s">
        <v>116</v>
      </c>
      <c r="AD54" s="31">
        <f>IF(Y54=AC54,0,1)</f>
        <v>0</v>
      </c>
    </row>
    <row r="55" ht="15.6" spans="1:30">
      <c r="A55" s="101"/>
      <c r="B55" s="147" t="s">
        <v>30</v>
      </c>
      <c r="C55" s="147" t="s">
        <v>133</v>
      </c>
      <c r="D55" s="107">
        <v>0.800036321856502</v>
      </c>
      <c r="E55" s="107">
        <v>0.839172732756868</v>
      </c>
      <c r="F55" s="107">
        <v>0.740224086508912</v>
      </c>
      <c r="G55" s="107">
        <v>0.550496883966006</v>
      </c>
      <c r="H55" s="107">
        <v>-0.0169049251743554</v>
      </c>
      <c r="I55" s="107">
        <v>1.5942817254125</v>
      </c>
      <c r="J55" s="107">
        <v>0.735250551205615</v>
      </c>
      <c r="K55" s="107">
        <v>0.887003068766454</v>
      </c>
      <c r="M55" s="147" t="s">
        <v>30</v>
      </c>
      <c r="N55" s="147" t="s">
        <v>134</v>
      </c>
      <c r="O55" s="107">
        <v>73.6792922388998</v>
      </c>
      <c r="P55" s="107">
        <v>85.5632273159134</v>
      </c>
      <c r="Q55" s="107">
        <v>24.6137877532201</v>
      </c>
      <c r="R55" s="107">
        <v>-7.26384317373491</v>
      </c>
      <c r="S55" s="107">
        <v>-2.07854029338785</v>
      </c>
      <c r="T55" s="107">
        <v>-4.23910212851518</v>
      </c>
      <c r="U55" s="107">
        <v>16.685547805214</v>
      </c>
      <c r="V55" s="107">
        <v>107.237126599578</v>
      </c>
      <c r="Y55" s="166" t="s">
        <v>134</v>
      </c>
      <c r="Z55" s="167">
        <v>0.800036321856502</v>
      </c>
      <c r="AA55" s="168">
        <v>73.6792922388998</v>
      </c>
      <c r="AB55" t="s">
        <v>30</v>
      </c>
      <c r="AC55" t="s">
        <v>134</v>
      </c>
      <c r="AD55" s="31">
        <f>IF(Y55=AC55,0,1)</f>
        <v>0</v>
      </c>
    </row>
    <row r="56" ht="15.6" spans="1:30">
      <c r="A56" s="101"/>
      <c r="B56" s="149" t="s">
        <v>30</v>
      </c>
      <c r="C56" s="147" t="s">
        <v>135</v>
      </c>
      <c r="D56" s="107">
        <v>1.73318791192084</v>
      </c>
      <c r="E56" s="107">
        <v>1.52901130029993</v>
      </c>
      <c r="F56" s="107">
        <v>0.928706461299885</v>
      </c>
      <c r="G56" s="107">
        <v>0.928897749709773</v>
      </c>
      <c r="H56" s="107">
        <v>1.0638850006224</v>
      </c>
      <c r="I56" s="107">
        <v>1.17427784335056</v>
      </c>
      <c r="J56" s="107">
        <v>1.31846585924667</v>
      </c>
      <c r="K56" s="107">
        <v>1.58134362898298</v>
      </c>
      <c r="M56" s="149" t="s">
        <v>30</v>
      </c>
      <c r="N56" s="147" t="s">
        <v>136</v>
      </c>
      <c r="O56" s="107">
        <v>-0.980770076434574</v>
      </c>
      <c r="P56" s="107">
        <v>-0.858038314417434</v>
      </c>
      <c r="Q56" s="107">
        <v>-0.328483009469354</v>
      </c>
      <c r="R56" s="107">
        <v>-1.04841274566421</v>
      </c>
      <c r="S56" s="107">
        <v>-1.09916973997012</v>
      </c>
      <c r="T56" s="107">
        <v>-1.21360014513817</v>
      </c>
      <c r="U56" s="107">
        <v>-1.1856692024513</v>
      </c>
      <c r="V56" s="107">
        <v>-0.774568837318534</v>
      </c>
      <c r="Y56" s="166" t="s">
        <v>136</v>
      </c>
      <c r="Z56" s="167">
        <v>1.73318791192084</v>
      </c>
      <c r="AA56" s="168">
        <v>-0.980770076434574</v>
      </c>
      <c r="AB56" t="s">
        <v>30</v>
      </c>
      <c r="AC56" t="s">
        <v>136</v>
      </c>
      <c r="AD56" s="31">
        <f>IF(Y56=AC56,0,1)</f>
        <v>0</v>
      </c>
    </row>
    <row r="57" ht="15.6" spans="1:30">
      <c r="A57" s="101"/>
      <c r="B57" s="149"/>
      <c r="C57" s="147"/>
      <c r="D57" s="107"/>
      <c r="E57" s="107"/>
      <c r="F57" s="107"/>
      <c r="G57" s="107"/>
      <c r="H57" s="107"/>
      <c r="I57" s="107"/>
      <c r="J57" s="107"/>
      <c r="K57" s="107"/>
      <c r="M57" s="149"/>
      <c r="N57" s="147"/>
      <c r="O57" s="107"/>
      <c r="P57" s="107"/>
      <c r="Q57" s="107"/>
      <c r="R57" s="107"/>
      <c r="S57" s="107"/>
      <c r="T57" s="107"/>
      <c r="U57" s="107"/>
      <c r="V57" s="107"/>
      <c r="Y57" s="166"/>
      <c r="Z57" s="167"/>
      <c r="AA57" s="168"/>
      <c r="AD57" s="31"/>
    </row>
    <row r="58" ht="15.6" spans="1:30">
      <c r="A58" s="101"/>
      <c r="B58" s="147" t="s">
        <v>31</v>
      </c>
      <c r="C58" s="147" t="s">
        <v>129</v>
      </c>
      <c r="D58" s="107">
        <v>2.40832069305506</v>
      </c>
      <c r="E58" s="107">
        <v>1.99922841073925</v>
      </c>
      <c r="F58" s="107">
        <v>2.36914710173683</v>
      </c>
      <c r="G58" s="107">
        <v>1.65941455006647</v>
      </c>
      <c r="H58" s="107">
        <v>0.989816164012056</v>
      </c>
      <c r="I58" s="107">
        <v>2.0476095492734</v>
      </c>
      <c r="J58" s="107">
        <v>1.28887732611877</v>
      </c>
      <c r="K58" s="107">
        <v>1.63173379305019</v>
      </c>
      <c r="M58" s="147" t="s">
        <v>31</v>
      </c>
      <c r="N58" s="147" t="s">
        <v>130</v>
      </c>
      <c r="O58" s="107">
        <v>2.82794526545219</v>
      </c>
      <c r="P58" s="107">
        <v>2.40876879629265</v>
      </c>
      <c r="Q58" s="107">
        <v>6.33747876200505</v>
      </c>
      <c r="R58" s="107">
        <v>-6.62953941778774</v>
      </c>
      <c r="S58" s="107">
        <v>-1.82552946049349</v>
      </c>
      <c r="T58" s="107">
        <v>-2.58137196585593</v>
      </c>
      <c r="U58" s="107">
        <v>-0.0992431555550428</v>
      </c>
      <c r="V58" s="107">
        <v>2.64191619821766</v>
      </c>
      <c r="Y58" s="166" t="s">
        <v>130</v>
      </c>
      <c r="Z58" s="167">
        <v>2.40832069305506</v>
      </c>
      <c r="AA58" s="168">
        <v>2.82794526545219</v>
      </c>
      <c r="AB58" t="s">
        <v>31</v>
      </c>
      <c r="AC58" t="s">
        <v>130</v>
      </c>
      <c r="AD58" s="31">
        <f>IF(Y58=AC58,0,1)</f>
        <v>0</v>
      </c>
    </row>
    <row r="59" ht="16.35" spans="1:30">
      <c r="B59" s="147" t="s">
        <v>31</v>
      </c>
      <c r="C59" s="147" t="s">
        <v>131</v>
      </c>
      <c r="D59" s="107">
        <v>2.2584477134349</v>
      </c>
      <c r="E59" s="107">
        <v>2.13375075410475</v>
      </c>
      <c r="F59" s="107">
        <v>1.15171644735376</v>
      </c>
      <c r="G59" s="107">
        <v>1.86410995711229</v>
      </c>
      <c r="H59" s="107">
        <v>1.75629526254009</v>
      </c>
      <c r="I59" s="107">
        <v>2.39366470050598</v>
      </c>
      <c r="J59" s="107">
        <v>1.412388904922</v>
      </c>
      <c r="K59" s="107">
        <v>1.69617974197029</v>
      </c>
      <c r="M59" s="147" t="s">
        <v>31</v>
      </c>
      <c r="N59" s="147" t="s">
        <v>132</v>
      </c>
      <c r="O59" s="107">
        <v>1.67089736628838</v>
      </c>
      <c r="P59" s="107">
        <v>1.59165331618697</v>
      </c>
      <c r="Q59" s="107">
        <v>1.27393695707437</v>
      </c>
      <c r="R59" s="107">
        <v>-4.03062177056337</v>
      </c>
      <c r="S59" s="107">
        <v>-2.03769216553124</v>
      </c>
      <c r="T59" s="107">
        <v>-2.71038251046317</v>
      </c>
      <c r="U59" s="107">
        <v>-0.629363131674396</v>
      </c>
      <c r="V59" s="107">
        <v>1.82945099692439</v>
      </c>
      <c r="Y59" s="166" t="s">
        <v>132</v>
      </c>
      <c r="Z59" s="169">
        <v>2.2584477134349</v>
      </c>
      <c r="AA59" s="170">
        <v>1.67089736628838</v>
      </c>
      <c r="AB59" t="s">
        <v>31</v>
      </c>
      <c r="AC59" t="s">
        <v>132</v>
      </c>
      <c r="AD59" s="31">
        <f>IF(Y59=AC59,0,1)</f>
        <v>0</v>
      </c>
    </row>
    <row r="60" s="94" customFormat="1" ht="9" customHeight="1" spans="1:30">
      <c r="A60" s="96"/>
      <c r="B60" s="108"/>
      <c r="C60" s="108"/>
      <c r="D60" s="109"/>
      <c r="E60" s="109"/>
      <c r="F60" s="109"/>
      <c r="G60" s="109"/>
      <c r="H60" s="109"/>
      <c r="I60" s="109"/>
      <c r="J60" s="109"/>
      <c r="K60" s="109"/>
      <c r="M60" s="108"/>
      <c r="N60" s="108"/>
      <c r="O60" s="109"/>
      <c r="P60" s="109"/>
      <c r="Q60" s="109"/>
      <c r="R60" s="109"/>
      <c r="S60" s="109"/>
      <c r="T60" s="109"/>
      <c r="U60" s="109"/>
      <c r="V60" s="109"/>
      <c r="Y60"/>
      <c r="Z60"/>
      <c r="AA60"/>
    </row>
    <row r="61" ht="41.25" customHeight="1" spans="1:30">
      <c r="A61" s="101"/>
    </row>
    <row r="62" ht="43.95" spans="1:30">
      <c r="A62" s="101"/>
      <c r="B62" s="98" t="s">
        <v>36</v>
      </c>
      <c r="C62" s="98"/>
      <c r="D62" s="98" t="s">
        <v>312</v>
      </c>
      <c r="E62" s="98" t="s">
        <v>313</v>
      </c>
      <c r="F62" s="98" t="s">
        <v>314</v>
      </c>
      <c r="G62" s="98" t="s">
        <v>315</v>
      </c>
      <c r="H62" s="98" t="s">
        <v>316</v>
      </c>
      <c r="I62" s="98" t="s">
        <v>317</v>
      </c>
      <c r="J62" s="98" t="s">
        <v>318</v>
      </c>
      <c r="K62" s="98" t="s">
        <v>319</v>
      </c>
      <c r="M62" s="98" t="s">
        <v>37</v>
      </c>
      <c r="N62" s="98"/>
      <c r="O62" s="98" t="s">
        <v>312</v>
      </c>
      <c r="P62" s="98" t="s">
        <v>313</v>
      </c>
      <c r="Q62" s="98" t="s">
        <v>314</v>
      </c>
      <c r="R62" s="98" t="s">
        <v>315</v>
      </c>
      <c r="S62" s="98" t="s">
        <v>316</v>
      </c>
      <c r="T62" s="98" t="s">
        <v>317</v>
      </c>
      <c r="U62" s="98" t="s">
        <v>318</v>
      </c>
      <c r="V62" s="98" t="s">
        <v>319</v>
      </c>
      <c r="Z62" s="159" t="s">
        <v>230</v>
      </c>
      <c r="AA62" s="160" t="s">
        <v>231</v>
      </c>
    </row>
    <row r="63" s="94" customFormat="1" ht="9" customHeight="1" spans="1:30">
      <c r="A63" s="101"/>
      <c r="B63" s="99"/>
      <c r="C63" s="99"/>
      <c r="D63" s="99"/>
      <c r="E63" s="99"/>
      <c r="F63" s="99"/>
      <c r="G63" s="99"/>
      <c r="H63" s="99"/>
      <c r="I63" s="99"/>
      <c r="J63" s="99"/>
      <c r="K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Y63" t="s">
        <v>307</v>
      </c>
      <c r="Z63" s="161" t="s">
        <v>308</v>
      </c>
      <c r="AA63" s="162" t="s">
        <v>309</v>
      </c>
      <c r="AB63" s="94" t="s">
        <v>310</v>
      </c>
      <c r="AC63" s="94" t="s">
        <v>311</v>
      </c>
    </row>
    <row r="64" s="94" customFormat="1" ht="9" customHeight="1" spans="1:30">
      <c r="A64" s="101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Y64"/>
      <c r="Z64" s="161"/>
      <c r="AA64" s="162"/>
    </row>
    <row r="65" ht="15.6" spans="1:30">
      <c r="A65" s="101"/>
      <c r="B65" s="147" t="s">
        <v>12</v>
      </c>
      <c r="C65" s="147" t="s">
        <v>52</v>
      </c>
      <c r="D65" s="107">
        <v>0.30119516587095</v>
      </c>
      <c r="E65" s="107">
        <v>0.302980350174298</v>
      </c>
      <c r="F65" s="107">
        <v>0.622814225195412</v>
      </c>
      <c r="G65" s="107">
        <v>1.00578866829608</v>
      </c>
      <c r="H65" s="107">
        <v>0.967162114883091</v>
      </c>
      <c r="I65" s="107">
        <v>0.866171029365925</v>
      </c>
      <c r="J65" s="107">
        <v>0.798062156616417</v>
      </c>
      <c r="K65" s="107">
        <v>0.349052915646276</v>
      </c>
      <c r="M65" s="147" t="s">
        <v>12</v>
      </c>
      <c r="N65" s="147" t="s">
        <v>52</v>
      </c>
      <c r="O65" s="107">
        <v>-0.118880795599865</v>
      </c>
      <c r="P65" s="107">
        <v>-0.101492383490318</v>
      </c>
      <c r="Q65" s="107">
        <v>-0.547999006913766</v>
      </c>
      <c r="R65" s="107">
        <v>-1.03629013299985</v>
      </c>
      <c r="S65" s="107">
        <v>-0.97550506639937</v>
      </c>
      <c r="T65" s="107">
        <v>-0.897217544671972</v>
      </c>
      <c r="U65" s="107">
        <v>-0.776834107308173</v>
      </c>
      <c r="V65" s="107">
        <v>-0.0498519213382868</v>
      </c>
      <c r="Y65" s="171" t="s">
        <v>52</v>
      </c>
      <c r="Z65" s="164">
        <v>0.30119516587095</v>
      </c>
      <c r="AA65" s="165">
        <v>-0.118880795599865</v>
      </c>
      <c r="AB65" t="s">
        <v>12</v>
      </c>
      <c r="AC65" t="s">
        <v>52</v>
      </c>
      <c r="AD65" s="31">
        <f>IF(Y65=AC65,0,1)</f>
        <v>0</v>
      </c>
    </row>
    <row r="66" ht="15.6" spans="1:30">
      <c r="A66" s="101"/>
      <c r="B66" s="147" t="s">
        <v>12</v>
      </c>
      <c r="C66" s="147" t="s">
        <v>56</v>
      </c>
      <c r="D66" s="107">
        <v>0.858981160525937</v>
      </c>
      <c r="E66" s="107">
        <v>0.873499274757265</v>
      </c>
      <c r="F66" s="107">
        <v>1.15732698099114</v>
      </c>
      <c r="G66" s="107">
        <v>1.53781270603804</v>
      </c>
      <c r="H66" s="107">
        <v>1.43783607316172</v>
      </c>
      <c r="I66" s="107">
        <v>1.25556927983082</v>
      </c>
      <c r="J66" s="107">
        <v>1.17068521420606</v>
      </c>
      <c r="K66" s="107">
        <v>0.740568850956255</v>
      </c>
      <c r="M66" s="147" t="s">
        <v>12</v>
      </c>
      <c r="N66" s="147" t="s">
        <v>56</v>
      </c>
      <c r="O66" s="107">
        <v>-0.660025875607287</v>
      </c>
      <c r="P66" s="107">
        <v>-0.676558056586233</v>
      </c>
      <c r="Q66" s="107">
        <v>-1.03985251591608</v>
      </c>
      <c r="R66" s="107">
        <v>-1.58405188367146</v>
      </c>
      <c r="S66" s="107">
        <v>-1.43196363015059</v>
      </c>
      <c r="T66" s="107">
        <v>-1.28389465120801</v>
      </c>
      <c r="U66" s="107">
        <v>-1.13611920366159</v>
      </c>
      <c r="V66" s="107">
        <v>-0.529170024314153</v>
      </c>
      <c r="Y66" s="172" t="s">
        <v>56</v>
      </c>
      <c r="Z66" s="167">
        <v>0.858981160525937</v>
      </c>
      <c r="AA66" s="168">
        <v>-0.660025875607287</v>
      </c>
      <c r="AB66" t="s">
        <v>12</v>
      </c>
      <c r="AC66" t="s">
        <v>56</v>
      </c>
      <c r="AD66" s="31">
        <f t="shared" ref="AD66:AD119" si="2">IF(Y66=AC66,0,1)</f>
        <v>0</v>
      </c>
    </row>
    <row r="67" ht="15.6" spans="1:30">
      <c r="A67" s="101"/>
      <c r="B67" s="147"/>
      <c r="C67" s="147"/>
      <c r="D67" s="107"/>
      <c r="E67" s="107"/>
      <c r="F67" s="107"/>
      <c r="G67" s="107"/>
      <c r="H67" s="107"/>
      <c r="I67" s="107"/>
      <c r="J67" s="107"/>
      <c r="K67" s="107"/>
      <c r="M67" s="147"/>
      <c r="N67" s="147"/>
      <c r="O67" s="107"/>
      <c r="P67" s="107"/>
      <c r="Q67" s="107"/>
      <c r="R67" s="107"/>
      <c r="S67" s="107"/>
      <c r="T67" s="107"/>
      <c r="U67" s="107"/>
      <c r="V67" s="107"/>
      <c r="Y67" s="172"/>
      <c r="Z67" s="167"/>
      <c r="AA67" s="168"/>
      <c r="AD67" s="31"/>
    </row>
    <row r="68" ht="15.6" spans="1:30">
      <c r="A68" s="101"/>
      <c r="B68" s="147" t="s">
        <v>13</v>
      </c>
      <c r="C68" s="147" t="s">
        <v>50</v>
      </c>
      <c r="D68" s="107">
        <v>0.948086118999337</v>
      </c>
      <c r="E68" s="107">
        <v>0.922760468540232</v>
      </c>
      <c r="F68" s="107">
        <v>0.860846176408334</v>
      </c>
      <c r="G68" s="107">
        <v>1.13332341415072</v>
      </c>
      <c r="H68" s="107">
        <v>0.805904795845095</v>
      </c>
      <c r="I68" s="107">
        <v>0.887068862960495</v>
      </c>
      <c r="J68" s="107">
        <v>1.0173308975767</v>
      </c>
      <c r="K68" s="107">
        <v>0.910531596491056</v>
      </c>
      <c r="M68" s="147" t="s">
        <v>13</v>
      </c>
      <c r="N68" s="147" t="s">
        <v>50</v>
      </c>
      <c r="O68" s="107">
        <v>-0.567780796471578</v>
      </c>
      <c r="P68" s="107">
        <v>-0.586839423220127</v>
      </c>
      <c r="Q68" s="107">
        <v>-0.57777630770764</v>
      </c>
      <c r="R68" s="107">
        <v>-1.2460603093257</v>
      </c>
      <c r="S68" s="107">
        <v>-0.831007520495528</v>
      </c>
      <c r="T68" s="107">
        <v>-0.958376650489155</v>
      </c>
      <c r="U68" s="107">
        <v>-0.958245507074991</v>
      </c>
      <c r="V68" s="107">
        <v>-0.51706233765582</v>
      </c>
      <c r="Y68" s="172" t="s">
        <v>50</v>
      </c>
      <c r="Z68" s="167">
        <v>0.948086118999337</v>
      </c>
      <c r="AA68" s="168">
        <v>-0.567780796471578</v>
      </c>
      <c r="AB68" t="s">
        <v>13</v>
      </c>
      <c r="AC68" t="s">
        <v>50</v>
      </c>
      <c r="AD68" s="31">
        <f t="shared" si="2"/>
        <v>0</v>
      </c>
    </row>
    <row r="69" ht="15.6" spans="1:30">
      <c r="A69" s="101"/>
      <c r="B69" s="147"/>
      <c r="C69" s="147"/>
      <c r="D69" s="107"/>
      <c r="E69" s="107"/>
      <c r="F69" s="107"/>
      <c r="G69" s="107"/>
      <c r="H69" s="107"/>
      <c r="I69" s="107"/>
      <c r="J69" s="107"/>
      <c r="K69" s="107"/>
      <c r="M69" s="147"/>
      <c r="N69" s="147"/>
      <c r="O69" s="107"/>
      <c r="P69" s="107"/>
      <c r="Q69" s="107"/>
      <c r="R69" s="107"/>
      <c r="S69" s="107"/>
      <c r="T69" s="107"/>
      <c r="U69" s="107"/>
      <c r="V69" s="107"/>
      <c r="Y69" s="172"/>
      <c r="Z69" s="167"/>
      <c r="AA69" s="168"/>
      <c r="AD69" s="31"/>
    </row>
    <row r="70" ht="15.6" spans="1:30">
      <c r="A70" s="101"/>
      <c r="B70" s="147" t="s">
        <v>15</v>
      </c>
      <c r="C70" s="147" t="s">
        <v>42</v>
      </c>
      <c r="D70" s="107">
        <v>0.359741018336583</v>
      </c>
      <c r="E70" s="107">
        <v>0.365307134954151</v>
      </c>
      <c r="F70" s="107">
        <v>0.488479868309721</v>
      </c>
      <c r="G70" s="107">
        <v>0.7982110980762</v>
      </c>
      <c r="H70" s="107">
        <v>0.741476766014754</v>
      </c>
      <c r="I70" s="107">
        <v>0.740504712396777</v>
      </c>
      <c r="J70" s="107">
        <v>0.63879992310257</v>
      </c>
      <c r="K70" s="107">
        <v>0.434487455769263</v>
      </c>
      <c r="M70" s="147" t="s">
        <v>15</v>
      </c>
      <c r="N70" s="147" t="s">
        <v>42</v>
      </c>
      <c r="O70" s="107">
        <v>-0.279141024603307</v>
      </c>
      <c r="P70" s="107">
        <v>-0.282466956004402</v>
      </c>
      <c r="Q70" s="107">
        <v>-0.457854251199828</v>
      </c>
      <c r="R70" s="107">
        <v>-0.829392473956521</v>
      </c>
      <c r="S70" s="107">
        <v>-0.761219820753202</v>
      </c>
      <c r="T70" s="107">
        <v>-0.768355398164288</v>
      </c>
      <c r="U70" s="107">
        <v>-0.640892352806296</v>
      </c>
      <c r="V70" s="107">
        <v>-0.303309511881771</v>
      </c>
      <c r="Y70" s="172" t="s">
        <v>42</v>
      </c>
      <c r="Z70" s="167">
        <v>0.359741018336583</v>
      </c>
      <c r="AA70" s="168">
        <v>-0.279141024603307</v>
      </c>
      <c r="AB70" t="s">
        <v>15</v>
      </c>
      <c r="AC70" t="s">
        <v>42</v>
      </c>
      <c r="AD70" s="31">
        <f t="shared" si="2"/>
        <v>0</v>
      </c>
    </row>
    <row r="71" ht="15.6" spans="1:30">
      <c r="A71" s="101"/>
      <c r="B71" s="147" t="s">
        <v>15</v>
      </c>
      <c r="C71" s="147" t="s">
        <v>44</v>
      </c>
      <c r="D71" s="107">
        <v>0.616984481859549</v>
      </c>
      <c r="E71" s="107">
        <v>0.559471946409486</v>
      </c>
      <c r="F71" s="107">
        <v>0.706870583159517</v>
      </c>
      <c r="G71" s="107">
        <v>1.01307597435624</v>
      </c>
      <c r="H71" s="107">
        <v>0.835541431505988</v>
      </c>
      <c r="I71" s="107">
        <v>0.812772685424538</v>
      </c>
      <c r="J71" s="107">
        <v>0.782061283479901</v>
      </c>
      <c r="K71" s="107">
        <v>0.524755431542863</v>
      </c>
      <c r="M71" s="147" t="s">
        <v>15</v>
      </c>
      <c r="N71" s="147" t="s">
        <v>44</v>
      </c>
      <c r="O71" s="107">
        <v>-0.446430209404236</v>
      </c>
      <c r="P71" s="107">
        <v>-0.408895064088387</v>
      </c>
      <c r="Q71" s="107">
        <v>-0.582747187756406</v>
      </c>
      <c r="R71" s="107">
        <v>-1.0642447545519</v>
      </c>
      <c r="S71" s="107">
        <v>-0.84959700394749</v>
      </c>
      <c r="T71" s="107">
        <v>-0.847371774659632</v>
      </c>
      <c r="U71" s="107">
        <v>-0.762684226715835</v>
      </c>
      <c r="V71" s="107">
        <v>-0.325252710218884</v>
      </c>
      <c r="Y71" s="172" t="s">
        <v>44</v>
      </c>
      <c r="Z71" s="167">
        <v>0.616984481859549</v>
      </c>
      <c r="AA71" s="168">
        <v>-0.446430209404236</v>
      </c>
      <c r="AB71" t="s">
        <v>15</v>
      </c>
      <c r="AC71" t="s">
        <v>44</v>
      </c>
      <c r="AD71" s="31">
        <f t="shared" si="2"/>
        <v>0</v>
      </c>
    </row>
    <row r="72" ht="15.6" spans="1:30">
      <c r="A72" s="101"/>
      <c r="B72" s="147" t="s">
        <v>15</v>
      </c>
      <c r="C72" s="147" t="s">
        <v>46</v>
      </c>
      <c r="D72" s="107">
        <v>0.271231228646475</v>
      </c>
      <c r="E72" s="107">
        <v>0.299468308304671</v>
      </c>
      <c r="F72" s="107">
        <v>0.470007536309416</v>
      </c>
      <c r="G72" s="107">
        <v>0.913986834350095</v>
      </c>
      <c r="H72" s="107">
        <v>0.782138511037682</v>
      </c>
      <c r="I72" s="107">
        <v>0.72513372248751</v>
      </c>
      <c r="J72" s="107">
        <v>0.593170301213774</v>
      </c>
      <c r="K72" s="107">
        <v>0.251652258140037</v>
      </c>
      <c r="M72" s="147" t="s">
        <v>15</v>
      </c>
      <c r="N72" s="147" t="s">
        <v>46</v>
      </c>
      <c r="O72" s="107">
        <v>-0.134081855965746</v>
      </c>
      <c r="P72" s="107">
        <v>-0.147457526728034</v>
      </c>
      <c r="Q72" s="107">
        <v>-0.418850981832483</v>
      </c>
      <c r="R72" s="107">
        <v>-0.943173874482271</v>
      </c>
      <c r="S72" s="107">
        <v>-0.797309322922654</v>
      </c>
      <c r="T72" s="107">
        <v>-0.755744434490836</v>
      </c>
      <c r="U72" s="107">
        <v>-0.583339421623501</v>
      </c>
      <c r="V72" s="107">
        <v>-0.0347652469506732</v>
      </c>
      <c r="Y72" s="172" t="s">
        <v>46</v>
      </c>
      <c r="Z72" s="167">
        <v>0.271231228646475</v>
      </c>
      <c r="AA72" s="168">
        <v>-0.134081855965746</v>
      </c>
      <c r="AB72" t="s">
        <v>15</v>
      </c>
      <c r="AC72" t="s">
        <v>46</v>
      </c>
      <c r="AD72" s="31">
        <f t="shared" si="2"/>
        <v>0</v>
      </c>
    </row>
    <row r="73" ht="15.6" spans="1:30">
      <c r="A73" s="101"/>
      <c r="B73" s="147" t="s">
        <v>15</v>
      </c>
      <c r="C73" s="147" t="s">
        <v>48</v>
      </c>
      <c r="D73" s="107">
        <v>0.55327873654161</v>
      </c>
      <c r="E73" s="107">
        <v>0.55824663972322</v>
      </c>
      <c r="F73" s="107">
        <v>0.797464009573901</v>
      </c>
      <c r="G73" s="107">
        <v>1.1930253327233</v>
      </c>
      <c r="H73" s="107">
        <v>1.04091109833905</v>
      </c>
      <c r="I73" s="107">
        <v>1.01439473467806</v>
      </c>
      <c r="J73" s="107">
        <v>0.951630260246377</v>
      </c>
      <c r="K73" s="107">
        <v>0.529986550973346</v>
      </c>
      <c r="M73" s="147" t="s">
        <v>15</v>
      </c>
      <c r="N73" s="147" t="s">
        <v>48</v>
      </c>
      <c r="O73" s="107">
        <v>-0.513497926571635</v>
      </c>
      <c r="P73" s="107">
        <v>-0.515750538663056</v>
      </c>
      <c r="Q73" s="107">
        <v>-0.78383906600531</v>
      </c>
      <c r="R73" s="107">
        <v>-1.18006968548186</v>
      </c>
      <c r="S73" s="107">
        <v>-1.03903922520455</v>
      </c>
      <c r="T73" s="107">
        <v>-1.02213066112643</v>
      </c>
      <c r="U73" s="107">
        <v>-0.947750316278885</v>
      </c>
      <c r="V73" s="107">
        <v>-0.468216768456731</v>
      </c>
      <c r="Y73" s="172" t="s">
        <v>48</v>
      </c>
      <c r="Z73" s="167">
        <v>0.55327873654161</v>
      </c>
      <c r="AA73" s="168">
        <v>-0.513497926571635</v>
      </c>
      <c r="AB73" t="s">
        <v>15</v>
      </c>
      <c r="AC73" t="s">
        <v>48</v>
      </c>
      <c r="AD73" s="31">
        <f t="shared" si="2"/>
        <v>0</v>
      </c>
    </row>
    <row r="74" ht="15.6" spans="1:30">
      <c r="A74" s="101"/>
      <c r="B74" s="147" t="s">
        <v>15</v>
      </c>
      <c r="C74" s="147" t="s">
        <v>54</v>
      </c>
      <c r="D74" s="107">
        <v>0.35025371533211</v>
      </c>
      <c r="E74" s="107">
        <v>0.337377727532422</v>
      </c>
      <c r="F74" s="107">
        <v>0.674108476451796</v>
      </c>
      <c r="G74" s="107">
        <v>1.05091619688639</v>
      </c>
      <c r="H74" s="107">
        <v>0.813488233477669</v>
      </c>
      <c r="I74" s="107">
        <v>0.8110743237741</v>
      </c>
      <c r="J74" s="107">
        <v>0.710624041610938</v>
      </c>
      <c r="K74" s="107">
        <v>0.402790099823232</v>
      </c>
      <c r="M74" s="147" t="s">
        <v>15</v>
      </c>
      <c r="N74" s="147" t="s">
        <v>54</v>
      </c>
      <c r="O74" s="107">
        <v>0.0413771036937975</v>
      </c>
      <c r="P74" s="107">
        <v>0.0753188823843043</v>
      </c>
      <c r="Q74" s="107">
        <v>-0.485438020657047</v>
      </c>
      <c r="R74" s="107">
        <v>-1.11795063515906</v>
      </c>
      <c r="S74" s="107">
        <v>-0.832729525455795</v>
      </c>
      <c r="T74" s="107">
        <v>-0.871443113778124</v>
      </c>
      <c r="U74" s="107">
        <v>-0.658425854857064</v>
      </c>
      <c r="V74" s="107">
        <v>0.19204568234985</v>
      </c>
      <c r="Y74" s="172" t="s">
        <v>54</v>
      </c>
      <c r="Z74" s="167">
        <v>0.35025371533211</v>
      </c>
      <c r="AA74" s="168">
        <v>0.0413771036937975</v>
      </c>
      <c r="AB74" t="s">
        <v>15</v>
      </c>
      <c r="AC74" t="s">
        <v>54</v>
      </c>
      <c r="AD74" s="31">
        <f t="shared" si="2"/>
        <v>0</v>
      </c>
    </row>
    <row r="75" ht="15.6" spans="1:30">
      <c r="A75" s="101"/>
      <c r="B75" s="147" t="s">
        <v>15</v>
      </c>
      <c r="C75" s="147" t="s">
        <v>58</v>
      </c>
      <c r="D75" s="107">
        <v>0.406689977995604</v>
      </c>
      <c r="E75" s="107">
        <v>0.502852432776352</v>
      </c>
      <c r="F75" s="107">
        <v>0.554108884992904</v>
      </c>
      <c r="G75" s="107">
        <v>0.744489523452993</v>
      </c>
      <c r="H75" s="107">
        <v>0.736200290709387</v>
      </c>
      <c r="I75" s="107">
        <v>0.654271430436742</v>
      </c>
      <c r="J75" s="107">
        <v>0.828061189780242</v>
      </c>
      <c r="K75" s="107">
        <v>0.476398141732735</v>
      </c>
      <c r="M75" s="147" t="s">
        <v>15</v>
      </c>
      <c r="N75" s="147" t="s">
        <v>58</v>
      </c>
      <c r="O75" s="107">
        <v>0.0485117626117646</v>
      </c>
      <c r="P75" s="107">
        <v>0.0157870707882364</v>
      </c>
      <c r="Q75" s="107">
        <v>-0.361226157324976</v>
      </c>
      <c r="R75" s="107">
        <v>-0.820468534992223</v>
      </c>
      <c r="S75" s="107">
        <v>-0.758624098167535</v>
      </c>
      <c r="T75" s="107">
        <v>-0.730384895674189</v>
      </c>
      <c r="U75" s="107">
        <v>-0.759569487261696</v>
      </c>
      <c r="V75" s="107">
        <v>0.166970960855884</v>
      </c>
      <c r="Y75" s="172" t="s">
        <v>58</v>
      </c>
      <c r="Z75" s="167">
        <v>0.406689977995604</v>
      </c>
      <c r="AA75" s="168">
        <v>0.0485117626117646</v>
      </c>
      <c r="AB75" t="s">
        <v>15</v>
      </c>
      <c r="AC75" t="s">
        <v>58</v>
      </c>
      <c r="AD75" s="31">
        <f t="shared" si="2"/>
        <v>0</v>
      </c>
    </row>
    <row r="76" ht="15.6" spans="1:30">
      <c r="A76" s="101"/>
      <c r="B76" s="147" t="s">
        <v>15</v>
      </c>
      <c r="C76" s="147" t="s">
        <v>60</v>
      </c>
      <c r="D76" s="107">
        <v>1.78797490931152</v>
      </c>
      <c r="E76" s="107">
        <v>1.70825964067766</v>
      </c>
      <c r="F76" s="107">
        <v>1.68332692867332</v>
      </c>
      <c r="G76" s="107">
        <v>0.842194659165232</v>
      </c>
      <c r="H76" s="107">
        <v>1.32962739354367</v>
      </c>
      <c r="I76" s="107">
        <v>0.958942572962625</v>
      </c>
      <c r="J76" s="107">
        <v>1.47791998667313</v>
      </c>
      <c r="K76" s="107">
        <v>1.59872022473558</v>
      </c>
      <c r="M76" s="147" t="s">
        <v>15</v>
      </c>
      <c r="N76" s="147" t="s">
        <v>60</v>
      </c>
      <c r="O76" s="107">
        <v>16.3844726538348</v>
      </c>
      <c r="P76" s="107">
        <v>13.4541671637748</v>
      </c>
      <c r="Q76" s="107">
        <v>15.1227089831672</v>
      </c>
      <c r="R76" s="107">
        <v>-16.6987201494292</v>
      </c>
      <c r="S76" s="107">
        <v>-2.74268610783172</v>
      </c>
      <c r="T76" s="107">
        <v>-5.83825470656192</v>
      </c>
      <c r="U76" s="107">
        <v>1.4076202586105</v>
      </c>
      <c r="V76" s="107">
        <v>13.4142278637035</v>
      </c>
      <c r="Y76" s="172" t="s">
        <v>60</v>
      </c>
      <c r="Z76" s="167">
        <v>1.78797490931152</v>
      </c>
      <c r="AA76" s="168">
        <v>16.3844726538348</v>
      </c>
      <c r="AB76" t="s">
        <v>15</v>
      </c>
      <c r="AC76" t="s">
        <v>60</v>
      </c>
      <c r="AD76" s="31">
        <f t="shared" si="2"/>
        <v>0</v>
      </c>
    </row>
    <row r="77" ht="15.6" spans="1:30">
      <c r="A77" s="101"/>
      <c r="B77" s="147" t="s">
        <v>15</v>
      </c>
      <c r="C77" s="147" t="s">
        <v>62</v>
      </c>
      <c r="D77" s="107">
        <v>0.272027780999809</v>
      </c>
      <c r="E77" s="107">
        <v>0.314429477307864</v>
      </c>
      <c r="F77" s="107">
        <v>0.524415865148755</v>
      </c>
      <c r="G77" s="107">
        <v>0.951014046989374</v>
      </c>
      <c r="H77" s="107">
        <v>0.767810040111612</v>
      </c>
      <c r="I77" s="107">
        <v>0.78281139455706</v>
      </c>
      <c r="J77" s="107">
        <v>0.66610421680537</v>
      </c>
      <c r="K77" s="107">
        <v>0.282245484705846</v>
      </c>
      <c r="M77" s="147" t="s">
        <v>15</v>
      </c>
      <c r="N77" s="147" t="s">
        <v>62</v>
      </c>
      <c r="O77" s="107">
        <v>0.11480336788059</v>
      </c>
      <c r="P77" s="107">
        <v>0.130678014301699</v>
      </c>
      <c r="Q77" s="107">
        <v>-0.36475834671541</v>
      </c>
      <c r="R77" s="107">
        <v>-1.01468680526724</v>
      </c>
      <c r="S77" s="107">
        <v>-0.786651129711224</v>
      </c>
      <c r="T77" s="107">
        <v>-0.843066031188824</v>
      </c>
      <c r="U77" s="107">
        <v>-0.612985620734294</v>
      </c>
      <c r="V77" s="107">
        <v>0.323373120845729</v>
      </c>
      <c r="Y77" s="172" t="s">
        <v>62</v>
      </c>
      <c r="Z77" s="167">
        <v>0.272027780999809</v>
      </c>
      <c r="AA77" s="168">
        <v>0.11480336788059</v>
      </c>
      <c r="AB77" t="s">
        <v>15</v>
      </c>
      <c r="AC77" t="s">
        <v>62</v>
      </c>
      <c r="AD77" s="31">
        <f t="shared" si="2"/>
        <v>0</v>
      </c>
    </row>
    <row r="78" ht="15.6" spans="1:30">
      <c r="A78" s="101"/>
      <c r="B78" s="147" t="s">
        <v>15</v>
      </c>
      <c r="C78" s="147" t="s">
        <v>64</v>
      </c>
      <c r="D78" s="107">
        <v>0.321787681108186</v>
      </c>
      <c r="E78" s="107">
        <v>0.361507323651834</v>
      </c>
      <c r="F78" s="107">
        <v>0.611591116343622</v>
      </c>
      <c r="G78" s="107">
        <v>1.10850858523498</v>
      </c>
      <c r="H78" s="107">
        <v>0.888413255756579</v>
      </c>
      <c r="I78" s="107">
        <v>0.843011844336074</v>
      </c>
      <c r="J78" s="107">
        <v>0.720930891603546</v>
      </c>
      <c r="K78" s="107">
        <v>0.345727166983537</v>
      </c>
      <c r="M78" s="147" t="s">
        <v>15</v>
      </c>
      <c r="N78" s="147" t="s">
        <v>64</v>
      </c>
      <c r="O78" s="107">
        <v>0.128906441509865</v>
      </c>
      <c r="P78" s="107">
        <v>0.154348171800133</v>
      </c>
      <c r="Q78" s="107">
        <v>-0.422360822676719</v>
      </c>
      <c r="R78" s="107">
        <v>-1.18378359076566</v>
      </c>
      <c r="S78" s="107">
        <v>-0.908087919736248</v>
      </c>
      <c r="T78" s="107">
        <v>-0.910185470946486</v>
      </c>
      <c r="U78" s="107">
        <v>-0.657994378314116</v>
      </c>
      <c r="V78" s="107">
        <v>0.345143045491985</v>
      </c>
      <c r="Y78" s="172" t="s">
        <v>64</v>
      </c>
      <c r="Z78" s="167">
        <v>0.321787681108186</v>
      </c>
      <c r="AA78" s="168">
        <v>0.128906441509865</v>
      </c>
      <c r="AB78" t="s">
        <v>15</v>
      </c>
      <c r="AC78" t="s">
        <v>64</v>
      </c>
      <c r="AD78" s="31">
        <f t="shared" si="2"/>
        <v>0</v>
      </c>
    </row>
    <row r="79" ht="15.6" spans="1:30">
      <c r="A79" s="101"/>
      <c r="B79" s="147" t="s">
        <v>15</v>
      </c>
      <c r="C79" s="147" t="s">
        <v>66</v>
      </c>
      <c r="D79" s="107">
        <v>1.23008383125484</v>
      </c>
      <c r="E79" s="107">
        <v>1.11632845205226</v>
      </c>
      <c r="F79" s="107">
        <v>1.5983041829667</v>
      </c>
      <c r="G79" s="107">
        <v>1.72351622902531</v>
      </c>
      <c r="H79" s="107">
        <v>1.38536291302454</v>
      </c>
      <c r="I79" s="107">
        <v>1.27026719538765</v>
      </c>
      <c r="J79" s="107">
        <v>1.34077086427914</v>
      </c>
      <c r="K79" s="107">
        <v>0.88686174089509</v>
      </c>
      <c r="M79" s="147" t="s">
        <v>15</v>
      </c>
      <c r="N79" s="147" t="s">
        <v>66</v>
      </c>
      <c r="O79" s="107">
        <v>0.31638517622474</v>
      </c>
      <c r="P79" s="107">
        <v>0.194687914327618</v>
      </c>
      <c r="Q79" s="107">
        <v>-0.257288402704991</v>
      </c>
      <c r="R79" s="107">
        <v>-2.49957646177683</v>
      </c>
      <c r="S79" s="107">
        <v>-1.54162857507462</v>
      </c>
      <c r="T79" s="107">
        <v>-1.65009288716158</v>
      </c>
      <c r="U79" s="107">
        <v>-1.10391162160599</v>
      </c>
      <c r="V79" s="107">
        <v>0.425015422431112</v>
      </c>
      <c r="Y79" s="172" t="s">
        <v>66</v>
      </c>
      <c r="Z79" s="167">
        <v>1.23008383125484</v>
      </c>
      <c r="AA79" s="168">
        <v>0.31638517622474</v>
      </c>
      <c r="AB79" t="s">
        <v>15</v>
      </c>
      <c r="AC79" t="s">
        <v>66</v>
      </c>
      <c r="AD79" s="31">
        <f t="shared" si="2"/>
        <v>0</v>
      </c>
    </row>
    <row r="80" ht="15.6" spans="1:30">
      <c r="A80" s="101"/>
      <c r="B80" s="147"/>
      <c r="C80" s="147"/>
      <c r="D80" s="107"/>
      <c r="E80" s="107"/>
      <c r="F80" s="107"/>
      <c r="G80" s="107"/>
      <c r="H80" s="107"/>
      <c r="I80" s="107"/>
      <c r="J80" s="107"/>
      <c r="K80" s="107"/>
      <c r="M80" s="147"/>
      <c r="N80" s="147"/>
      <c r="O80" s="107"/>
      <c r="P80" s="107"/>
      <c r="Q80" s="107"/>
      <c r="R80" s="107"/>
      <c r="S80" s="107"/>
      <c r="T80" s="107"/>
      <c r="U80" s="107"/>
      <c r="V80" s="107"/>
      <c r="Y80" s="172"/>
      <c r="Z80" s="167"/>
      <c r="AA80" s="168"/>
      <c r="AD80" s="31"/>
    </row>
    <row r="81" ht="15.6" spans="1:30">
      <c r="B81" s="147" t="s">
        <v>16</v>
      </c>
      <c r="C81" s="147" t="s">
        <v>76</v>
      </c>
      <c r="D81" s="107">
        <v>1.76740481118999</v>
      </c>
      <c r="E81" s="107">
        <v>1.84098612103234</v>
      </c>
      <c r="F81" s="107">
        <v>1.33880656620793</v>
      </c>
      <c r="G81" s="107">
        <v>2.27267048420429</v>
      </c>
      <c r="H81" s="107">
        <v>1.57563557131858</v>
      </c>
      <c r="I81" s="107">
        <v>1.43179049142458</v>
      </c>
      <c r="J81" s="107">
        <v>1.25840002895897</v>
      </c>
      <c r="K81" s="107">
        <v>1.80567990894121</v>
      </c>
      <c r="M81" s="147" t="s">
        <v>16</v>
      </c>
      <c r="N81" s="147" t="s">
        <v>76</v>
      </c>
      <c r="O81" s="107">
        <v>-1.34907387002682</v>
      </c>
      <c r="P81" s="107">
        <v>-1.46205901780192</v>
      </c>
      <c r="Q81" s="107">
        <v>-1.04392052133059</v>
      </c>
      <c r="R81" s="107">
        <v>-2.43351451924009</v>
      </c>
      <c r="S81" s="107">
        <v>-1.59888253199011</v>
      </c>
      <c r="T81" s="107">
        <v>-1.50643786533252</v>
      </c>
      <c r="U81" s="107">
        <v>-1.19037849000147</v>
      </c>
      <c r="V81" s="107">
        <v>-1.42353212486969</v>
      </c>
      <c r="Y81" s="172" t="s">
        <v>76</v>
      </c>
      <c r="Z81" s="167">
        <v>1.76740481118999</v>
      </c>
      <c r="AA81" s="168">
        <v>-1.34907387002682</v>
      </c>
      <c r="AB81" t="s">
        <v>16</v>
      </c>
      <c r="AC81" t="s">
        <v>76</v>
      </c>
      <c r="AD81" s="31">
        <f t="shared" si="2"/>
        <v>0</v>
      </c>
    </row>
    <row r="82" ht="15.6" spans="1:30">
      <c r="B82" s="147" t="s">
        <v>16</v>
      </c>
      <c r="C82" s="147" t="s">
        <v>78</v>
      </c>
      <c r="D82" s="107">
        <v>0.644168134292266</v>
      </c>
      <c r="E82" s="107">
        <v>0.628579610525789</v>
      </c>
      <c r="F82" s="107">
        <v>0.792926643834671</v>
      </c>
      <c r="G82" s="107">
        <v>1.06167170800373</v>
      </c>
      <c r="H82" s="107">
        <v>1.11092544850721</v>
      </c>
      <c r="I82" s="107">
        <v>1.24828884658578</v>
      </c>
      <c r="J82" s="107">
        <v>1.33010971891438</v>
      </c>
      <c r="K82" s="107">
        <v>0.925679022390248</v>
      </c>
      <c r="M82" s="147" t="s">
        <v>16</v>
      </c>
      <c r="N82" s="147" t="s">
        <v>78</v>
      </c>
      <c r="O82" s="107">
        <v>0.560621331229049</v>
      </c>
      <c r="P82" s="107">
        <v>0.511383958638192</v>
      </c>
      <c r="Q82" s="107">
        <v>-0.0518821906481303</v>
      </c>
      <c r="R82" s="107">
        <v>-1.24021745590572</v>
      </c>
      <c r="S82" s="107">
        <v>-1.15822405649543</v>
      </c>
      <c r="T82" s="107">
        <v>-1.42142871474468</v>
      </c>
      <c r="U82" s="107">
        <v>-1.15631290332062</v>
      </c>
      <c r="V82" s="107">
        <v>0.848240694019385</v>
      </c>
      <c r="Y82" s="172" t="s">
        <v>78</v>
      </c>
      <c r="Z82" s="167">
        <v>0.644168134292266</v>
      </c>
      <c r="AA82" s="168">
        <v>0.560621331229049</v>
      </c>
      <c r="AB82" t="s">
        <v>16</v>
      </c>
      <c r="AC82" t="s">
        <v>78</v>
      </c>
      <c r="AD82" s="31">
        <f t="shared" si="2"/>
        <v>0</v>
      </c>
    </row>
    <row r="83" ht="15.6" spans="1:30">
      <c r="A83" s="101"/>
      <c r="B83" s="147" t="s">
        <v>16</v>
      </c>
      <c r="C83" s="147" t="s">
        <v>80</v>
      </c>
      <c r="D83" s="107">
        <v>1.03267397189238</v>
      </c>
      <c r="E83" s="107">
        <v>1.08576750789989</v>
      </c>
      <c r="F83" s="107">
        <v>1.24708394499068</v>
      </c>
      <c r="G83" s="107">
        <v>1.94244466121839</v>
      </c>
      <c r="H83" s="107">
        <v>1.63364061178695</v>
      </c>
      <c r="I83" s="107">
        <v>1.41262969002139</v>
      </c>
      <c r="J83" s="107">
        <v>1.18570330240256</v>
      </c>
      <c r="K83" s="107">
        <v>1.04121001449754</v>
      </c>
      <c r="M83" s="147" t="s">
        <v>16</v>
      </c>
      <c r="N83" s="147" t="s">
        <v>80</v>
      </c>
      <c r="O83" s="107">
        <v>6.40312401806621</v>
      </c>
      <c r="P83" s="107">
        <v>6.26630977533636</v>
      </c>
      <c r="Q83" s="107">
        <v>2.88620967013449</v>
      </c>
      <c r="R83" s="107">
        <v>-4.44733796686585</v>
      </c>
      <c r="S83" s="107">
        <v>-2.10131337642898</v>
      </c>
      <c r="T83" s="107">
        <v>-2.61109518913621</v>
      </c>
      <c r="U83" s="107">
        <v>-0.0795982318228116</v>
      </c>
      <c r="V83" s="107">
        <v>6.94029745430946</v>
      </c>
      <c r="Y83" s="172" t="s">
        <v>80</v>
      </c>
      <c r="Z83" s="167">
        <v>1.03267397189238</v>
      </c>
      <c r="AA83" s="168">
        <v>6.40312401806621</v>
      </c>
      <c r="AB83" t="s">
        <v>16</v>
      </c>
      <c r="AC83" t="s">
        <v>80</v>
      </c>
      <c r="AD83" s="31">
        <f t="shared" si="2"/>
        <v>0</v>
      </c>
    </row>
    <row r="84" ht="15.6" spans="1:30">
      <c r="A84" s="101"/>
      <c r="B84" s="147" t="s">
        <v>16</v>
      </c>
      <c r="C84" s="147" t="s">
        <v>82</v>
      </c>
      <c r="D84" s="107">
        <v>0.995329468583302</v>
      </c>
      <c r="E84" s="107">
        <v>1.00334767053147</v>
      </c>
      <c r="F84" s="107">
        <v>1.1391261790722</v>
      </c>
      <c r="G84" s="107">
        <v>1.64945108233769</v>
      </c>
      <c r="H84" s="107">
        <v>1.44608837190221</v>
      </c>
      <c r="I84" s="107">
        <v>1.18771625954298</v>
      </c>
      <c r="J84" s="107">
        <v>1.06971208530325</v>
      </c>
      <c r="K84" s="107">
        <v>0.993500767663377</v>
      </c>
      <c r="M84" s="147" t="s">
        <v>16</v>
      </c>
      <c r="N84" s="147" t="s">
        <v>82</v>
      </c>
      <c r="O84" s="107">
        <v>0.413400911179905</v>
      </c>
      <c r="P84" s="107">
        <v>0.320470595193538</v>
      </c>
      <c r="Q84" s="107">
        <v>-0.256544821839676</v>
      </c>
      <c r="R84" s="107">
        <v>-2.0840424866842</v>
      </c>
      <c r="S84" s="107">
        <v>-1.52446927732122</v>
      </c>
      <c r="T84" s="107">
        <v>-1.43616738983483</v>
      </c>
      <c r="U84" s="107">
        <v>-0.855938838610411</v>
      </c>
      <c r="V84" s="107">
        <v>0.500524995755747</v>
      </c>
      <c r="Y84" s="172" t="s">
        <v>82</v>
      </c>
      <c r="Z84" s="167">
        <v>0.995329468583302</v>
      </c>
      <c r="AA84" s="168">
        <v>0.413400911179905</v>
      </c>
      <c r="AB84" t="s">
        <v>16</v>
      </c>
      <c r="AC84" t="s">
        <v>82</v>
      </c>
      <c r="AD84" s="31">
        <f t="shared" si="2"/>
        <v>0</v>
      </c>
    </row>
    <row r="85" ht="15.6" spans="1:30">
      <c r="B85" s="147" t="s">
        <v>16</v>
      </c>
      <c r="C85" s="147" t="s">
        <v>84</v>
      </c>
      <c r="D85" s="107">
        <v>2.34218894560272</v>
      </c>
      <c r="E85" s="107">
        <v>2.24048494858255</v>
      </c>
      <c r="F85" s="107">
        <v>1.50180936096304</v>
      </c>
      <c r="G85" s="107">
        <v>1.98263069364054</v>
      </c>
      <c r="H85" s="107">
        <v>1.36316986218813</v>
      </c>
      <c r="I85" s="107">
        <v>1.12350460608914</v>
      </c>
      <c r="J85" s="107">
        <v>1.21487704158976</v>
      </c>
      <c r="K85" s="107">
        <v>2.26244017900628</v>
      </c>
      <c r="M85" s="147" t="s">
        <v>16</v>
      </c>
      <c r="N85" s="147" t="s">
        <v>84</v>
      </c>
      <c r="O85" s="107">
        <v>7.99168367139493</v>
      </c>
      <c r="P85" s="107">
        <v>6.00388209269452</v>
      </c>
      <c r="Q85" s="107">
        <v>10.3681177560931</v>
      </c>
      <c r="R85" s="107">
        <v>-8.86958690486222</v>
      </c>
      <c r="S85" s="107">
        <v>-2.6170203195209</v>
      </c>
      <c r="T85" s="107">
        <v>-3.56876249434415</v>
      </c>
      <c r="U85" s="107">
        <v>0.518838367857721</v>
      </c>
      <c r="V85" s="107">
        <v>6.00506404794129</v>
      </c>
      <c r="Y85" s="172" t="s">
        <v>84</v>
      </c>
      <c r="Z85" s="167">
        <v>2.34218894560272</v>
      </c>
      <c r="AA85" s="168">
        <v>7.99168367139493</v>
      </c>
      <c r="AB85" t="s">
        <v>16</v>
      </c>
      <c r="AC85" t="s">
        <v>84</v>
      </c>
      <c r="AD85" s="31">
        <f t="shared" si="2"/>
        <v>0</v>
      </c>
    </row>
    <row r="86" ht="15.6" spans="1:30">
      <c r="B86" s="147" t="s">
        <v>16</v>
      </c>
      <c r="C86" s="147" t="s">
        <v>86</v>
      </c>
      <c r="D86" s="107">
        <v>0.768320380947902</v>
      </c>
      <c r="E86" s="107">
        <v>0.743708367165731</v>
      </c>
      <c r="F86" s="107">
        <v>1.0997176612374</v>
      </c>
      <c r="G86" s="107">
        <v>1.41812378490732</v>
      </c>
      <c r="H86" s="107">
        <v>2.16938994397499</v>
      </c>
      <c r="I86" s="107">
        <v>1.65479102559261</v>
      </c>
      <c r="J86" s="107">
        <v>1.85151015381685</v>
      </c>
      <c r="K86" s="107">
        <v>0.864840428743104</v>
      </c>
      <c r="M86" s="147" t="s">
        <v>16</v>
      </c>
      <c r="N86" s="147" t="s">
        <v>86</v>
      </c>
      <c r="O86" s="107">
        <v>5.45877098695319</v>
      </c>
      <c r="P86" s="107">
        <v>5.22859312974556</v>
      </c>
      <c r="Q86" s="107">
        <v>2.60883824460768</v>
      </c>
      <c r="R86" s="107">
        <v>-2.76704847361048</v>
      </c>
      <c r="S86" s="107">
        <v>-2.44104223788762</v>
      </c>
      <c r="T86" s="107">
        <v>-2.72923221198549</v>
      </c>
      <c r="U86" s="107">
        <v>-1.04212435640756</v>
      </c>
      <c r="V86" s="107">
        <v>7.58433543878808</v>
      </c>
      <c r="Y86" s="172" t="s">
        <v>86</v>
      </c>
      <c r="Z86" s="167">
        <v>0.768320380947902</v>
      </c>
      <c r="AA86" s="168">
        <v>5.45877098695319</v>
      </c>
      <c r="AB86" t="s">
        <v>16</v>
      </c>
      <c r="AC86" t="s">
        <v>86</v>
      </c>
      <c r="AD86" s="31">
        <f t="shared" si="2"/>
        <v>0</v>
      </c>
    </row>
    <row r="87" ht="15.6" spans="1:30">
      <c r="B87" s="147" t="s">
        <v>16</v>
      </c>
      <c r="C87" s="147" t="s">
        <v>88</v>
      </c>
      <c r="D87" s="107">
        <v>2.07130482244956</v>
      </c>
      <c r="E87" s="107">
        <v>1.81429590874192</v>
      </c>
      <c r="F87" s="107">
        <v>2.2559592183662</v>
      </c>
      <c r="G87" s="107">
        <v>2.52194285748924</v>
      </c>
      <c r="H87" s="107">
        <v>1.24750969124446</v>
      </c>
      <c r="I87" s="107">
        <v>1.41646636957874</v>
      </c>
      <c r="J87" s="107">
        <v>1.71623118408746</v>
      </c>
      <c r="K87" s="107">
        <v>1.53884774980376</v>
      </c>
      <c r="M87" s="147" t="s">
        <v>16</v>
      </c>
      <c r="N87" s="147" t="s">
        <v>88</v>
      </c>
      <c r="O87" s="107">
        <v>1.77527427119247</v>
      </c>
      <c r="P87" s="107">
        <v>1.08027195234757</v>
      </c>
      <c r="Q87" s="107">
        <v>4.35703009587406</v>
      </c>
      <c r="R87" s="107">
        <v>-8.17725765088139</v>
      </c>
      <c r="S87" s="107">
        <v>-1.98022786018261</v>
      </c>
      <c r="T87" s="107">
        <v>-2.59581365415029</v>
      </c>
      <c r="U87" s="107">
        <v>-0.999214302057409</v>
      </c>
      <c r="V87" s="107">
        <v>1.75075754012356</v>
      </c>
      <c r="Y87" s="172" t="s">
        <v>88</v>
      </c>
      <c r="Z87" s="167">
        <v>2.07130482244956</v>
      </c>
      <c r="AA87" s="168">
        <v>1.77527427119247</v>
      </c>
      <c r="AB87" t="s">
        <v>16</v>
      </c>
      <c r="AC87" t="s">
        <v>88</v>
      </c>
      <c r="AD87" s="31">
        <f t="shared" si="2"/>
        <v>0</v>
      </c>
    </row>
    <row r="88" ht="15.6" spans="1:30">
      <c r="B88" s="147" t="s">
        <v>16</v>
      </c>
      <c r="C88" s="147" t="s">
        <v>90</v>
      </c>
      <c r="D88" s="107">
        <v>1.17536748515868</v>
      </c>
      <c r="E88" s="107">
        <v>1.18055284690091</v>
      </c>
      <c r="F88" s="107">
        <v>1.22848294905236</v>
      </c>
      <c r="G88" s="107">
        <v>1.73261755823997</v>
      </c>
      <c r="H88" s="107">
        <v>1.36131506495275</v>
      </c>
      <c r="I88" s="107">
        <v>1.42983361235223</v>
      </c>
      <c r="J88" s="107">
        <v>1.2603755559626</v>
      </c>
      <c r="K88" s="107">
        <v>1.19904655559445</v>
      </c>
      <c r="M88" s="147" t="s">
        <v>16</v>
      </c>
      <c r="N88" s="147" t="s">
        <v>90</v>
      </c>
      <c r="O88" s="107">
        <v>-0.203354740114767</v>
      </c>
      <c r="P88" s="107">
        <v>-0.291234462026995</v>
      </c>
      <c r="Q88" s="107">
        <v>-0.573428167316387</v>
      </c>
      <c r="R88" s="107">
        <v>-2.06923305338255</v>
      </c>
      <c r="S88" s="107">
        <v>-1.4194941444174</v>
      </c>
      <c r="T88" s="107">
        <v>-1.14840142566462</v>
      </c>
      <c r="U88" s="107">
        <v>-1.11453161140791</v>
      </c>
      <c r="V88" s="107">
        <v>0.0109397831237601</v>
      </c>
      <c r="Y88" s="172" t="s">
        <v>90</v>
      </c>
      <c r="Z88" s="167">
        <v>1.17536748515868</v>
      </c>
      <c r="AA88" s="168">
        <v>-0.203354740114767</v>
      </c>
      <c r="AB88" t="s">
        <v>16</v>
      </c>
      <c r="AC88" t="s">
        <v>90</v>
      </c>
      <c r="AD88" s="31">
        <f t="shared" si="2"/>
        <v>0</v>
      </c>
    </row>
    <row r="89" ht="15.6" spans="1:30">
      <c r="B89" s="147"/>
      <c r="C89" s="147"/>
      <c r="D89" s="107"/>
      <c r="E89" s="107"/>
      <c r="F89" s="107"/>
      <c r="G89" s="107"/>
      <c r="H89" s="107"/>
      <c r="I89" s="107"/>
      <c r="J89" s="107"/>
      <c r="K89" s="107"/>
      <c r="M89" s="147"/>
      <c r="N89" s="147"/>
      <c r="O89" s="107"/>
      <c r="P89" s="107"/>
      <c r="Q89" s="107"/>
      <c r="R89" s="107"/>
      <c r="S89" s="107"/>
      <c r="T89" s="107"/>
      <c r="U89" s="107"/>
      <c r="V89" s="107"/>
      <c r="Y89" s="172"/>
      <c r="Z89" s="167"/>
      <c r="AA89" s="168"/>
      <c r="AD89" s="31"/>
    </row>
    <row r="90" ht="15.6" spans="1:30">
      <c r="B90" s="147" t="s">
        <v>17</v>
      </c>
      <c r="C90" s="147" t="s">
        <v>114</v>
      </c>
      <c r="D90" s="107">
        <v>0.868809700947957</v>
      </c>
      <c r="E90" s="107">
        <v>0.753231500117993</v>
      </c>
      <c r="F90" s="107">
        <v>1.07405194796796</v>
      </c>
      <c r="G90" s="107">
        <v>1.26306378918983</v>
      </c>
      <c r="H90" s="107">
        <v>1.12003862994544</v>
      </c>
      <c r="I90" s="107">
        <v>1.06301650492555</v>
      </c>
      <c r="J90" s="107">
        <v>1.03735649912601</v>
      </c>
      <c r="K90" s="107">
        <v>0.894668937648455</v>
      </c>
      <c r="M90" s="147" t="s">
        <v>17</v>
      </c>
      <c r="N90" s="147" t="s">
        <v>114</v>
      </c>
      <c r="O90" s="107">
        <v>-0.661416103995708</v>
      </c>
      <c r="P90" s="107">
        <v>-0.582891409286952</v>
      </c>
      <c r="Q90" s="107">
        <v>-0.877296347500716</v>
      </c>
      <c r="R90" s="107">
        <v>-1.31957995806779</v>
      </c>
      <c r="S90" s="107">
        <v>-1.1275365578465</v>
      </c>
      <c r="T90" s="107">
        <v>-1.09603279304317</v>
      </c>
      <c r="U90" s="107">
        <v>-1.00595044002675</v>
      </c>
      <c r="V90" s="107">
        <v>-0.660226669083211</v>
      </c>
      <c r="Y90" s="172" t="s">
        <v>114</v>
      </c>
      <c r="Z90" s="167">
        <v>0.868809700947957</v>
      </c>
      <c r="AA90" s="168">
        <v>-0.661416103995708</v>
      </c>
      <c r="AB90" t="s">
        <v>17</v>
      </c>
      <c r="AC90" t="s">
        <v>114</v>
      </c>
      <c r="AD90" s="31">
        <f t="shared" si="2"/>
        <v>0</v>
      </c>
    </row>
    <row r="91" ht="15.6" spans="1:30">
      <c r="B91" s="147"/>
      <c r="C91" s="147"/>
      <c r="D91" s="107"/>
      <c r="E91" s="107"/>
      <c r="F91" s="107"/>
      <c r="G91" s="107"/>
      <c r="H91" s="107"/>
      <c r="I91" s="107"/>
      <c r="J91" s="107"/>
      <c r="K91" s="107"/>
      <c r="M91" s="147"/>
      <c r="N91" s="147"/>
      <c r="O91" s="107"/>
      <c r="P91" s="107"/>
      <c r="Q91" s="107"/>
      <c r="R91" s="107"/>
      <c r="S91" s="107"/>
      <c r="T91" s="107"/>
      <c r="U91" s="107"/>
      <c r="V91" s="107"/>
      <c r="Y91" s="172"/>
      <c r="Z91" s="167"/>
      <c r="AA91" s="168"/>
      <c r="AD91" s="31"/>
    </row>
    <row r="92" ht="15.6" spans="1:30">
      <c r="B92" s="147" t="s">
        <v>18</v>
      </c>
      <c r="C92" s="147" t="s">
        <v>102</v>
      </c>
      <c r="D92" s="107">
        <v>0.805750660144339</v>
      </c>
      <c r="E92" s="107">
        <v>0.852168347922496</v>
      </c>
      <c r="F92" s="107">
        <v>1.08069085640735</v>
      </c>
      <c r="G92" s="107">
        <v>1.54024663585196</v>
      </c>
      <c r="H92" s="107">
        <v>1.26148347734831</v>
      </c>
      <c r="I92" s="107">
        <v>1.04523360508211</v>
      </c>
      <c r="J92" s="107">
        <v>1.07316545581452</v>
      </c>
      <c r="K92" s="107">
        <v>0.729131504764526</v>
      </c>
      <c r="M92" s="147" t="s">
        <v>18</v>
      </c>
      <c r="N92" s="147" t="s">
        <v>102</v>
      </c>
      <c r="O92" s="107">
        <v>0.611269411209395</v>
      </c>
      <c r="P92" s="107">
        <v>0.598698015606482</v>
      </c>
      <c r="Q92" s="107">
        <v>-0.347645532249869</v>
      </c>
      <c r="R92" s="107">
        <v>-1.97002228044268</v>
      </c>
      <c r="S92" s="107">
        <v>-1.34068692512803</v>
      </c>
      <c r="T92" s="107">
        <v>-1.28744974947115</v>
      </c>
      <c r="U92" s="107">
        <v>-0.865849283614421</v>
      </c>
      <c r="V92" s="107">
        <v>0.828180500139801</v>
      </c>
      <c r="Y92" s="172" t="s">
        <v>102</v>
      </c>
      <c r="Z92" s="167">
        <v>0.805750660144339</v>
      </c>
      <c r="AA92" s="168">
        <v>0.611269411209395</v>
      </c>
      <c r="AB92" t="s">
        <v>18</v>
      </c>
      <c r="AC92" t="s">
        <v>102</v>
      </c>
      <c r="AD92" s="31">
        <f t="shared" si="2"/>
        <v>0</v>
      </c>
    </row>
    <row r="93" ht="15.6" spans="1:30">
      <c r="B93" s="147" t="s">
        <v>18</v>
      </c>
      <c r="C93" s="147" t="s">
        <v>104</v>
      </c>
      <c r="D93" s="107">
        <v>0.896834285290136</v>
      </c>
      <c r="E93" s="107">
        <v>0.84540667691092</v>
      </c>
      <c r="F93" s="107">
        <v>1.01833128122919</v>
      </c>
      <c r="G93" s="107">
        <v>0.847250640071678</v>
      </c>
      <c r="H93" s="107">
        <v>0.754112925393532</v>
      </c>
      <c r="I93" s="107">
        <v>0.750598882256723</v>
      </c>
      <c r="J93" s="107">
        <v>0.821203179049116</v>
      </c>
      <c r="K93" s="107">
        <v>0.733501468179022</v>
      </c>
      <c r="M93" s="147" t="s">
        <v>18</v>
      </c>
      <c r="N93" s="147" t="s">
        <v>104</v>
      </c>
      <c r="O93" s="107">
        <v>0.137401104897923</v>
      </c>
      <c r="P93" s="107">
        <v>0.0720453751879837</v>
      </c>
      <c r="Q93" s="107">
        <v>-0.254790642130755</v>
      </c>
      <c r="R93" s="107">
        <v>-1.21828052776055</v>
      </c>
      <c r="S93" s="107">
        <v>-0.817599664929603</v>
      </c>
      <c r="T93" s="107">
        <v>-0.959934934272958</v>
      </c>
      <c r="U93" s="107">
        <v>-0.656409684437932</v>
      </c>
      <c r="V93" s="107">
        <v>0.270011221146692</v>
      </c>
      <c r="Y93" s="172" t="s">
        <v>104</v>
      </c>
      <c r="Z93" s="167">
        <v>0.896834285290136</v>
      </c>
      <c r="AA93" s="168">
        <v>0.137401104897923</v>
      </c>
      <c r="AB93" t="s">
        <v>18</v>
      </c>
      <c r="AC93" t="s">
        <v>104</v>
      </c>
      <c r="AD93" s="31">
        <f t="shared" si="2"/>
        <v>0</v>
      </c>
    </row>
    <row r="94" ht="15.6" spans="1:30">
      <c r="B94" s="147" t="s">
        <v>18</v>
      </c>
      <c r="C94" s="147" t="s">
        <v>106</v>
      </c>
      <c r="D94" s="107">
        <v>0.704040995221032</v>
      </c>
      <c r="E94" s="107">
        <v>1.0586669896526</v>
      </c>
      <c r="F94" s="107">
        <v>0.493161620078021</v>
      </c>
      <c r="G94" s="107">
        <v>0.0267758296211675</v>
      </c>
      <c r="H94" s="107">
        <v>0.256129969745328</v>
      </c>
      <c r="I94" s="107">
        <v>0.68210163060711</v>
      </c>
      <c r="J94" s="107">
        <v>0.539838958127292</v>
      </c>
      <c r="K94" s="107">
        <v>1.03827318802169</v>
      </c>
      <c r="M94" s="147" t="s">
        <v>18</v>
      </c>
      <c r="N94" s="147" t="s">
        <v>106</v>
      </c>
      <c r="O94" s="107">
        <v>4.74760808752018</v>
      </c>
      <c r="P94" s="107">
        <v>5.58502532468457</v>
      </c>
      <c r="Q94" s="107">
        <v>1.66099251984236</v>
      </c>
      <c r="R94" s="107">
        <v>-0.831984462401107</v>
      </c>
      <c r="S94" s="107">
        <v>-0.49071090548762</v>
      </c>
      <c r="T94" s="107">
        <v>-1.60213198973604</v>
      </c>
      <c r="U94" s="107">
        <v>0.480527936931832</v>
      </c>
      <c r="V94" s="107">
        <v>5.81861803554747</v>
      </c>
      <c r="Y94" s="172" t="s">
        <v>106</v>
      </c>
      <c r="Z94" s="167">
        <v>0.704040995221032</v>
      </c>
      <c r="AA94" s="168">
        <v>4.74760808752018</v>
      </c>
      <c r="AB94" t="s">
        <v>18</v>
      </c>
      <c r="AC94" t="s">
        <v>106</v>
      </c>
      <c r="AD94" s="31">
        <f t="shared" si="2"/>
        <v>0</v>
      </c>
    </row>
    <row r="95" ht="15.6" spans="1:30">
      <c r="B95" s="147" t="s">
        <v>18</v>
      </c>
      <c r="C95" s="147" t="s">
        <v>126</v>
      </c>
      <c r="D95" s="107">
        <v>1.62190546750137</v>
      </c>
      <c r="E95" s="107">
        <v>1.44414054058776</v>
      </c>
      <c r="F95" s="107">
        <v>1.60402909052799</v>
      </c>
      <c r="G95" s="107">
        <v>0.900469779698604</v>
      </c>
      <c r="H95" s="107">
        <v>1.10875062710379</v>
      </c>
      <c r="I95" s="107">
        <v>1.48228680651372</v>
      </c>
      <c r="J95" s="107">
        <v>1.15811965238857</v>
      </c>
      <c r="K95" s="107">
        <v>1.19403083886648</v>
      </c>
      <c r="M95" s="147" t="s">
        <v>18</v>
      </c>
      <c r="N95" s="147" t="s">
        <v>126</v>
      </c>
      <c r="O95" s="107">
        <v>-0.450246087481057</v>
      </c>
      <c r="P95" s="107">
        <v>-0.529971387728946</v>
      </c>
      <c r="Q95" s="107">
        <v>-0.0708910843090084</v>
      </c>
      <c r="R95" s="107">
        <v>-1.72251345256209</v>
      </c>
      <c r="S95" s="107">
        <v>-1.25339881636155</v>
      </c>
      <c r="T95" s="107">
        <v>-1.82710066166467</v>
      </c>
      <c r="U95" s="107">
        <v>-0.950144107899952</v>
      </c>
      <c r="V95" s="107">
        <v>-0.311351034146017</v>
      </c>
      <c r="Y95" s="172" t="s">
        <v>126</v>
      </c>
      <c r="Z95" s="167">
        <v>1.62190546750137</v>
      </c>
      <c r="AA95" s="168">
        <v>-0.450246087481057</v>
      </c>
      <c r="AB95" t="s">
        <v>18</v>
      </c>
      <c r="AC95" t="s">
        <v>126</v>
      </c>
      <c r="AD95" s="31">
        <f t="shared" si="2"/>
        <v>0</v>
      </c>
    </row>
    <row r="96" ht="15.6" spans="1:30">
      <c r="B96" s="147"/>
      <c r="C96" s="147"/>
      <c r="D96" s="107"/>
      <c r="E96" s="107"/>
      <c r="F96" s="107"/>
      <c r="G96" s="107"/>
      <c r="H96" s="107"/>
      <c r="I96" s="107"/>
      <c r="J96" s="107"/>
      <c r="K96" s="107"/>
      <c r="M96" s="147"/>
      <c r="N96" s="147"/>
      <c r="O96" s="107"/>
      <c r="P96" s="107"/>
      <c r="Q96" s="107"/>
      <c r="R96" s="107"/>
      <c r="S96" s="107"/>
      <c r="T96" s="107"/>
      <c r="U96" s="107"/>
      <c r="V96" s="107"/>
      <c r="Y96" s="172"/>
      <c r="Z96" s="167"/>
      <c r="AA96" s="168"/>
      <c r="AD96" s="31"/>
    </row>
    <row r="97" ht="15.6" spans="2:30">
      <c r="B97" s="147" t="s">
        <v>19</v>
      </c>
      <c r="C97" s="147" t="s">
        <v>100</v>
      </c>
      <c r="D97" s="107">
        <v>1.43289101284321</v>
      </c>
      <c r="E97" s="107">
        <v>1.33456297673667</v>
      </c>
      <c r="F97" s="107">
        <v>2.07297113572082</v>
      </c>
      <c r="G97" s="107">
        <v>1.65185484266432</v>
      </c>
      <c r="H97" s="107">
        <v>1.34741300163437</v>
      </c>
      <c r="I97" s="107">
        <v>1.65103944860256</v>
      </c>
      <c r="J97" s="107">
        <v>1.58708580782011</v>
      </c>
      <c r="K97" s="107">
        <v>0.981369278936206</v>
      </c>
      <c r="M97" s="147" t="s">
        <v>19</v>
      </c>
      <c r="N97" s="147" t="s">
        <v>100</v>
      </c>
      <c r="O97" s="107">
        <v>-0.795567465726928</v>
      </c>
      <c r="P97" s="107">
        <v>-0.771169071179381</v>
      </c>
      <c r="Q97" s="107">
        <v>-1.58646060591604</v>
      </c>
      <c r="R97" s="107">
        <v>-2.09865911726062</v>
      </c>
      <c r="S97" s="107">
        <v>-1.41759787794902</v>
      </c>
      <c r="T97" s="107">
        <v>-1.81856113341219</v>
      </c>
      <c r="U97" s="107">
        <v>-1.47302610469872</v>
      </c>
      <c r="V97" s="107">
        <v>-0.487726549498484</v>
      </c>
      <c r="Y97" s="172" t="s">
        <v>100</v>
      </c>
      <c r="Z97" s="167">
        <v>1.43289101284321</v>
      </c>
      <c r="AA97" s="168">
        <v>-0.795567465726928</v>
      </c>
      <c r="AB97" t="s">
        <v>19</v>
      </c>
      <c r="AC97" t="s">
        <v>100</v>
      </c>
      <c r="AD97" s="31">
        <f t="shared" si="2"/>
        <v>0</v>
      </c>
    </row>
    <row r="98" ht="15.6" spans="2:30">
      <c r="B98" s="147" t="s">
        <v>19</v>
      </c>
      <c r="C98" s="147" t="s">
        <v>110</v>
      </c>
      <c r="D98" s="107">
        <v>0.609689248270689</v>
      </c>
      <c r="E98" s="107">
        <v>0.597764985816433</v>
      </c>
      <c r="F98" s="107">
        <v>0.918591801191355</v>
      </c>
      <c r="G98" s="107">
        <v>1.06329377469646</v>
      </c>
      <c r="H98" s="107">
        <v>1.08308795416213</v>
      </c>
      <c r="I98" s="107">
        <v>1.05588977315966</v>
      </c>
      <c r="J98" s="107">
        <v>0.938573900586868</v>
      </c>
      <c r="K98" s="107">
        <v>0.569736122370851</v>
      </c>
      <c r="M98" s="147" t="s">
        <v>19</v>
      </c>
      <c r="N98" s="147" t="s">
        <v>110</v>
      </c>
      <c r="O98" s="107">
        <v>-0.113075152882077</v>
      </c>
      <c r="P98" s="107">
        <v>-0.10494168675856</v>
      </c>
      <c r="Q98" s="107">
        <v>-0.645207100248255</v>
      </c>
      <c r="R98" s="107">
        <v>-1.17773395568542</v>
      </c>
      <c r="S98" s="107">
        <v>-1.1053972462718</v>
      </c>
      <c r="T98" s="107">
        <v>-1.13884958496309</v>
      </c>
      <c r="U98" s="107">
        <v>-0.865905315982735</v>
      </c>
      <c r="V98" s="107">
        <v>0.0340360031736429</v>
      </c>
      <c r="Y98" s="172" t="s">
        <v>110</v>
      </c>
      <c r="Z98" s="167">
        <v>0.609689248270689</v>
      </c>
      <c r="AA98" s="168">
        <v>-0.113075152882077</v>
      </c>
      <c r="AB98" t="s">
        <v>19</v>
      </c>
      <c r="AC98" t="s">
        <v>110</v>
      </c>
      <c r="AD98" s="31">
        <f t="shared" si="2"/>
        <v>0</v>
      </c>
    </row>
    <row r="99" ht="15.6" spans="2:30">
      <c r="B99" s="147"/>
      <c r="C99" s="147"/>
      <c r="D99" s="107"/>
      <c r="E99" s="107"/>
      <c r="F99" s="107"/>
      <c r="G99" s="107"/>
      <c r="H99" s="107"/>
      <c r="I99" s="107"/>
      <c r="J99" s="107"/>
      <c r="K99" s="107"/>
      <c r="M99" s="147"/>
      <c r="N99" s="147"/>
      <c r="O99" s="107"/>
      <c r="P99" s="107"/>
      <c r="Q99" s="107"/>
      <c r="R99" s="107"/>
      <c r="S99" s="107"/>
      <c r="T99" s="107"/>
      <c r="U99" s="107"/>
      <c r="V99" s="107"/>
      <c r="Y99" s="172"/>
      <c r="Z99" s="167"/>
      <c r="AA99" s="168"/>
      <c r="AD99" s="31"/>
    </row>
    <row r="100" ht="15.6" spans="2:30">
      <c r="B100" s="147" t="s">
        <v>21</v>
      </c>
      <c r="C100" s="147" t="s">
        <v>96</v>
      </c>
      <c r="D100" s="107">
        <v>0.282769880054513</v>
      </c>
      <c r="E100" s="107">
        <v>0.289158225069576</v>
      </c>
      <c r="F100" s="107">
        <v>0.377549755236522</v>
      </c>
      <c r="G100" s="107">
        <v>0.539401732012554</v>
      </c>
      <c r="H100" s="107">
        <v>0.63092648185809</v>
      </c>
      <c r="I100" s="107">
        <v>0.614462617817971</v>
      </c>
      <c r="J100" s="107">
        <v>0.546419902321566</v>
      </c>
      <c r="K100" s="107">
        <v>0.352148804018844</v>
      </c>
      <c r="M100" s="147" t="s">
        <v>21</v>
      </c>
      <c r="N100" s="147" t="s">
        <v>96</v>
      </c>
      <c r="O100" s="107">
        <v>-0.207152666384111</v>
      </c>
      <c r="P100" s="107">
        <v>-0.210933346033496</v>
      </c>
      <c r="Q100" s="107">
        <v>-0.350719368051238</v>
      </c>
      <c r="R100" s="107">
        <v>-0.581069442334976</v>
      </c>
      <c r="S100" s="107">
        <v>-0.655640605585785</v>
      </c>
      <c r="T100" s="107">
        <v>-0.646115919136059</v>
      </c>
      <c r="U100" s="107">
        <v>-0.550343733491218</v>
      </c>
      <c r="V100" s="107">
        <v>-0.225088655346553</v>
      </c>
      <c r="Y100" s="172" t="s">
        <v>96</v>
      </c>
      <c r="Z100" s="167">
        <v>0.282769880054513</v>
      </c>
      <c r="AA100" s="168">
        <v>-0.207152666384111</v>
      </c>
      <c r="AB100" t="s">
        <v>21</v>
      </c>
      <c r="AC100" t="s">
        <v>96</v>
      </c>
      <c r="AD100" s="31">
        <f t="shared" si="2"/>
        <v>0</v>
      </c>
    </row>
    <row r="101" ht="15.6" spans="2:30">
      <c r="B101" s="147"/>
      <c r="C101" s="147"/>
      <c r="D101" s="107"/>
      <c r="E101" s="107"/>
      <c r="F101" s="107"/>
      <c r="G101" s="107"/>
      <c r="H101" s="107"/>
      <c r="I101" s="107"/>
      <c r="J101" s="107"/>
      <c r="K101" s="107"/>
      <c r="M101" s="147"/>
      <c r="N101" s="147"/>
      <c r="O101" s="107"/>
      <c r="P101" s="107"/>
      <c r="Q101" s="107"/>
      <c r="R101" s="107"/>
      <c r="S101" s="107"/>
      <c r="T101" s="107"/>
      <c r="U101" s="107"/>
      <c r="V101" s="107"/>
      <c r="Y101" s="172"/>
      <c r="Z101" s="167"/>
      <c r="AA101" s="168"/>
      <c r="AD101" s="31"/>
    </row>
    <row r="102" ht="15.6" spans="2:30">
      <c r="B102" s="147" t="s">
        <v>23</v>
      </c>
      <c r="C102" s="147" t="s">
        <v>94</v>
      </c>
      <c r="D102" s="107">
        <v>1.3038133726378</v>
      </c>
      <c r="E102" s="107">
        <v>1.29386454544465</v>
      </c>
      <c r="F102" s="107">
        <v>2.17748501921423</v>
      </c>
      <c r="G102" s="107">
        <v>1.56444211499822</v>
      </c>
      <c r="H102" s="107">
        <v>2.01529249428286</v>
      </c>
      <c r="I102" s="107">
        <v>2.0466601459853</v>
      </c>
      <c r="J102" s="107">
        <v>1.69420653309802</v>
      </c>
      <c r="K102" s="107">
        <v>0.951372190440668</v>
      </c>
      <c r="M102" s="147" t="s">
        <v>23</v>
      </c>
      <c r="N102" s="147" t="s">
        <v>94</v>
      </c>
      <c r="O102" s="107">
        <v>-1.04803403045546</v>
      </c>
      <c r="P102" s="107">
        <v>-1.03212343274724</v>
      </c>
      <c r="Q102" s="107">
        <v>-1.97923627070398</v>
      </c>
      <c r="R102" s="107">
        <v>-1.7287455108894</v>
      </c>
      <c r="S102" s="107">
        <v>-2.00662893170799</v>
      </c>
      <c r="T102" s="107">
        <v>-2.06296067804812</v>
      </c>
      <c r="U102" s="107">
        <v>-1.62971090691207</v>
      </c>
      <c r="V102" s="107">
        <v>-0.739509742716399</v>
      </c>
      <c r="Y102" s="172" t="s">
        <v>94</v>
      </c>
      <c r="Z102" s="167">
        <v>1.3038133726378</v>
      </c>
      <c r="AA102" s="168">
        <v>-1.04803403045546</v>
      </c>
      <c r="AB102" t="s">
        <v>23</v>
      </c>
      <c r="AC102" t="s">
        <v>94</v>
      </c>
      <c r="AD102" s="31">
        <f t="shared" si="2"/>
        <v>0</v>
      </c>
    </row>
    <row r="103" ht="15.6" spans="2:30">
      <c r="B103" s="147"/>
      <c r="C103" s="147"/>
      <c r="D103" s="107"/>
      <c r="E103" s="107"/>
      <c r="F103" s="107"/>
      <c r="G103" s="107"/>
      <c r="H103" s="107"/>
      <c r="I103" s="107"/>
      <c r="J103" s="107"/>
      <c r="K103" s="107"/>
      <c r="M103" s="147"/>
      <c r="N103" s="147"/>
      <c r="O103" s="107"/>
      <c r="P103" s="107"/>
      <c r="Q103" s="107"/>
      <c r="R103" s="107"/>
      <c r="S103" s="107"/>
      <c r="T103" s="107"/>
      <c r="U103" s="107"/>
      <c r="V103" s="107"/>
      <c r="Y103" s="172"/>
      <c r="Z103" s="167"/>
      <c r="AA103" s="168"/>
      <c r="AD103" s="31"/>
    </row>
    <row r="104" ht="15.6" spans="2:30">
      <c r="B104" s="147" t="s">
        <v>24</v>
      </c>
      <c r="C104" s="147" t="s">
        <v>70</v>
      </c>
      <c r="D104" s="107">
        <v>1.09662139831363</v>
      </c>
      <c r="E104" s="107">
        <v>1.05712329084614</v>
      </c>
      <c r="F104" s="107">
        <v>1.15101645502857</v>
      </c>
      <c r="G104" s="107">
        <v>1.52030202186707</v>
      </c>
      <c r="H104" s="107">
        <v>1.47223936638124</v>
      </c>
      <c r="I104" s="107">
        <v>1.29249397713029</v>
      </c>
      <c r="J104" s="107">
        <v>1.22084748988729</v>
      </c>
      <c r="K104" s="107">
        <v>0.913014674484721</v>
      </c>
      <c r="M104" s="147" t="s">
        <v>24</v>
      </c>
      <c r="N104" s="147" t="s">
        <v>70</v>
      </c>
      <c r="O104" s="107">
        <v>-0.859826630490978</v>
      </c>
      <c r="P104" s="107">
        <v>-0.848806317124891</v>
      </c>
      <c r="Q104" s="107">
        <v>-0.971327613255487</v>
      </c>
      <c r="R104" s="107">
        <v>-1.60880084646957</v>
      </c>
      <c r="S104" s="107">
        <v>-1.47622934761601</v>
      </c>
      <c r="T104" s="107">
        <v>-1.32905673672447</v>
      </c>
      <c r="U104" s="107">
        <v>-1.17869277330684</v>
      </c>
      <c r="V104" s="107">
        <v>-0.692289746633747</v>
      </c>
      <c r="Y104" s="172" t="s">
        <v>70</v>
      </c>
      <c r="Z104" s="167">
        <v>1.09662139831363</v>
      </c>
      <c r="AA104" s="168">
        <v>-0.859826630490978</v>
      </c>
      <c r="AB104" t="s">
        <v>24</v>
      </c>
      <c r="AC104" t="s">
        <v>70</v>
      </c>
      <c r="AD104" s="31">
        <f t="shared" si="2"/>
        <v>0</v>
      </c>
    </row>
    <row r="105" ht="15.6" spans="2:30">
      <c r="B105" s="147"/>
      <c r="C105" s="147"/>
      <c r="D105" s="107"/>
      <c r="E105" s="107"/>
      <c r="F105" s="107"/>
      <c r="G105" s="107"/>
      <c r="H105" s="107"/>
      <c r="I105" s="107"/>
      <c r="J105" s="107"/>
      <c r="K105" s="107"/>
      <c r="M105" s="147"/>
      <c r="N105" s="147"/>
      <c r="O105" s="107"/>
      <c r="P105" s="107"/>
      <c r="Q105" s="107"/>
      <c r="R105" s="107"/>
      <c r="S105" s="107"/>
      <c r="T105" s="107"/>
      <c r="U105" s="107"/>
      <c r="V105" s="107"/>
      <c r="Y105" s="172"/>
      <c r="Z105" s="167"/>
      <c r="AA105" s="168"/>
      <c r="AD105" s="31"/>
    </row>
    <row r="106" ht="15.6" spans="2:30">
      <c r="B106" s="147" t="s">
        <v>25</v>
      </c>
      <c r="C106" s="147" t="s">
        <v>120</v>
      </c>
      <c r="D106" s="107">
        <v>2.61976740501884</v>
      </c>
      <c r="E106" s="107">
        <v>2.54565708446099</v>
      </c>
      <c r="F106" s="107">
        <v>2.95216078974683</v>
      </c>
      <c r="G106" s="107">
        <v>2.37673568434062</v>
      </c>
      <c r="H106" s="107">
        <v>3.42030503743889</v>
      </c>
      <c r="I106" s="107">
        <v>2.7655934338115</v>
      </c>
      <c r="J106" s="107">
        <v>2.93486440592952</v>
      </c>
      <c r="K106" s="107">
        <v>1.88790836961903</v>
      </c>
      <c r="M106" s="147" t="s">
        <v>25</v>
      </c>
      <c r="N106" s="147" t="s">
        <v>120</v>
      </c>
      <c r="O106" s="107">
        <v>-2.30689950678312</v>
      </c>
      <c r="P106" s="107">
        <v>-2.24941487697445</v>
      </c>
      <c r="Q106" s="107">
        <v>-2.63356988309679</v>
      </c>
      <c r="R106" s="107">
        <v>-2.48624594680406</v>
      </c>
      <c r="S106" s="107">
        <v>-3.28927213579297</v>
      </c>
      <c r="T106" s="107">
        <v>-2.69473126707847</v>
      </c>
      <c r="U106" s="107">
        <v>-2.72408738714691</v>
      </c>
      <c r="V106" s="107">
        <v>-1.69062358387397</v>
      </c>
      <c r="Y106" s="172" t="s">
        <v>120</v>
      </c>
      <c r="Z106" s="167">
        <v>2.61976740501884</v>
      </c>
      <c r="AA106" s="168">
        <v>-2.30689950678312</v>
      </c>
      <c r="AB106" t="s">
        <v>25</v>
      </c>
      <c r="AC106" t="s">
        <v>120</v>
      </c>
      <c r="AD106" s="31">
        <f t="shared" si="2"/>
        <v>0</v>
      </c>
    </row>
    <row r="107" ht="15.6" spans="2:30">
      <c r="B107" s="147" t="s">
        <v>25</v>
      </c>
      <c r="C107" s="147" t="s">
        <v>122</v>
      </c>
      <c r="D107" s="107">
        <v>0.445441507147527</v>
      </c>
      <c r="E107" s="107">
        <v>0.41501253051714</v>
      </c>
      <c r="F107" s="107">
        <v>0.798404437965162</v>
      </c>
      <c r="G107" s="107">
        <v>1.1558475586695</v>
      </c>
      <c r="H107" s="107">
        <v>1.2684816838082</v>
      </c>
      <c r="I107" s="107">
        <v>0.985518451049952</v>
      </c>
      <c r="J107" s="107">
        <v>0.946722807345851</v>
      </c>
      <c r="K107" s="107">
        <v>0.317216559240381</v>
      </c>
      <c r="M107" s="147" t="s">
        <v>25</v>
      </c>
      <c r="N107" s="147" t="s">
        <v>122</v>
      </c>
      <c r="O107" s="107">
        <v>-0.142948283104102</v>
      </c>
      <c r="P107" s="107">
        <v>-0.109432785168529</v>
      </c>
      <c r="Q107" s="107">
        <v>-0.639627482608415</v>
      </c>
      <c r="R107" s="107">
        <v>-1.23049402845947</v>
      </c>
      <c r="S107" s="107">
        <v>-1.27485789089938</v>
      </c>
      <c r="T107" s="107">
        <v>-1.03077791996571</v>
      </c>
      <c r="U107" s="107">
        <v>-0.906054330894774</v>
      </c>
      <c r="V107" s="107">
        <v>0.085248748751114</v>
      </c>
      <c r="Y107" s="172" t="s">
        <v>122</v>
      </c>
      <c r="Z107" s="167">
        <v>0.445441507147527</v>
      </c>
      <c r="AA107" s="168">
        <v>-0.142948283104102</v>
      </c>
      <c r="AB107" t="s">
        <v>25</v>
      </c>
      <c r="AC107" t="s">
        <v>122</v>
      </c>
      <c r="AD107" s="31">
        <f t="shared" si="2"/>
        <v>0</v>
      </c>
    </row>
    <row r="108" ht="15.6" spans="2:30">
      <c r="B108" s="147"/>
      <c r="C108" s="147"/>
      <c r="D108" s="107"/>
      <c r="E108" s="107"/>
      <c r="F108" s="107"/>
      <c r="G108" s="107"/>
      <c r="H108" s="107"/>
      <c r="I108" s="107"/>
      <c r="J108" s="107"/>
      <c r="K108" s="107"/>
      <c r="M108" s="147"/>
      <c r="N108" s="147"/>
      <c r="O108" s="107"/>
      <c r="P108" s="107"/>
      <c r="Q108" s="107"/>
      <c r="R108" s="107"/>
      <c r="S108" s="107"/>
      <c r="T108" s="107"/>
      <c r="U108" s="107"/>
      <c r="V108" s="107"/>
      <c r="Y108" s="172"/>
      <c r="Z108" s="167"/>
      <c r="AA108" s="168"/>
      <c r="AD108" s="31"/>
    </row>
    <row r="109" ht="15.6" spans="2:30">
      <c r="B109" s="147" t="s">
        <v>26</v>
      </c>
      <c r="C109" s="147" t="s">
        <v>124</v>
      </c>
      <c r="D109" s="107">
        <v>1.23981920758097</v>
      </c>
      <c r="E109" s="107">
        <v>1.12354851621982</v>
      </c>
      <c r="F109" s="107">
        <v>1.25724615690893</v>
      </c>
      <c r="G109" s="107">
        <v>1.36022266757349</v>
      </c>
      <c r="H109" s="107">
        <v>1.54201207283227</v>
      </c>
      <c r="I109" s="107">
        <v>1.31887645909898</v>
      </c>
      <c r="J109" s="107">
        <v>1.24173505636718</v>
      </c>
      <c r="K109" s="107">
        <v>1.01394476737145</v>
      </c>
      <c r="M109" s="147" t="s">
        <v>26</v>
      </c>
      <c r="N109" s="147" t="s">
        <v>124</v>
      </c>
      <c r="O109" s="107">
        <v>-0.983734685575697</v>
      </c>
      <c r="P109" s="107">
        <v>-0.915957099788283</v>
      </c>
      <c r="Q109" s="107">
        <v>-0.998835330559544</v>
      </c>
      <c r="R109" s="107">
        <v>-1.46611085337052</v>
      </c>
      <c r="S109" s="107">
        <v>-1.54646322537606</v>
      </c>
      <c r="T109" s="107">
        <v>-1.36613670310287</v>
      </c>
      <c r="U109" s="107">
        <v>-1.19500723245486</v>
      </c>
      <c r="V109" s="107">
        <v>-0.791024839933426</v>
      </c>
      <c r="Y109" s="172" t="s">
        <v>124</v>
      </c>
      <c r="Z109" s="167">
        <v>1.23981920758097</v>
      </c>
      <c r="AA109" s="168">
        <v>-0.983734685575697</v>
      </c>
      <c r="AB109" t="s">
        <v>26</v>
      </c>
      <c r="AC109" t="s">
        <v>124</v>
      </c>
      <c r="AD109" s="31">
        <f t="shared" si="2"/>
        <v>0</v>
      </c>
    </row>
    <row r="110" ht="15.6" spans="2:30">
      <c r="B110" s="147"/>
      <c r="C110" s="147"/>
      <c r="D110" s="107"/>
      <c r="E110" s="107"/>
      <c r="F110" s="107"/>
      <c r="G110" s="107"/>
      <c r="H110" s="107"/>
      <c r="I110" s="107"/>
      <c r="J110" s="107"/>
      <c r="K110" s="107"/>
      <c r="M110" s="147"/>
      <c r="N110" s="147"/>
      <c r="O110" s="107"/>
      <c r="P110" s="107"/>
      <c r="Q110" s="107"/>
      <c r="R110" s="107"/>
      <c r="S110" s="107"/>
      <c r="T110" s="107"/>
      <c r="U110" s="107"/>
      <c r="V110" s="107"/>
      <c r="Y110" s="172"/>
      <c r="Z110" s="167"/>
      <c r="AA110" s="168"/>
      <c r="AD110" s="31"/>
    </row>
    <row r="111" ht="15.6" spans="2:30">
      <c r="B111" s="147" t="s">
        <v>28</v>
      </c>
      <c r="C111" s="147" t="s">
        <v>92</v>
      </c>
      <c r="D111" s="107">
        <v>0.873890134044212</v>
      </c>
      <c r="E111" s="107">
        <v>0.765162834735127</v>
      </c>
      <c r="F111" s="107">
        <v>0.620597628418775</v>
      </c>
      <c r="G111" s="107">
        <v>0.46182747083872</v>
      </c>
      <c r="H111" s="107">
        <v>0.347022650154606</v>
      </c>
      <c r="I111" s="107">
        <v>0.4446658440014</v>
      </c>
      <c r="J111" s="107">
        <v>0.442838814561491</v>
      </c>
      <c r="K111" s="107">
        <v>0.854890340942187</v>
      </c>
      <c r="M111" s="147" t="s">
        <v>28</v>
      </c>
      <c r="N111" s="147" t="s">
        <v>92</v>
      </c>
      <c r="O111" s="107">
        <v>-0.855420563223285</v>
      </c>
      <c r="P111" s="107">
        <v>-0.766993135870193</v>
      </c>
      <c r="Q111" s="107">
        <v>-0.600620780850266</v>
      </c>
      <c r="R111" s="107">
        <v>-0.507303801545205</v>
      </c>
      <c r="S111" s="107">
        <v>-0.380605228707132</v>
      </c>
      <c r="T111" s="107">
        <v>-0.487347063000226</v>
      </c>
      <c r="U111" s="107">
        <v>-0.473011147689648</v>
      </c>
      <c r="V111" s="107">
        <v>-0.837860166031653</v>
      </c>
      <c r="Y111" s="172" t="s">
        <v>92</v>
      </c>
      <c r="Z111" s="167">
        <v>0.873890134044212</v>
      </c>
      <c r="AA111" s="168">
        <v>-0.855420563223285</v>
      </c>
      <c r="AB111" t="s">
        <v>28</v>
      </c>
      <c r="AC111" t="s">
        <v>92</v>
      </c>
      <c r="AD111" s="31">
        <f t="shared" si="2"/>
        <v>0</v>
      </c>
    </row>
    <row r="112" ht="15.6" spans="2:30">
      <c r="B112" s="147" t="s">
        <v>28</v>
      </c>
      <c r="C112" s="147" t="s">
        <v>128</v>
      </c>
      <c r="D112" s="107">
        <v>1.32847078873572</v>
      </c>
      <c r="E112" s="107">
        <v>1.60663380366574</v>
      </c>
      <c r="F112" s="107">
        <v>1.41606175651571</v>
      </c>
      <c r="G112" s="107">
        <v>2.05403994627996</v>
      </c>
      <c r="H112" s="107">
        <v>2.03686775766776</v>
      </c>
      <c r="I112" s="107">
        <v>1.14983277914707</v>
      </c>
      <c r="J112" s="107">
        <v>1.59977736989467</v>
      </c>
      <c r="K112" s="107">
        <v>1.23360501359462</v>
      </c>
      <c r="M112" s="147" t="s">
        <v>28</v>
      </c>
      <c r="N112" s="147" t="s">
        <v>128</v>
      </c>
      <c r="O112" s="107">
        <v>3.56716904236272</v>
      </c>
      <c r="P112" s="107">
        <v>3.82535673784587</v>
      </c>
      <c r="Q112" s="107">
        <v>0.787585779337041</v>
      </c>
      <c r="R112" s="107">
        <v>-4.43745395754091</v>
      </c>
      <c r="S112" s="107">
        <v>-2.33632234499488</v>
      </c>
      <c r="T112" s="107">
        <v>-2.17013988609136</v>
      </c>
      <c r="U112" s="107">
        <v>-0.852612241862605</v>
      </c>
      <c r="V112" s="107">
        <v>3.41301134023945</v>
      </c>
      <c r="Y112" s="172" t="s">
        <v>128</v>
      </c>
      <c r="Z112" s="167">
        <v>1.32847078873572</v>
      </c>
      <c r="AA112" s="168">
        <v>3.56716904236272</v>
      </c>
      <c r="AB112" t="s">
        <v>28</v>
      </c>
      <c r="AC112" t="s">
        <v>128</v>
      </c>
      <c r="AD112" s="31">
        <f t="shared" si="2"/>
        <v>0</v>
      </c>
    </row>
    <row r="113" ht="15.6" spans="1:30">
      <c r="B113" s="147"/>
      <c r="C113" s="147"/>
      <c r="D113" s="107"/>
      <c r="E113" s="107"/>
      <c r="F113" s="107"/>
      <c r="G113" s="107"/>
      <c r="H113" s="107"/>
      <c r="I113" s="107"/>
      <c r="J113" s="107"/>
      <c r="K113" s="107"/>
      <c r="M113" s="147"/>
      <c r="N113" s="147"/>
      <c r="O113" s="107"/>
      <c r="P113" s="107"/>
      <c r="Q113" s="107"/>
      <c r="R113" s="107"/>
      <c r="S113" s="107"/>
      <c r="T113" s="107"/>
      <c r="U113" s="107"/>
      <c r="V113" s="107"/>
      <c r="Y113" s="172"/>
      <c r="Z113" s="167"/>
      <c r="AA113" s="168"/>
      <c r="AD113" s="31"/>
    </row>
    <row r="114" ht="15.6" spans="1:30">
      <c r="B114" s="147" t="s">
        <v>30</v>
      </c>
      <c r="C114" s="147" t="s">
        <v>116</v>
      </c>
      <c r="D114" s="107">
        <v>1.21376939422637</v>
      </c>
      <c r="E114" s="107">
        <v>1.1672185921567</v>
      </c>
      <c r="F114" s="107">
        <v>1.39327323943335</v>
      </c>
      <c r="G114" s="107">
        <v>1.53248807075573</v>
      </c>
      <c r="H114" s="107">
        <v>1.56653899878803</v>
      </c>
      <c r="I114" s="107">
        <v>1.20708017205478</v>
      </c>
      <c r="J114" s="107">
        <v>1.2482870411127</v>
      </c>
      <c r="K114" s="107">
        <v>1.00084985920072</v>
      </c>
      <c r="M114" s="147" t="s">
        <v>30</v>
      </c>
      <c r="N114" s="147" t="s">
        <v>116</v>
      </c>
      <c r="O114" s="107">
        <v>-1.1134006154617</v>
      </c>
      <c r="P114" s="107">
        <v>-1.0800274860382</v>
      </c>
      <c r="Q114" s="107">
        <v>-1.29983902640676</v>
      </c>
      <c r="R114" s="107">
        <v>-1.53744134761456</v>
      </c>
      <c r="S114" s="107">
        <v>-1.52799912308911</v>
      </c>
      <c r="T114" s="107">
        <v>-1.21229199647576</v>
      </c>
      <c r="U114" s="107">
        <v>-1.21573731190404</v>
      </c>
      <c r="V114" s="107">
        <v>-0.924615509800393</v>
      </c>
      <c r="Y114" s="172" t="s">
        <v>116</v>
      </c>
      <c r="Z114" s="167">
        <v>1.21376939422637</v>
      </c>
      <c r="AA114" s="168">
        <v>-1.1134006154617</v>
      </c>
      <c r="AB114" t="s">
        <v>30</v>
      </c>
      <c r="AC114" t="s">
        <v>116</v>
      </c>
      <c r="AD114" s="31">
        <f t="shared" si="2"/>
        <v>0</v>
      </c>
    </row>
    <row r="115" ht="15.6" spans="1:30">
      <c r="B115" s="147" t="s">
        <v>30</v>
      </c>
      <c r="C115" s="147" t="s">
        <v>134</v>
      </c>
      <c r="D115" s="107">
        <v>1.95850281158035</v>
      </c>
      <c r="E115" s="107">
        <v>1.80559917377313</v>
      </c>
      <c r="F115" s="107">
        <v>1.07764344545864</v>
      </c>
      <c r="G115" s="107">
        <v>1.08684548112187</v>
      </c>
      <c r="H115" s="107">
        <v>1.07027458760249</v>
      </c>
      <c r="I115" s="107">
        <v>1.46326840071822</v>
      </c>
      <c r="J115" s="107">
        <v>1.62976883303248</v>
      </c>
      <c r="K115" s="107">
        <v>1.83309477228346</v>
      </c>
      <c r="M115" s="147" t="s">
        <v>30</v>
      </c>
      <c r="N115" s="147" t="s">
        <v>134</v>
      </c>
      <c r="O115" s="107">
        <v>-1.73476330479655</v>
      </c>
      <c r="P115" s="107">
        <v>-1.62467330276176</v>
      </c>
      <c r="Q115" s="107">
        <v>-0.837577750828091</v>
      </c>
      <c r="R115" s="107">
        <v>-1.15092912489334</v>
      </c>
      <c r="S115" s="107">
        <v>-1.08268141622394</v>
      </c>
      <c r="T115" s="107">
        <v>-1.48711890521502</v>
      </c>
      <c r="U115" s="107">
        <v>-1.5703240748503</v>
      </c>
      <c r="V115" s="107">
        <v>-1.63837984020624</v>
      </c>
      <c r="Y115" s="172" t="s">
        <v>134</v>
      </c>
      <c r="Z115" s="167">
        <v>1.95850281158035</v>
      </c>
      <c r="AA115" s="168">
        <v>-1.73476330479655</v>
      </c>
      <c r="AB115" t="s">
        <v>30</v>
      </c>
      <c r="AC115" t="s">
        <v>134</v>
      </c>
      <c r="AD115" s="31">
        <f t="shared" si="2"/>
        <v>0</v>
      </c>
    </row>
    <row r="116" ht="15.6" spans="1:30">
      <c r="B116" s="149" t="s">
        <v>30</v>
      </c>
      <c r="C116" s="147" t="s">
        <v>136</v>
      </c>
      <c r="D116" s="107">
        <v>1.32456907274653</v>
      </c>
      <c r="E116" s="107">
        <v>1.0878832598703</v>
      </c>
      <c r="F116" s="107">
        <v>0.886998646127221</v>
      </c>
      <c r="G116" s="107">
        <v>0.833850865861974</v>
      </c>
      <c r="H116" s="107">
        <v>1.06704454368577</v>
      </c>
      <c r="I116" s="107">
        <v>1.05772042656559</v>
      </c>
      <c r="J116" s="107">
        <v>1.59158928999011</v>
      </c>
      <c r="K116" s="107">
        <v>1.13347274872168</v>
      </c>
      <c r="M116" s="149" t="s">
        <v>30</v>
      </c>
      <c r="N116" s="147" t="s">
        <v>136</v>
      </c>
      <c r="O116" s="107">
        <v>2.26562989056184</v>
      </c>
      <c r="P116" s="107">
        <v>1.5122081140968</v>
      </c>
      <c r="Q116" s="107">
        <v>8.48509483695532</v>
      </c>
      <c r="R116" s="107">
        <v>-2.22974951690522</v>
      </c>
      <c r="S116" s="107">
        <v>-1.40987207200702</v>
      </c>
      <c r="T116" s="107">
        <v>-1.98776058295324</v>
      </c>
      <c r="U116" s="107">
        <v>-1.10132427642767</v>
      </c>
      <c r="V116" s="107">
        <v>2.11412037029139</v>
      </c>
      <c r="Y116" s="172" t="s">
        <v>136</v>
      </c>
      <c r="Z116" s="167">
        <v>1.32456907274653</v>
      </c>
      <c r="AA116" s="168">
        <v>2.26562989056184</v>
      </c>
      <c r="AB116" t="s">
        <v>30</v>
      </c>
      <c r="AC116" t="s">
        <v>136</v>
      </c>
      <c r="AD116" s="31">
        <f t="shared" si="2"/>
        <v>0</v>
      </c>
    </row>
    <row r="117" ht="15.6" spans="1:30">
      <c r="B117" s="147" t="s">
        <v>31</v>
      </c>
      <c r="C117" s="147" t="s">
        <v>130</v>
      </c>
      <c r="D117" s="107">
        <v>2.4717805199347</v>
      </c>
      <c r="E117" s="107">
        <v>2.22168468035054</v>
      </c>
      <c r="F117" s="107">
        <v>1.45487897541298</v>
      </c>
      <c r="G117" s="107">
        <v>1.73830797499149</v>
      </c>
      <c r="H117" s="107">
        <v>0.976113420077191</v>
      </c>
      <c r="I117" s="107">
        <v>1.45643170385415</v>
      </c>
      <c r="J117" s="107">
        <v>1.70380549089045</v>
      </c>
      <c r="K117" s="107">
        <v>1.8746392142618</v>
      </c>
      <c r="M117" s="147" t="s">
        <v>31</v>
      </c>
      <c r="N117" s="147" t="s">
        <v>130</v>
      </c>
      <c r="O117" s="107">
        <v>0.491430286704054</v>
      </c>
      <c r="P117" s="107">
        <v>-0.0217566537673087</v>
      </c>
      <c r="Q117" s="107">
        <v>4.34025623776738</v>
      </c>
      <c r="R117" s="107">
        <v>-6.35220149294498</v>
      </c>
      <c r="S117" s="107">
        <v>-1.44946462650523</v>
      </c>
      <c r="T117" s="107">
        <v>-2.51489755332011</v>
      </c>
      <c r="U117" s="107">
        <v>-1.03589436102121</v>
      </c>
      <c r="V117" s="107">
        <v>0.109474684503556</v>
      </c>
      <c r="Y117" s="172" t="s">
        <v>130</v>
      </c>
      <c r="Z117" s="167">
        <v>2.4717805199347</v>
      </c>
      <c r="AA117" s="168">
        <v>0.491430286704054</v>
      </c>
      <c r="AB117" t="s">
        <v>31</v>
      </c>
      <c r="AC117" t="s">
        <v>130</v>
      </c>
      <c r="AD117" s="31">
        <f t="shared" si="2"/>
        <v>0</v>
      </c>
    </row>
    <row r="118" ht="15.6" spans="1:30">
      <c r="B118" s="147"/>
      <c r="C118" s="147"/>
      <c r="D118" s="107"/>
      <c r="E118" s="107"/>
      <c r="F118" s="107"/>
      <c r="G118" s="107"/>
      <c r="H118" s="107"/>
      <c r="I118" s="107"/>
      <c r="J118" s="107"/>
      <c r="K118" s="107"/>
      <c r="M118" s="147"/>
      <c r="N118" s="147"/>
      <c r="O118" s="107"/>
      <c r="P118" s="107"/>
      <c r="Q118" s="107"/>
      <c r="R118" s="107"/>
      <c r="S118" s="107"/>
      <c r="T118" s="107"/>
      <c r="U118" s="107"/>
      <c r="V118" s="107"/>
      <c r="Y118" s="172"/>
      <c r="Z118" s="167"/>
      <c r="AA118" s="168"/>
      <c r="AD118" s="31"/>
    </row>
    <row r="119" ht="15.6" spans="1:30">
      <c r="B119" s="147" t="s">
        <v>31</v>
      </c>
      <c r="C119" s="147" t="s">
        <v>132</v>
      </c>
      <c r="D119" s="107">
        <v>3.20955424426336</v>
      </c>
      <c r="E119" s="107">
        <v>2.9853146890559</v>
      </c>
      <c r="F119" s="107">
        <v>3.20642192786333</v>
      </c>
      <c r="G119" s="107">
        <v>1.46427727616893</v>
      </c>
      <c r="H119" s="107">
        <v>1.50663610153051</v>
      </c>
      <c r="I119" s="107">
        <v>1.89218652334004</v>
      </c>
      <c r="J119" s="107">
        <v>1.56954359167313</v>
      </c>
      <c r="K119" s="107">
        <v>2.40404758554965</v>
      </c>
      <c r="M119" s="147" t="s">
        <v>31</v>
      </c>
      <c r="N119" s="147" t="s">
        <v>132</v>
      </c>
      <c r="O119" s="107">
        <v>-2.63439834377347</v>
      </c>
      <c r="P119" s="107">
        <v>-2.52130406648079</v>
      </c>
      <c r="Q119" s="107">
        <v>-2.51516072386604</v>
      </c>
      <c r="R119" s="107">
        <v>-2.54413973110235</v>
      </c>
      <c r="S119" s="107">
        <v>-1.61299592478058</v>
      </c>
      <c r="T119" s="107">
        <v>-2.15267617170076</v>
      </c>
      <c r="U119" s="107">
        <v>-1.42337308168301</v>
      </c>
      <c r="V119" s="107">
        <v>-2.03839328949653</v>
      </c>
      <c r="Y119" s="172" t="s">
        <v>132</v>
      </c>
      <c r="Z119" s="167">
        <v>3.20955424426336</v>
      </c>
      <c r="AA119" s="168">
        <v>-2.63439834377347</v>
      </c>
      <c r="AB119" t="s">
        <v>31</v>
      </c>
      <c r="AC119" t="s">
        <v>132</v>
      </c>
      <c r="AD119" s="31">
        <f t="shared" si="2"/>
        <v>0</v>
      </c>
    </row>
    <row r="120" ht="15.15" spans="1:30">
      <c r="B120" s="108"/>
      <c r="C120" s="111"/>
      <c r="D120" s="111"/>
      <c r="E120" s="111"/>
      <c r="F120" s="111"/>
      <c r="G120" s="111"/>
      <c r="H120" s="111"/>
      <c r="I120" s="111"/>
      <c r="J120" s="111"/>
      <c r="K120" s="111"/>
      <c r="M120" s="108"/>
      <c r="N120" s="111"/>
      <c r="O120" s="111"/>
      <c r="P120" s="111"/>
      <c r="Q120" s="111"/>
      <c r="R120" s="111"/>
      <c r="S120" s="111"/>
      <c r="T120" s="111"/>
      <c r="U120" s="111"/>
      <c r="V120" s="111"/>
      <c r="AD120" s="31"/>
    </row>
    <row r="121" spans="1:30">
      <c r="AD121" s="31"/>
    </row>
    <row r="122" spans="1:30">
      <c r="AD122" s="31"/>
    </row>
    <row r="123" spans="1:30">
      <c r="AD123" s="31"/>
    </row>
    <row r="124" spans="1:30">
      <c r="AD124" s="31"/>
    </row>
    <row r="125" spans="1:30">
      <c r="AD125" s="31"/>
    </row>
    <row r="126" s="94" customFormat="1" ht="9" customHeight="1" spans="1:30">
      <c r="A126" s="96"/>
      <c r="B126" s="31"/>
      <c r="C126"/>
      <c r="D126"/>
      <c r="E126"/>
      <c r="F126"/>
      <c r="G126"/>
      <c r="H126"/>
      <c r="I126"/>
      <c r="J126"/>
      <c r="K126"/>
      <c r="M126" s="31"/>
      <c r="N126"/>
      <c r="O126"/>
      <c r="P126"/>
      <c r="Q126"/>
      <c r="R126"/>
      <c r="S126"/>
      <c r="T126"/>
      <c r="U126"/>
      <c r="V126"/>
      <c r="Y126"/>
      <c r="Z126"/>
      <c r="AA126"/>
      <c r="AB126"/>
      <c r="AC126"/>
      <c r="AD126" s="31"/>
    </row>
    <row r="127" spans="1:30">
      <c r="AD127" s="31"/>
    </row>
    <row r="128" spans="1:30">
      <c r="AD128" s="31"/>
    </row>
    <row r="129" spans="30:30">
      <c r="AD129" s="31"/>
    </row>
    <row r="130" spans="30:30">
      <c r="AD130" s="31"/>
    </row>
    <row r="131" spans="30:30">
      <c r="AD131" s="31"/>
    </row>
    <row r="132" spans="30:30">
      <c r="AD132" s="31"/>
    </row>
    <row r="133" spans="30:30">
      <c r="AD133" s="31"/>
    </row>
    <row r="134" spans="30:30">
      <c r="AD134" s="31"/>
    </row>
    <row r="135" spans="30:30">
      <c r="AD135" s="31"/>
    </row>
    <row r="136" spans="30:30">
      <c r="AD136" s="31"/>
    </row>
    <row r="137" spans="30:30">
      <c r="AD137" s="31"/>
    </row>
    <row r="138" spans="30:30">
      <c r="AD138" s="31"/>
    </row>
    <row r="139" spans="30:30">
      <c r="AD139" s="31"/>
    </row>
    <row r="140" spans="30:30">
      <c r="AD140" s="31"/>
    </row>
    <row r="141" spans="30:30">
      <c r="AD141" s="31"/>
    </row>
  </sheetData>
  <sortState ref="Y49:AC89">
    <sortCondition ref="AB49:AB89"/>
  </sortState>
  <mergeCells count="4">
    <mergeCell ref="B2:C2"/>
    <mergeCell ref="M2:N2"/>
    <mergeCell ref="B62:C62"/>
    <mergeCell ref="M62:N62"/>
  </mergeCells>
  <conditionalFormatting sqref="Z2">
    <cfRule type="cellIs" dxfId="0" priority="15" operator="equal">
      <formula>0</formula>
    </cfRule>
    <cfRule type="cellIs" dxfId="0" priority="16" operator="equal">
      <formula>0</formula>
    </cfRule>
  </conditionalFormatting>
  <conditionalFormatting sqref="AA2">
    <cfRule type="cellIs" dxfId="0" priority="13" operator="equal">
      <formula>0</formula>
    </cfRule>
    <cfRule type="cellIs" dxfId="0" priority="14" operator="equal">
      <formula>0</formula>
    </cfRule>
  </conditionalFormatting>
  <conditionalFormatting sqref="M62">
    <cfRule type="cellIs" dxfId="0" priority="17" operator="equal">
      <formula>0</formula>
    </cfRule>
  </conditionalFormatting>
  <conditionalFormatting sqref="Z62">
    <cfRule type="cellIs" dxfId="0" priority="5" operator="equal">
      <formula>0</formula>
    </cfRule>
    <cfRule type="cellIs" dxfId="0" priority="4" operator="equal">
      <formula>0</formula>
    </cfRule>
  </conditionalFormatting>
  <conditionalFormatting sqref="AA62">
    <cfRule type="cellIs" dxfId="0" priority="6" operator="equal">
      <formula>0</formula>
    </cfRule>
    <cfRule type="cellIs" dxfId="0" priority="7" operator="equal">
      <formula>0</formula>
    </cfRule>
  </conditionalFormatting>
  <conditionalFormatting sqref="B3:B4">
    <cfRule type="cellIs" dxfId="0" priority="24" operator="equal">
      <formula>0</formula>
    </cfRule>
  </conditionalFormatting>
  <conditionalFormatting sqref="B63:B64">
    <cfRule type="cellIs" dxfId="0" priority="25" operator="equal">
      <formula>0</formula>
    </cfRule>
  </conditionalFormatting>
  <conditionalFormatting sqref="D5:D60">
    <cfRule type="cellIs" dxfId="0" priority="9" operator="equal">
      <formula>0</formula>
    </cfRule>
  </conditionalFormatting>
  <conditionalFormatting sqref="M3:M4">
    <cfRule type="cellIs" dxfId="0" priority="20" operator="equal">
      <formula>0</formula>
    </cfRule>
  </conditionalFormatting>
  <conditionalFormatting sqref="M63:M64">
    <cfRule type="cellIs" dxfId="0" priority="18" operator="equal">
      <formula>0</formula>
    </cfRule>
  </conditionalFormatting>
  <conditionalFormatting sqref="O5:O60">
    <cfRule type="cellIs" dxfId="0" priority="11" operator="equal">
      <formula>0</formula>
    </cfRule>
  </conditionalFormatting>
  <conditionalFormatting sqref="Y65:Y67">
    <cfRule type="cellIs" dxfId="0" priority="3" operator="equal">
      <formula>0</formula>
    </cfRule>
  </conditionalFormatting>
  <conditionalFormatting sqref="M2 C5:C60 Z3:AA4 Y5:Y59 E5:K60 Y68:Y119 C63:C119 D65:K119 N63:N119 O65:V119">
    <cfRule type="cellIs" dxfId="0" priority="40" operator="equal">
      <formula>0</formula>
    </cfRule>
  </conditionalFormatting>
  <conditionalFormatting sqref="N5:N60 P5:V60">
    <cfRule type="cellIs" dxfId="0" priority="21" operator="equal">
      <formula>0</formula>
    </cfRule>
  </conditionalFormatting>
  <conditionalFormatting sqref="Z63:AA64">
    <cfRule type="cellIs" dxfId="0" priority="1" operator="equal">
      <formula>0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6"/>
  <sheetViews>
    <sheetView topLeftCell="A66" workbookViewId="0">
      <selection activeCell="B74" sqref="B74:V74"/>
    </sheetView>
  </sheetViews>
  <sheetFormatPr defaultColWidth="11" defaultRowHeight="14.4"/>
  <cols>
    <col min="1" max="1" width="2.13888888888889" style="96" customWidth="1"/>
    <col min="2" max="2" width="5.13888888888889" style="31" customWidth="1"/>
    <col min="3" max="3" width="6" customWidth="1"/>
    <col min="4" max="4" width="9.28703703703704" customWidth="1"/>
    <col min="5" max="6" width="8.28703703703704" customWidth="1"/>
    <col min="7" max="7" width="5" customWidth="1"/>
    <col min="8" max="8" width="5.71296296296296" customWidth="1"/>
    <col min="9" max="11" width="5" customWidth="1"/>
    <col min="12" max="12" width="2.28703703703704" style="94" customWidth="1"/>
    <col min="13" max="13" width="5.13888888888889" style="31" customWidth="1"/>
    <col min="14" max="14" width="4.28703703703704" customWidth="1"/>
    <col min="15" max="15" width="9.28703703703704" customWidth="1"/>
    <col min="16" max="17" width="8.28703703703704" customWidth="1"/>
    <col min="18" max="18" width="6.85185185185185" customWidth="1"/>
    <col min="19" max="19" width="5.71296296296296" customWidth="1"/>
    <col min="20" max="20" width="6.85185185185185" customWidth="1"/>
    <col min="21" max="21" width="6.13888888888889" customWidth="1"/>
    <col min="22" max="22" width="7.28703703703704" customWidth="1"/>
    <col min="23" max="23" width="1.42592592592593" style="94" customWidth="1"/>
    <col min="24" max="24" width="7.28703703703704" customWidth="1"/>
    <col min="25" max="25" width="8.57407407407407" customWidth="1"/>
    <col min="26" max="26" width="7" customWidth="1"/>
    <col min="27" max="27" width="5" customWidth="1"/>
    <col min="28" max="28" width="5" style="96" customWidth="1"/>
    <col min="29" max="32" width="5" customWidth="1"/>
    <col min="33" max="34" width="1.85185185185185" style="136" customWidth="1"/>
    <col min="35" max="36" width="8.57407407407407" customWidth="1"/>
    <col min="37" max="37" width="7" customWidth="1"/>
    <col min="38" max="40" width="5.71296296296296" customWidth="1"/>
    <col min="41" max="41" width="6.85185185185185" customWidth="1"/>
    <col min="42" max="42" width="5.71296296296296" customWidth="1"/>
    <col min="43" max="43" width="6.13888888888889" customWidth="1"/>
  </cols>
  <sheetData>
    <row r="1" s="94" customFormat="1" ht="15.15" spans="1:43">
      <c r="A1" s="96"/>
      <c r="B1" s="137"/>
      <c r="M1" s="137"/>
      <c r="AB1" s="96"/>
      <c r="AG1" s="138"/>
      <c r="AH1" s="138"/>
      <c r="AI1" s="139"/>
    </row>
    <row r="2" ht="43.95" spans="1:43">
      <c r="B2" s="98" t="s">
        <v>320</v>
      </c>
      <c r="C2" s="98"/>
      <c r="D2" s="98" t="s">
        <v>271</v>
      </c>
      <c r="E2" s="98" t="s">
        <v>321</v>
      </c>
      <c r="F2" s="98" t="s">
        <v>322</v>
      </c>
      <c r="G2" s="98" t="s">
        <v>3</v>
      </c>
      <c r="H2" s="98" t="s">
        <v>4</v>
      </c>
      <c r="I2" s="98" t="s">
        <v>5</v>
      </c>
      <c r="J2" s="98" t="s">
        <v>6</v>
      </c>
      <c r="K2" s="98" t="s">
        <v>7</v>
      </c>
      <c r="M2" s="98" t="s">
        <v>323</v>
      </c>
      <c r="N2" s="98"/>
      <c r="O2" s="98" t="s">
        <v>271</v>
      </c>
      <c r="P2" s="98" t="s">
        <v>321</v>
      </c>
      <c r="Q2" s="98" t="s">
        <v>322</v>
      </c>
      <c r="R2" s="98" t="s">
        <v>3</v>
      </c>
      <c r="S2" s="98" t="s">
        <v>4</v>
      </c>
      <c r="T2" s="98" t="s">
        <v>5</v>
      </c>
      <c r="U2" s="98" t="s">
        <v>6</v>
      </c>
      <c r="V2" s="98" t="s">
        <v>7</v>
      </c>
      <c r="X2" s="139" t="s">
        <v>320</v>
      </c>
      <c r="Y2" s="98" t="s">
        <v>271</v>
      </c>
      <c r="Z2" s="98" t="s">
        <v>324</v>
      </c>
      <c r="AA2" s="98" t="s">
        <v>325</v>
      </c>
      <c r="AB2" s="98" t="s">
        <v>326</v>
      </c>
      <c r="AC2" s="98" t="s">
        <v>327</v>
      </c>
      <c r="AD2" s="98" t="s">
        <v>328</v>
      </c>
      <c r="AE2" s="98" t="s">
        <v>329</v>
      </c>
      <c r="AF2" s="98" t="s">
        <v>330</v>
      </c>
      <c r="AG2" s="140"/>
      <c r="AH2" s="141"/>
      <c r="AI2" s="139" t="s">
        <v>323</v>
      </c>
      <c r="AJ2" s="98" t="s">
        <v>271</v>
      </c>
      <c r="AK2" s="98" t="s">
        <v>324</v>
      </c>
      <c r="AL2" s="98" t="s">
        <v>325</v>
      </c>
      <c r="AM2" s="98" t="s">
        <v>326</v>
      </c>
      <c r="AN2" s="98" t="s">
        <v>327</v>
      </c>
      <c r="AO2" s="98" t="s">
        <v>328</v>
      </c>
      <c r="AP2" s="98" t="s">
        <v>329</v>
      </c>
      <c r="AQ2" s="98" t="s">
        <v>330</v>
      </c>
    </row>
    <row r="3" s="94" customFormat="1" ht="9" customHeight="1" spans="1:43">
      <c r="A3" s="96"/>
      <c r="B3" s="99"/>
      <c r="C3" s="99"/>
      <c r="D3" s="99"/>
      <c r="E3" s="99"/>
      <c r="F3" s="99"/>
      <c r="G3" s="99"/>
      <c r="H3" s="99"/>
      <c r="I3" s="99"/>
      <c r="J3" s="99"/>
      <c r="K3" s="99"/>
      <c r="M3" s="99"/>
      <c r="N3" s="99"/>
      <c r="O3" s="99"/>
      <c r="P3" s="99"/>
      <c r="Q3" s="99"/>
      <c r="R3" s="99"/>
      <c r="S3" s="99"/>
      <c r="T3" s="99"/>
      <c r="U3" s="99"/>
      <c r="V3" s="99"/>
      <c r="X3" s="99"/>
      <c r="Y3" s="99"/>
      <c r="Z3" s="99"/>
      <c r="AA3" s="99"/>
      <c r="AB3" s="99"/>
      <c r="AC3" s="99"/>
      <c r="AD3" s="99"/>
      <c r="AE3" s="99"/>
      <c r="AF3" s="99"/>
      <c r="AG3" s="142"/>
      <c r="AH3" s="142"/>
      <c r="AI3" s="99"/>
      <c r="AJ3" s="99"/>
      <c r="AK3" s="99"/>
      <c r="AL3" s="99"/>
      <c r="AM3" s="99"/>
      <c r="AN3" s="99"/>
      <c r="AO3" s="99"/>
      <c r="AP3" s="99"/>
      <c r="AQ3" s="99"/>
    </row>
    <row r="4" ht="15.6" spans="1:43">
      <c r="A4" s="101"/>
      <c r="B4" s="143" t="str">
        <f>X4</f>
        <v>A00</v>
      </c>
      <c r="C4" s="143"/>
      <c r="D4" s="103">
        <f>Y4</f>
        <v>0.618265338312376</v>
      </c>
      <c r="E4" s="103">
        <f t="shared" ref="E4:K4" si="0">Z4</f>
        <v>0.604695708410038</v>
      </c>
      <c r="F4" s="103">
        <f t="shared" si="0"/>
        <v>0.864850863218035</v>
      </c>
      <c r="G4" s="103">
        <f t="shared" si="0"/>
        <v>1.05948177275013</v>
      </c>
      <c r="H4" s="103">
        <f t="shared" si="0"/>
        <v>1.00430473775396</v>
      </c>
      <c r="I4" s="103">
        <f t="shared" si="0"/>
        <v>0.76665567022553</v>
      </c>
      <c r="J4" s="103">
        <f t="shared" si="0"/>
        <v>0.874441900287917</v>
      </c>
      <c r="K4" s="103">
        <f t="shared" si="0"/>
        <v>0.505131218059668</v>
      </c>
      <c r="L4" s="143"/>
      <c r="M4" s="143" t="str">
        <f t="shared" ref="M4" si="1">AI4</f>
        <v>A00</v>
      </c>
      <c r="N4" s="143"/>
      <c r="O4" s="103">
        <f>AJ4</f>
        <v>-0.65922936781599</v>
      </c>
      <c r="P4" s="103">
        <f t="shared" ref="P4:V4" si="2">AK4</f>
        <v>-0.637894395670571</v>
      </c>
      <c r="Q4" s="103">
        <f t="shared" si="2"/>
        <v>-0.931092977355449</v>
      </c>
      <c r="R4" s="103">
        <f t="shared" si="2"/>
        <v>-1.0635157313244</v>
      </c>
      <c r="S4" s="103">
        <f t="shared" si="2"/>
        <v>-1.02364817607857</v>
      </c>
      <c r="T4" s="103">
        <f t="shared" si="2"/>
        <v>-0.848293273789231</v>
      </c>
      <c r="U4" s="103">
        <f t="shared" si="2"/>
        <v>-0.929186227264343</v>
      </c>
      <c r="V4" s="103">
        <f t="shared" si="2"/>
        <v>-0.468002368488974</v>
      </c>
      <c r="X4" s="144" t="s">
        <v>12</v>
      </c>
      <c r="Y4" s="145">
        <v>0.618265338312376</v>
      </c>
      <c r="Z4" s="145">
        <v>0.604695708410038</v>
      </c>
      <c r="AA4" s="145">
        <v>0.864850863218035</v>
      </c>
      <c r="AB4" s="145">
        <v>1.05948177275013</v>
      </c>
      <c r="AC4" s="145">
        <v>1.00430473775396</v>
      </c>
      <c r="AD4" s="145">
        <v>0.76665567022553</v>
      </c>
      <c r="AE4" s="145">
        <v>0.874441900287917</v>
      </c>
      <c r="AF4" s="145">
        <v>0.505131218059668</v>
      </c>
      <c r="AG4" s="146"/>
      <c r="AH4" s="146"/>
      <c r="AI4" s="144" t="s">
        <v>12</v>
      </c>
      <c r="AJ4" s="145">
        <v>-0.65922936781599</v>
      </c>
      <c r="AK4" s="145">
        <v>-0.637894395670571</v>
      </c>
      <c r="AL4" s="145">
        <v>-0.931092977355449</v>
      </c>
      <c r="AM4" s="145">
        <v>-1.0635157313244</v>
      </c>
      <c r="AN4" s="145">
        <v>-1.02364817607857</v>
      </c>
      <c r="AO4" s="145">
        <v>-0.848293273789231</v>
      </c>
      <c r="AP4" s="145">
        <v>-0.929186227264343</v>
      </c>
      <c r="AQ4" s="145">
        <v>-0.468002368488974</v>
      </c>
    </row>
    <row r="5" ht="15.6" spans="1:43">
      <c r="A5" s="101"/>
      <c r="B5" s="147" t="s">
        <v>12</v>
      </c>
      <c r="C5" s="147" t="s">
        <v>51</v>
      </c>
      <c r="D5" s="107">
        <v>0.322904537406103</v>
      </c>
      <c r="E5" s="107">
        <v>0.291353559349734</v>
      </c>
      <c r="F5" s="107">
        <v>0.667638537929872</v>
      </c>
      <c r="G5" s="107">
        <v>1.04348132100254</v>
      </c>
      <c r="H5" s="107">
        <v>0.971726865753784</v>
      </c>
      <c r="I5" s="107">
        <v>0.9574394561005</v>
      </c>
      <c r="J5" s="107">
        <v>0.878228949150483</v>
      </c>
      <c r="K5" s="107">
        <v>0.297024773022176</v>
      </c>
      <c r="M5" s="147" t="s">
        <v>12</v>
      </c>
      <c r="N5" s="147" t="s">
        <v>52</v>
      </c>
      <c r="O5" s="107">
        <v>0.171616287467659</v>
      </c>
      <c r="P5" s="107">
        <v>0.346976651948221</v>
      </c>
      <c r="Q5" s="107">
        <v>-0.537789227128195</v>
      </c>
      <c r="R5" s="107">
        <v>-1.08265326171847</v>
      </c>
      <c r="S5" s="107">
        <v>-0.985756976120308</v>
      </c>
      <c r="T5" s="107">
        <v>-0.978082129339293</v>
      </c>
      <c r="U5" s="107">
        <v>-0.827132453506682</v>
      </c>
      <c r="V5" s="107">
        <v>0.704410259902178</v>
      </c>
      <c r="X5" s="144"/>
      <c r="Y5" s="145"/>
      <c r="Z5" s="145"/>
      <c r="AA5" s="145"/>
      <c r="AB5" s="145"/>
      <c r="AC5" s="145"/>
      <c r="AD5" s="145"/>
      <c r="AE5" s="145"/>
      <c r="AF5" s="145"/>
      <c r="AG5" s="146"/>
      <c r="AH5" s="146"/>
      <c r="AI5" s="144"/>
      <c r="AJ5" s="145"/>
      <c r="AK5" s="145"/>
      <c r="AL5" s="145"/>
      <c r="AM5" s="145"/>
      <c r="AN5" s="145"/>
      <c r="AO5" s="145"/>
      <c r="AP5" s="145"/>
      <c r="AQ5" s="145"/>
    </row>
    <row r="6" ht="15.6" spans="1:43">
      <c r="A6" s="101"/>
      <c r="B6" s="147" t="s">
        <v>12</v>
      </c>
      <c r="C6" s="147" t="s">
        <v>55</v>
      </c>
      <c r="D6" s="107">
        <v>0.775840967344575</v>
      </c>
      <c r="E6" s="107">
        <v>0.753716632339636</v>
      </c>
      <c r="F6" s="107">
        <v>1.17226264813792</v>
      </c>
      <c r="G6" s="107">
        <v>1.46679089672926</v>
      </c>
      <c r="H6" s="107">
        <v>1.51551198587742</v>
      </c>
      <c r="I6" s="107">
        <v>1.24366727459318</v>
      </c>
      <c r="J6" s="107">
        <v>1.11155543976157</v>
      </c>
      <c r="K6" s="107">
        <v>0.60912714041761</v>
      </c>
      <c r="M6" s="147" t="s">
        <v>12</v>
      </c>
      <c r="N6" s="147" t="s">
        <v>56</v>
      </c>
      <c r="O6" s="107">
        <v>-0.0258028537190547</v>
      </c>
      <c r="P6" s="107">
        <v>0.147030166644408</v>
      </c>
      <c r="Q6" s="107">
        <v>-0.928138279178639</v>
      </c>
      <c r="R6" s="107">
        <v>-1.58372737938239</v>
      </c>
      <c r="S6" s="107">
        <v>-1.52463088200028</v>
      </c>
      <c r="T6" s="107">
        <v>-1.27225327118747</v>
      </c>
      <c r="U6" s="107">
        <v>-1.02321099304128</v>
      </c>
      <c r="V6" s="107">
        <v>0.425886387097208</v>
      </c>
      <c r="X6" s="144"/>
      <c r="Y6" s="145"/>
      <c r="Z6" s="145"/>
      <c r="AA6" s="145"/>
      <c r="AB6" s="145"/>
      <c r="AC6" s="145"/>
      <c r="AD6" s="145"/>
      <c r="AE6" s="145"/>
      <c r="AF6" s="145"/>
      <c r="AG6" s="146"/>
      <c r="AH6" s="146"/>
      <c r="AI6" s="144"/>
      <c r="AJ6" s="145"/>
      <c r="AK6" s="145"/>
      <c r="AL6" s="145"/>
      <c r="AM6" s="145"/>
      <c r="AN6" s="145"/>
      <c r="AO6" s="145"/>
      <c r="AP6" s="145"/>
      <c r="AQ6" s="145"/>
    </row>
    <row r="7" ht="15.6" spans="1:43">
      <c r="A7" s="101"/>
      <c r="B7" s="143" t="str">
        <f>X7</f>
        <v>B05</v>
      </c>
      <c r="C7" s="143"/>
      <c r="D7" s="103">
        <f>Y7</f>
        <v>0.877965838412718</v>
      </c>
      <c r="E7" s="103">
        <f t="shared" ref="E7" si="3">Z7</f>
        <v>0.796724140082713</v>
      </c>
      <c r="F7" s="103">
        <f t="shared" ref="F7" si="4">AA7</f>
        <v>0.905881473785776</v>
      </c>
      <c r="G7" s="103">
        <f t="shared" ref="G7" si="5">AB7</f>
        <v>1.20822651386976</v>
      </c>
      <c r="H7" s="103">
        <f t="shared" ref="H7" si="6">AC7</f>
        <v>0.914544872738923</v>
      </c>
      <c r="I7" s="103">
        <f t="shared" ref="I7" si="7">AD7</f>
        <v>1.01656719545427</v>
      </c>
      <c r="J7" s="103">
        <f t="shared" ref="J7" si="8">AE7</f>
        <v>0.912567753699157</v>
      </c>
      <c r="K7" s="103">
        <f t="shared" ref="K7" si="9">AF7</f>
        <v>0.807144194655531</v>
      </c>
      <c r="L7" s="143"/>
      <c r="M7" s="143" t="str">
        <f t="shared" ref="M7" si="10">AI7</f>
        <v>B05</v>
      </c>
      <c r="N7" s="143"/>
      <c r="O7" s="103">
        <f>AJ7</f>
        <v>-0.954766597606162</v>
      </c>
      <c r="P7" s="103">
        <f t="shared" ref="P7" si="11">AK7</f>
        <v>-0.806503563393383</v>
      </c>
      <c r="Q7" s="103">
        <f t="shared" ref="Q7" si="12">AL7</f>
        <v>-1.7090431118951</v>
      </c>
      <c r="R7" s="103">
        <f t="shared" ref="R7" si="13">AM7</f>
        <v>-1.40688588872377</v>
      </c>
      <c r="S7" s="103">
        <f t="shared" ref="S7" si="14">AN7</f>
        <v>-1.197349629159</v>
      </c>
      <c r="T7" s="103">
        <f t="shared" ref="T7" si="15">AO7</f>
        <v>-1.69867771146442</v>
      </c>
      <c r="U7" s="103">
        <f t="shared" ref="U7" si="16">AP7</f>
        <v>-1.3728091091464</v>
      </c>
      <c r="V7" s="103">
        <f t="shared" ref="V7" si="17">AQ7</f>
        <v>-0.159075448872453</v>
      </c>
      <c r="X7" s="144" t="s">
        <v>13</v>
      </c>
      <c r="Y7" s="145">
        <v>0.877965838412718</v>
      </c>
      <c r="Z7" s="145">
        <v>0.796724140082713</v>
      </c>
      <c r="AA7" s="145">
        <v>0.905881473785776</v>
      </c>
      <c r="AB7" s="145">
        <v>1.20822651386976</v>
      </c>
      <c r="AC7" s="145">
        <v>0.914544872738923</v>
      </c>
      <c r="AD7" s="145">
        <v>1.01656719545427</v>
      </c>
      <c r="AE7" s="145">
        <v>0.912567753699157</v>
      </c>
      <c r="AF7" s="145">
        <v>0.807144194655531</v>
      </c>
      <c r="AG7" s="146"/>
      <c r="AH7" s="146"/>
      <c r="AI7" s="144" t="s">
        <v>13</v>
      </c>
      <c r="AJ7" s="145">
        <v>-0.954766597606162</v>
      </c>
      <c r="AK7" s="145">
        <v>-0.806503563393383</v>
      </c>
      <c r="AL7" s="145">
        <v>-1.7090431118951</v>
      </c>
      <c r="AM7" s="145">
        <v>-1.40688588872377</v>
      </c>
      <c r="AN7" s="145">
        <v>-1.197349629159</v>
      </c>
      <c r="AO7" s="145">
        <v>-1.69867771146442</v>
      </c>
      <c r="AP7" s="145">
        <v>-1.3728091091464</v>
      </c>
      <c r="AQ7" s="145">
        <v>-0.159075448872453</v>
      </c>
    </row>
    <row r="8" ht="15.6" spans="1:43">
      <c r="A8" s="101"/>
      <c r="B8" s="147" t="s">
        <v>13</v>
      </c>
      <c r="C8" s="147" t="s">
        <v>49</v>
      </c>
      <c r="D8" s="107">
        <v>0.877960896814207</v>
      </c>
      <c r="E8" s="107">
        <v>0.796722292352308</v>
      </c>
      <c r="F8" s="107">
        <v>0.90588528214549</v>
      </c>
      <c r="G8" s="107">
        <v>0.909248782262836</v>
      </c>
      <c r="H8" s="107">
        <v>0.683962920925333</v>
      </c>
      <c r="I8" s="107">
        <v>0.818599740052762</v>
      </c>
      <c r="J8" s="107">
        <v>0.799124419434478</v>
      </c>
      <c r="K8" s="107">
        <v>0.807233965769623</v>
      </c>
      <c r="M8" s="147" t="s">
        <v>13</v>
      </c>
      <c r="N8" s="147" t="s">
        <v>50</v>
      </c>
      <c r="O8" s="107">
        <v>0.424292173840703</v>
      </c>
      <c r="P8" s="107">
        <v>0.534933090817586</v>
      </c>
      <c r="Q8" s="107">
        <v>-0.298690444022464</v>
      </c>
      <c r="R8" s="107">
        <v>-1.0853139470886</v>
      </c>
      <c r="S8" s="107">
        <v>-0.739970144044323</v>
      </c>
      <c r="T8" s="107">
        <v>-0.883142476721219</v>
      </c>
      <c r="U8" s="107">
        <v>-0.631210970659751</v>
      </c>
      <c r="V8" s="107">
        <v>0.926462515910284</v>
      </c>
      <c r="X8" s="144"/>
      <c r="Y8" s="145"/>
      <c r="Z8" s="145"/>
      <c r="AA8" s="145"/>
      <c r="AB8" s="145"/>
      <c r="AC8" s="145"/>
      <c r="AD8" s="145"/>
      <c r="AE8" s="145"/>
      <c r="AF8" s="145"/>
      <c r="AG8" s="146"/>
      <c r="AH8" s="146"/>
      <c r="AI8" s="144"/>
      <c r="AJ8" s="145"/>
      <c r="AK8" s="145"/>
      <c r="AL8" s="145"/>
      <c r="AM8" s="145"/>
      <c r="AN8" s="145"/>
      <c r="AO8" s="145"/>
      <c r="AP8" s="145"/>
      <c r="AQ8" s="145"/>
    </row>
    <row r="9" ht="15.6" spans="1:43">
      <c r="A9" s="101"/>
      <c r="B9" s="143" t="str">
        <f>X9</f>
        <v>C00</v>
      </c>
      <c r="C9" s="143"/>
      <c r="D9" s="103">
        <f>Y9</f>
        <v>0.312823985539041</v>
      </c>
      <c r="E9" s="103">
        <f t="shared" ref="E9" si="18">Z9</f>
        <v>0.354946907840899</v>
      </c>
      <c r="F9" s="103">
        <f t="shared" ref="F9" si="19">AA9</f>
        <v>0.533440619847053</v>
      </c>
      <c r="G9" s="103">
        <f t="shared" ref="G9" si="20">AB9</f>
        <v>0.900763112413138</v>
      </c>
      <c r="H9" s="103">
        <f t="shared" ref="H9" si="21">AC9</f>
        <v>0.800872896642448</v>
      </c>
      <c r="I9" s="103">
        <f t="shared" ref="I9" si="22">AD9</f>
        <v>0.653728045613587</v>
      </c>
      <c r="J9" s="103">
        <f t="shared" ref="J9" si="23">AE9</f>
        <v>0.580687324412341</v>
      </c>
      <c r="K9" s="103">
        <f t="shared" ref="K9" si="24">AF9</f>
        <v>0.212176236387444</v>
      </c>
      <c r="L9" s="143"/>
      <c r="M9" s="143" t="str">
        <f t="shared" ref="M9" si="25">AI9</f>
        <v>C00</v>
      </c>
      <c r="N9" s="143"/>
      <c r="O9" s="103">
        <f>AJ9</f>
        <v>-1.82628677392878</v>
      </c>
      <c r="P9" s="103">
        <f t="shared" ref="P9" si="26">AK9</f>
        <v>-0.556866780225896</v>
      </c>
      <c r="Q9" s="103">
        <f t="shared" ref="Q9" si="27">AL9</f>
        <v>-9.24789467746283</v>
      </c>
      <c r="R9" s="103">
        <f t="shared" ref="R9" si="28">AM9</f>
        <v>-3.53591337537537</v>
      </c>
      <c r="S9" s="103">
        <f t="shared" ref="S9" si="29">AN9</f>
        <v>-4.75440324371239</v>
      </c>
      <c r="T9" s="103">
        <f t="shared" ref="T9" si="30">AO9</f>
        <v>-11.3915730728513</v>
      </c>
      <c r="U9" s="103">
        <f t="shared" ref="U9" si="31">AP9</f>
        <v>-9.26501077163491</v>
      </c>
      <c r="V9" s="103">
        <f t="shared" ref="V9" si="32">AQ9</f>
        <v>19.1833674810229</v>
      </c>
      <c r="X9" s="144" t="s">
        <v>14</v>
      </c>
      <c r="Y9" s="145">
        <v>0.312823985539041</v>
      </c>
      <c r="Z9" s="145">
        <v>0.354946907840899</v>
      </c>
      <c r="AA9" s="145">
        <v>0.533440619847053</v>
      </c>
      <c r="AB9" s="145">
        <v>0.900763112413138</v>
      </c>
      <c r="AC9" s="145">
        <v>0.800872896642448</v>
      </c>
      <c r="AD9" s="145">
        <v>0.653728045613587</v>
      </c>
      <c r="AE9" s="145">
        <v>0.580687324412341</v>
      </c>
      <c r="AF9" s="145">
        <v>0.212176236387444</v>
      </c>
      <c r="AG9" s="146"/>
      <c r="AH9" s="146"/>
      <c r="AI9" s="144" t="s">
        <v>14</v>
      </c>
      <c r="AJ9" s="145">
        <v>-1.82628677392878</v>
      </c>
      <c r="AK9" s="145">
        <v>-0.556866780225896</v>
      </c>
      <c r="AL9" s="145">
        <v>-9.24789467746283</v>
      </c>
      <c r="AM9" s="145">
        <v>-3.53591337537537</v>
      </c>
      <c r="AN9" s="145">
        <v>-4.75440324371239</v>
      </c>
      <c r="AO9" s="145">
        <v>-11.3915730728513</v>
      </c>
      <c r="AP9" s="145">
        <v>-9.26501077163491</v>
      </c>
      <c r="AQ9" s="145">
        <v>19.1833674810229</v>
      </c>
    </row>
    <row r="10" ht="15.6" spans="1:43">
      <c r="A10" s="101"/>
      <c r="B10" s="143" t="str">
        <f>X10</f>
        <v>D01</v>
      </c>
      <c r="C10" s="143"/>
      <c r="D10" s="103">
        <f>Y10</f>
        <v>0.437568379281185</v>
      </c>
      <c r="E10" s="103">
        <f t="shared" ref="E10" si="33">Z10</f>
        <v>0.447341053288337</v>
      </c>
      <c r="F10" s="103">
        <f t="shared" ref="F10" si="34">AA10</f>
        <v>0.661421942553687</v>
      </c>
      <c r="G10" s="103">
        <f t="shared" ref="G10" si="35">AB10</f>
        <v>0.953103512383691</v>
      </c>
      <c r="H10" s="103">
        <f t="shared" ref="H10" si="36">AC10</f>
        <v>0.928611479319078</v>
      </c>
      <c r="I10" s="103">
        <f t="shared" ref="I10" si="37">AD10</f>
        <v>0.593940587516405</v>
      </c>
      <c r="J10" s="103">
        <f t="shared" ref="J10" si="38">AE10</f>
        <v>0.781015426825763</v>
      </c>
      <c r="K10" s="103">
        <f t="shared" ref="K10" si="39">AF10</f>
        <v>0.320797173917246</v>
      </c>
      <c r="L10" s="143"/>
      <c r="M10" s="143" t="str">
        <f t="shared" ref="M10" si="40">AI10</f>
        <v>D01</v>
      </c>
      <c r="N10" s="143"/>
      <c r="O10" s="103">
        <f>AJ10</f>
        <v>-0.504718869768233</v>
      </c>
      <c r="P10" s="103">
        <f t="shared" ref="P10" si="41">AK10</f>
        <v>-0.503572524957393</v>
      </c>
      <c r="Q10" s="103">
        <f t="shared" ref="Q10" si="42">AL10</f>
        <v>-0.757216819440444</v>
      </c>
      <c r="R10" s="103">
        <f t="shared" ref="R10" si="43">AM10</f>
        <v>-0.974173841630177</v>
      </c>
      <c r="S10" s="103">
        <f t="shared" ref="S10" si="44">AN10</f>
        <v>-0.959134873708701</v>
      </c>
      <c r="T10" s="103">
        <f t="shared" ref="T10" si="45">AO10</f>
        <v>-0.695280369861034</v>
      </c>
      <c r="U10" s="103">
        <f t="shared" ref="U10" si="46">AP10</f>
        <v>-0.848975872591165</v>
      </c>
      <c r="V10" s="103">
        <f t="shared" ref="V10" si="47">AQ10</f>
        <v>-0.318615660987057</v>
      </c>
      <c r="X10" s="144" t="s">
        <v>15</v>
      </c>
      <c r="Y10" s="145">
        <v>0.437568379281185</v>
      </c>
      <c r="Z10" s="145">
        <v>0.447341053288337</v>
      </c>
      <c r="AA10" s="145">
        <v>0.661421942553687</v>
      </c>
      <c r="AB10" s="145">
        <v>0.953103512383691</v>
      </c>
      <c r="AC10" s="145">
        <v>0.928611479319078</v>
      </c>
      <c r="AD10" s="145">
        <v>0.593940587516405</v>
      </c>
      <c r="AE10" s="145">
        <v>0.781015426825763</v>
      </c>
      <c r="AF10" s="145">
        <v>0.320797173917246</v>
      </c>
      <c r="AG10" s="146"/>
      <c r="AH10" s="146"/>
      <c r="AI10" s="144" t="s">
        <v>15</v>
      </c>
      <c r="AJ10" s="145">
        <v>-0.504718869768233</v>
      </c>
      <c r="AK10" s="145">
        <v>-0.503572524957393</v>
      </c>
      <c r="AL10" s="145">
        <v>-0.757216819440444</v>
      </c>
      <c r="AM10" s="145">
        <v>-0.974173841630177</v>
      </c>
      <c r="AN10" s="145">
        <v>-0.959134873708701</v>
      </c>
      <c r="AO10" s="145">
        <v>-0.695280369861034</v>
      </c>
      <c r="AP10" s="145">
        <v>-0.848975872591165</v>
      </c>
      <c r="AQ10" s="145">
        <v>-0.318615660987057</v>
      </c>
    </row>
    <row r="11" ht="15.6" spans="1:43">
      <c r="A11" s="101"/>
      <c r="B11" s="147" t="s">
        <v>15</v>
      </c>
      <c r="C11" s="147" t="s">
        <v>41</v>
      </c>
      <c r="D11" s="107">
        <v>0.286173004466951</v>
      </c>
      <c r="E11" s="107">
        <v>0.298916187349072</v>
      </c>
      <c r="F11" s="107">
        <v>0.456149425850422</v>
      </c>
      <c r="G11" s="107">
        <v>0.803444030446107</v>
      </c>
      <c r="H11" s="107">
        <v>0.810766518544298</v>
      </c>
      <c r="I11" s="107">
        <v>0.774231292489176</v>
      </c>
      <c r="J11" s="107">
        <v>0.662470030163124</v>
      </c>
      <c r="K11" s="107">
        <v>0.325213523351974</v>
      </c>
      <c r="M11" s="147" t="s">
        <v>15</v>
      </c>
      <c r="N11" s="147" t="s">
        <v>42</v>
      </c>
      <c r="O11" s="107">
        <v>-0.0359066576345585</v>
      </c>
      <c r="P11" s="107">
        <v>0.0347851486682074</v>
      </c>
      <c r="Q11" s="107">
        <v>-0.408515007034669</v>
      </c>
      <c r="R11" s="107">
        <v>-0.842061453316485</v>
      </c>
      <c r="S11" s="107">
        <v>-0.833768010675972</v>
      </c>
      <c r="T11" s="107">
        <v>-0.800384342412279</v>
      </c>
      <c r="U11" s="107">
        <v>-0.651495166096358</v>
      </c>
      <c r="V11" s="107">
        <v>0.221258455878653</v>
      </c>
      <c r="X11" s="144"/>
      <c r="Y11" s="145"/>
      <c r="Z11" s="145"/>
      <c r="AA11" s="145"/>
      <c r="AB11" s="145"/>
      <c r="AC11" s="145"/>
      <c r="AD11" s="145"/>
      <c r="AE11" s="145"/>
      <c r="AF11" s="145"/>
      <c r="AG11" s="146"/>
      <c r="AH11" s="146"/>
      <c r="AI11" s="144"/>
      <c r="AJ11" s="145"/>
      <c r="AK11" s="145"/>
      <c r="AL11" s="145"/>
      <c r="AM11" s="145"/>
      <c r="AN11" s="145"/>
      <c r="AO11" s="145"/>
      <c r="AP11" s="145"/>
      <c r="AQ11" s="145"/>
    </row>
    <row r="12" ht="15.6" spans="1:43">
      <c r="A12" s="101"/>
      <c r="B12" s="147" t="s">
        <v>15</v>
      </c>
      <c r="C12" s="147" t="s">
        <v>43</v>
      </c>
      <c r="D12" s="107">
        <v>0.677005084129206</v>
      </c>
      <c r="E12" s="107">
        <v>0.595464436700397</v>
      </c>
      <c r="F12" s="107">
        <v>0.80568397968193</v>
      </c>
      <c r="G12" s="107">
        <v>1.0235349489675</v>
      </c>
      <c r="H12" s="107">
        <v>1.11375333859014</v>
      </c>
      <c r="I12" s="107">
        <v>0.847430541738598</v>
      </c>
      <c r="J12" s="107">
        <v>0.801693056907784</v>
      </c>
      <c r="K12" s="107">
        <v>0.540586098518039</v>
      </c>
      <c r="M12" s="147" t="s">
        <v>15</v>
      </c>
      <c r="N12" s="147" t="s">
        <v>44</v>
      </c>
      <c r="O12" s="107">
        <v>-0.0806611398531337</v>
      </c>
      <c r="P12" s="107">
        <v>0.0235075800054587</v>
      </c>
      <c r="Q12" s="107">
        <v>-0.541233273963049</v>
      </c>
      <c r="R12" s="107">
        <v>-1.11179960423835</v>
      </c>
      <c r="S12" s="107">
        <v>-1.13234514511878</v>
      </c>
      <c r="T12" s="107">
        <v>-0.879711093613919</v>
      </c>
      <c r="U12" s="107">
        <v>-0.736569428250721</v>
      </c>
      <c r="V12" s="107">
        <v>0.303627108107755</v>
      </c>
      <c r="X12" s="144"/>
      <c r="Y12" s="145"/>
      <c r="Z12" s="145"/>
      <c r="AA12" s="145"/>
      <c r="AB12" s="145"/>
      <c r="AC12" s="145"/>
      <c r="AD12" s="145"/>
      <c r="AE12" s="145"/>
      <c r="AF12" s="145"/>
      <c r="AG12" s="146"/>
      <c r="AH12" s="146"/>
      <c r="AI12" s="144"/>
      <c r="AJ12" s="145"/>
      <c r="AK12" s="145"/>
      <c r="AL12" s="145"/>
      <c r="AM12" s="145"/>
      <c r="AN12" s="145"/>
      <c r="AO12" s="145"/>
      <c r="AP12" s="145"/>
      <c r="AQ12" s="145"/>
    </row>
    <row r="13" ht="15.6" spans="1:43">
      <c r="A13" s="101"/>
      <c r="B13" s="147" t="s">
        <v>15</v>
      </c>
      <c r="C13" s="147" t="s">
        <v>45</v>
      </c>
      <c r="D13" s="107">
        <v>0.305880871413959</v>
      </c>
      <c r="E13" s="107">
        <v>0.312690450361572</v>
      </c>
      <c r="F13" s="107">
        <v>0.609971957731519</v>
      </c>
      <c r="G13" s="107">
        <v>0.959722326741751</v>
      </c>
      <c r="H13" s="107">
        <v>0.996783468399015</v>
      </c>
      <c r="I13" s="107">
        <v>0.87863885423966</v>
      </c>
      <c r="J13" s="107">
        <v>0.80661268240486</v>
      </c>
      <c r="K13" s="107">
        <v>0.258493654726148</v>
      </c>
      <c r="M13" s="147" t="s">
        <v>15</v>
      </c>
      <c r="N13" s="147" t="s">
        <v>46</v>
      </c>
      <c r="O13" s="107">
        <v>0.221612348325005</v>
      </c>
      <c r="P13" s="107">
        <v>0.418918827837649</v>
      </c>
      <c r="Q13" s="107">
        <v>-0.486970931374872</v>
      </c>
      <c r="R13" s="107">
        <v>-1.00723174088349</v>
      </c>
      <c r="S13" s="107">
        <v>-1.01060013989136</v>
      </c>
      <c r="T13" s="107">
        <v>-0.903572537378394</v>
      </c>
      <c r="U13" s="107">
        <v>-0.754152133047106</v>
      </c>
      <c r="V13" s="107">
        <v>0.798532111420224</v>
      </c>
      <c r="X13" s="144"/>
      <c r="Y13" s="145"/>
      <c r="Z13" s="145"/>
      <c r="AA13" s="145"/>
      <c r="AB13" s="145"/>
      <c r="AC13" s="145"/>
      <c r="AD13" s="145"/>
      <c r="AE13" s="145"/>
      <c r="AF13" s="145"/>
      <c r="AG13" s="146"/>
      <c r="AH13" s="146"/>
      <c r="AI13" s="144"/>
      <c r="AJ13" s="145"/>
      <c r="AK13" s="145"/>
      <c r="AL13" s="145"/>
      <c r="AM13" s="145"/>
      <c r="AN13" s="145"/>
      <c r="AO13" s="145"/>
      <c r="AP13" s="145"/>
      <c r="AQ13" s="145"/>
    </row>
    <row r="14" ht="15.6" spans="1:43">
      <c r="A14" s="101"/>
      <c r="B14" s="147" t="s">
        <v>15</v>
      </c>
      <c r="C14" s="147" t="s">
        <v>47</v>
      </c>
      <c r="D14" s="107">
        <v>0.620790526790394</v>
      </c>
      <c r="E14" s="107">
        <v>0.589362272128542</v>
      </c>
      <c r="F14" s="107">
        <v>0.953596031151412</v>
      </c>
      <c r="G14" s="107">
        <v>1.03195001232642</v>
      </c>
      <c r="H14" s="107">
        <v>1.14764504722</v>
      </c>
      <c r="I14" s="107">
        <v>1.15276210969584</v>
      </c>
      <c r="J14" s="107">
        <v>0.998490247782289</v>
      </c>
      <c r="K14" s="107">
        <v>0.534808657592224</v>
      </c>
      <c r="M14" s="147" t="s">
        <v>15</v>
      </c>
      <c r="N14" s="147" t="s">
        <v>48</v>
      </c>
      <c r="O14" s="107">
        <v>-0.462055973447952</v>
      </c>
      <c r="P14" s="107">
        <v>-0.394251789570469</v>
      </c>
      <c r="Q14" s="107">
        <v>-0.902157089594909</v>
      </c>
      <c r="R14" s="107">
        <v>-1.0494462457378</v>
      </c>
      <c r="S14" s="107">
        <v>-1.134034028073</v>
      </c>
      <c r="T14" s="107">
        <v>-1.14074368753428</v>
      </c>
      <c r="U14" s="107">
        <v>-0.978722656404423</v>
      </c>
      <c r="V14" s="107">
        <v>-0.272713803723366</v>
      </c>
      <c r="X14" s="144"/>
      <c r="Y14" s="145"/>
      <c r="Z14" s="145"/>
      <c r="AA14" s="145"/>
      <c r="AB14" s="145"/>
      <c r="AC14" s="145"/>
      <c r="AD14" s="145"/>
      <c r="AE14" s="145"/>
      <c r="AF14" s="145"/>
      <c r="AG14" s="146"/>
      <c r="AH14" s="146"/>
      <c r="AI14" s="144"/>
      <c r="AJ14" s="145"/>
      <c r="AK14" s="145"/>
      <c r="AL14" s="145"/>
      <c r="AM14" s="145"/>
      <c r="AN14" s="145"/>
      <c r="AO14" s="145"/>
      <c r="AP14" s="145"/>
      <c r="AQ14" s="145"/>
    </row>
    <row r="15" ht="15.6" spans="1:43">
      <c r="A15" s="101"/>
      <c r="B15" s="147" t="s">
        <v>15</v>
      </c>
      <c r="C15" s="147" t="s">
        <v>53</v>
      </c>
      <c r="D15" s="107">
        <v>0.337379609735086</v>
      </c>
      <c r="E15" s="107">
        <v>0.300439150349849</v>
      </c>
      <c r="F15" s="107">
        <v>0.649746655787799</v>
      </c>
      <c r="G15" s="107">
        <v>0.851685115594032</v>
      </c>
      <c r="H15" s="107">
        <v>0.916557541010313</v>
      </c>
      <c r="I15" s="107">
        <v>0.916052248707647</v>
      </c>
      <c r="J15" s="107">
        <v>0.728990644520286</v>
      </c>
      <c r="K15" s="107">
        <v>0.356058621179539</v>
      </c>
      <c r="M15" s="147" t="s">
        <v>15</v>
      </c>
      <c r="N15" s="147" t="s">
        <v>54</v>
      </c>
      <c r="O15" s="107">
        <v>1.02775108183844</v>
      </c>
      <c r="P15" s="107">
        <v>1.38863529596394</v>
      </c>
      <c r="Q15" s="107">
        <v>-0.241419386525823</v>
      </c>
      <c r="R15" s="107">
        <v>-0.981354797136831</v>
      </c>
      <c r="S15" s="107">
        <v>-0.952471020308064</v>
      </c>
      <c r="T15" s="107">
        <v>-0.968922997764248</v>
      </c>
      <c r="U15" s="107">
        <v>-0.580363382281394</v>
      </c>
      <c r="V15" s="107">
        <v>2.38652394122423</v>
      </c>
      <c r="X15" s="144"/>
      <c r="Y15" s="145"/>
      <c r="Z15" s="145"/>
      <c r="AA15" s="145"/>
      <c r="AB15" s="145"/>
      <c r="AC15" s="145"/>
      <c r="AD15" s="145"/>
      <c r="AE15" s="145"/>
      <c r="AF15" s="145"/>
      <c r="AG15" s="146"/>
      <c r="AH15" s="146"/>
      <c r="AI15" s="144"/>
      <c r="AJ15" s="145"/>
      <c r="AK15" s="145"/>
      <c r="AL15" s="145"/>
      <c r="AM15" s="145"/>
      <c r="AN15" s="145"/>
      <c r="AO15" s="145"/>
      <c r="AP15" s="145"/>
      <c r="AQ15" s="145"/>
    </row>
    <row r="16" ht="15.6" spans="1:43">
      <c r="A16" s="101"/>
      <c r="B16" s="147" t="s">
        <v>15</v>
      </c>
      <c r="C16" s="147" t="s">
        <v>57</v>
      </c>
      <c r="D16" s="107">
        <v>0.30319766743977</v>
      </c>
      <c r="E16" s="107">
        <v>0.407966492584787</v>
      </c>
      <c r="F16" s="107">
        <v>0.44341527028405</v>
      </c>
      <c r="G16" s="107">
        <v>0.866993364349247</v>
      </c>
      <c r="H16" s="107">
        <v>0.882313110035616</v>
      </c>
      <c r="I16" s="107">
        <v>0.633214310469791</v>
      </c>
      <c r="J16" s="107">
        <v>0.730345526140182</v>
      </c>
      <c r="K16" s="107">
        <v>0.509186478321654</v>
      </c>
      <c r="M16" s="147" t="s">
        <v>15</v>
      </c>
      <c r="N16" s="147" t="s">
        <v>58</v>
      </c>
      <c r="O16" s="107">
        <v>0.86976005481045</v>
      </c>
      <c r="P16" s="107">
        <v>1.36479128773429</v>
      </c>
      <c r="Q16" s="107">
        <v>-0.178462664549688</v>
      </c>
      <c r="R16" s="107">
        <v>-0.945664986497076</v>
      </c>
      <c r="S16" s="107">
        <v>-0.912269925996448</v>
      </c>
      <c r="T16" s="107">
        <v>-0.682003797060488</v>
      </c>
      <c r="U16" s="107">
        <v>-0.591709284250162</v>
      </c>
      <c r="V16" s="107">
        <v>2.17387994511889</v>
      </c>
      <c r="X16" s="144"/>
      <c r="Y16" s="145"/>
      <c r="Z16" s="145"/>
      <c r="AA16" s="145"/>
      <c r="AB16" s="145"/>
      <c r="AC16" s="145"/>
      <c r="AD16" s="145"/>
      <c r="AE16" s="145"/>
      <c r="AF16" s="145"/>
      <c r="AG16" s="146"/>
      <c r="AH16" s="146"/>
      <c r="AI16" s="144"/>
      <c r="AJ16" s="145"/>
      <c r="AK16" s="145"/>
      <c r="AL16" s="145"/>
      <c r="AM16" s="145"/>
      <c r="AN16" s="145"/>
      <c r="AO16" s="145"/>
      <c r="AP16" s="145"/>
      <c r="AQ16" s="145"/>
    </row>
    <row r="17" ht="15.6" spans="1:43">
      <c r="A17" s="101"/>
      <c r="B17" s="147" t="s">
        <v>15</v>
      </c>
      <c r="C17" s="147" t="s">
        <v>59</v>
      </c>
      <c r="D17" s="107">
        <v>1.89990134491198</v>
      </c>
      <c r="E17" s="107">
        <v>1.64929169024241</v>
      </c>
      <c r="F17" s="107">
        <v>0.947572167009837</v>
      </c>
      <c r="G17" s="107">
        <v>3.04352435288066</v>
      </c>
      <c r="H17" s="107">
        <v>0.989478222546567</v>
      </c>
      <c r="I17" s="107">
        <v>1.53809989112083</v>
      </c>
      <c r="J17" s="107">
        <v>0.865303945698052</v>
      </c>
      <c r="K17" s="107">
        <v>1.38477321082137</v>
      </c>
      <c r="M17" s="147" t="s">
        <v>15</v>
      </c>
      <c r="N17" s="147" t="s">
        <v>60</v>
      </c>
      <c r="O17" s="107">
        <v>52.6983440571456</v>
      </c>
      <c r="P17" s="107">
        <v>46.3364453146378</v>
      </c>
      <c r="Q17" s="107">
        <v>50.9632664238994</v>
      </c>
      <c r="R17" s="107">
        <v>-32.2981071442223</v>
      </c>
      <c r="S17" s="107">
        <v>-5.54082366322279</v>
      </c>
      <c r="T17" s="107">
        <v>-5.96203742958424</v>
      </c>
      <c r="U17" s="107">
        <v>8.64659391431765</v>
      </c>
      <c r="V17" s="107">
        <v>48.6841647566437</v>
      </c>
      <c r="X17" s="144"/>
      <c r="Y17" s="145"/>
      <c r="Z17" s="145"/>
      <c r="AA17" s="145"/>
      <c r="AB17" s="145"/>
      <c r="AC17" s="145"/>
      <c r="AD17" s="145"/>
      <c r="AE17" s="145"/>
      <c r="AF17" s="145"/>
      <c r="AG17" s="146"/>
      <c r="AH17" s="146"/>
      <c r="AI17" s="144"/>
      <c r="AJ17" s="145"/>
      <c r="AK17" s="145"/>
      <c r="AL17" s="145"/>
      <c r="AM17" s="145"/>
      <c r="AN17" s="145"/>
      <c r="AO17" s="145"/>
      <c r="AP17" s="145"/>
      <c r="AQ17" s="145"/>
    </row>
    <row r="18" ht="15.6" spans="1:43">
      <c r="A18" s="101"/>
      <c r="B18" s="147" t="s">
        <v>15</v>
      </c>
      <c r="C18" s="147" t="s">
        <v>61</v>
      </c>
      <c r="D18" s="107">
        <v>0.258821168939703</v>
      </c>
      <c r="E18" s="107">
        <v>0.288286873130077</v>
      </c>
      <c r="F18" s="107">
        <v>0.496424231733317</v>
      </c>
      <c r="G18" s="107">
        <v>0.855942964375955</v>
      </c>
      <c r="H18" s="107">
        <v>0.863005632014871</v>
      </c>
      <c r="I18" s="107">
        <v>0.675963222869577</v>
      </c>
      <c r="J18" s="107">
        <v>0.706189061591338</v>
      </c>
      <c r="K18" s="107">
        <v>0.26856503024201</v>
      </c>
      <c r="M18" s="147" t="s">
        <v>15</v>
      </c>
      <c r="N18" s="147" t="s">
        <v>62</v>
      </c>
      <c r="O18" s="107">
        <v>1.06025637530976</v>
      </c>
      <c r="P18" s="107">
        <v>1.58673043048178</v>
      </c>
      <c r="Q18" s="107">
        <v>-0.175179821148319</v>
      </c>
      <c r="R18" s="107">
        <v>-0.95772975479527</v>
      </c>
      <c r="S18" s="107">
        <v>-0.898484346845511</v>
      </c>
      <c r="T18" s="107">
        <v>-0.730992706731268</v>
      </c>
      <c r="U18" s="107">
        <v>-0.560500344249462</v>
      </c>
      <c r="V18" s="107">
        <v>2.52036501357428</v>
      </c>
      <c r="X18" s="144"/>
      <c r="Y18" s="145"/>
      <c r="Z18" s="145"/>
      <c r="AA18" s="145"/>
      <c r="AB18" s="145"/>
      <c r="AC18" s="145"/>
      <c r="AD18" s="145"/>
      <c r="AE18" s="145"/>
      <c r="AF18" s="145"/>
      <c r="AG18" s="146"/>
      <c r="AH18" s="146"/>
      <c r="AI18" s="144"/>
      <c r="AJ18" s="145"/>
      <c r="AK18" s="145"/>
      <c r="AL18" s="145"/>
      <c r="AM18" s="145"/>
      <c r="AN18" s="145"/>
      <c r="AO18" s="145"/>
      <c r="AP18" s="145"/>
      <c r="AQ18" s="145"/>
    </row>
    <row r="19" ht="15.6" spans="1:43">
      <c r="A19" s="101"/>
      <c r="B19" s="147" t="s">
        <v>15</v>
      </c>
      <c r="C19" s="147" t="s">
        <v>63</v>
      </c>
      <c r="D19" s="107">
        <v>0.312774333780603</v>
      </c>
      <c r="E19" s="107">
        <v>0.354871663015045</v>
      </c>
      <c r="F19" s="107">
        <v>0.533394678524283</v>
      </c>
      <c r="G19" s="107">
        <v>0.894059741935329</v>
      </c>
      <c r="H19" s="107">
        <v>1.11957828454185</v>
      </c>
      <c r="I19" s="107">
        <v>0.829394937860886</v>
      </c>
      <c r="J19" s="107">
        <v>0.667859416896669</v>
      </c>
      <c r="K19" s="107">
        <v>0.357607013679641</v>
      </c>
      <c r="M19" s="147" t="s">
        <v>15</v>
      </c>
      <c r="N19" s="147" t="s">
        <v>64</v>
      </c>
      <c r="O19" s="107">
        <v>1.60973116867074</v>
      </c>
      <c r="P19" s="107">
        <v>2.34870778173623</v>
      </c>
      <c r="Q19" s="107">
        <v>-0.0542376987973611</v>
      </c>
      <c r="R19" s="107">
        <v>-1.04148448264087</v>
      </c>
      <c r="S19" s="107">
        <v>-1.16720709086342</v>
      </c>
      <c r="T19" s="107">
        <v>-0.905244810004468</v>
      </c>
      <c r="U19" s="107">
        <v>-0.452416021959189</v>
      </c>
      <c r="V19" s="107">
        <v>3.61886273888684</v>
      </c>
      <c r="X19" s="144"/>
      <c r="Y19" s="145"/>
      <c r="Z19" s="145"/>
      <c r="AA19" s="145"/>
      <c r="AB19" s="145"/>
      <c r="AC19" s="145"/>
      <c r="AD19" s="145"/>
      <c r="AE19" s="145"/>
      <c r="AF19" s="145"/>
      <c r="AG19" s="146"/>
      <c r="AH19" s="146"/>
      <c r="AI19" s="144"/>
      <c r="AJ19" s="145"/>
      <c r="AK19" s="145"/>
      <c r="AL19" s="145"/>
      <c r="AM19" s="145"/>
      <c r="AN19" s="145"/>
      <c r="AO19" s="145"/>
      <c r="AP19" s="145"/>
      <c r="AQ19" s="145"/>
    </row>
    <row r="20" ht="15.6" spans="1:43">
      <c r="B20" s="147" t="s">
        <v>15</v>
      </c>
      <c r="C20" s="147" t="s">
        <v>65</v>
      </c>
      <c r="D20" s="107">
        <v>1.66562863677206</v>
      </c>
      <c r="E20" s="107">
        <v>1.46903889954245</v>
      </c>
      <c r="F20" s="107">
        <v>1.83855203898502</v>
      </c>
      <c r="G20" s="107">
        <v>2.28757894083617</v>
      </c>
      <c r="H20" s="107">
        <v>1.54250679235557</v>
      </c>
      <c r="I20" s="107">
        <v>0.786206268556942</v>
      </c>
      <c r="J20" s="107">
        <v>1.21476969427574</v>
      </c>
      <c r="K20" s="107">
        <v>1.23515890287068</v>
      </c>
      <c r="M20" s="147" t="s">
        <v>15</v>
      </c>
      <c r="N20" s="147" t="s">
        <v>66</v>
      </c>
      <c r="O20" s="107">
        <v>4.69262134527209</v>
      </c>
      <c r="P20" s="107">
        <v>4.55710606350369</v>
      </c>
      <c r="Q20" s="107">
        <v>2.09534300958444</v>
      </c>
      <c r="R20" s="107">
        <v>-4.96920068684402</v>
      </c>
      <c r="S20" s="107">
        <v>-2.00750300320306</v>
      </c>
      <c r="T20" s="107">
        <v>-1.29378053820698</v>
      </c>
      <c r="U20" s="107">
        <v>-0.276335817490566</v>
      </c>
      <c r="V20" s="107">
        <v>4.95517607001921</v>
      </c>
      <c r="X20" s="144"/>
      <c r="Y20" s="145"/>
      <c r="Z20" s="145"/>
      <c r="AA20" s="145"/>
      <c r="AB20" s="145"/>
      <c r="AC20" s="145"/>
      <c r="AD20" s="145"/>
      <c r="AE20" s="145"/>
      <c r="AF20" s="145"/>
      <c r="AG20" s="146"/>
      <c r="AH20" s="146"/>
      <c r="AI20" s="144"/>
      <c r="AJ20" s="145"/>
      <c r="AK20" s="145"/>
      <c r="AL20" s="145"/>
      <c r="AM20" s="145"/>
      <c r="AN20" s="145"/>
      <c r="AO20" s="145"/>
      <c r="AP20" s="145"/>
      <c r="AQ20" s="145"/>
    </row>
    <row r="21" ht="15.6" spans="1:43">
      <c r="B21" s="143" t="str">
        <f>X21</f>
        <v>D02</v>
      </c>
      <c r="C21" s="143"/>
      <c r="D21" s="103">
        <f>Y21</f>
        <v>1.14189039515574</v>
      </c>
      <c r="E21" s="103">
        <f t="shared" ref="E21" si="48">Z21</f>
        <v>1.12838712966823</v>
      </c>
      <c r="F21" s="103">
        <f t="shared" ref="F21" si="49">AA21</f>
        <v>1.12085918120607</v>
      </c>
      <c r="G21" s="103">
        <f t="shared" ref="G21" si="50">AB21</f>
        <v>1.49512453667373</v>
      </c>
      <c r="H21" s="103">
        <f t="shared" ref="H21" si="51">AC21</f>
        <v>1.58851872160766</v>
      </c>
      <c r="I21" s="103">
        <f t="shared" ref="I21" si="52">AD21</f>
        <v>1.25024216967319</v>
      </c>
      <c r="J21" s="103">
        <f t="shared" ref="J21" si="53">AE21</f>
        <v>1.37398457494911</v>
      </c>
      <c r="K21" s="103">
        <f t="shared" ref="K21" si="54">AF21</f>
        <v>0.927535089801782</v>
      </c>
      <c r="L21" s="143"/>
      <c r="M21" s="143" t="str">
        <f t="shared" ref="M21" si="55">AI21</f>
        <v>D02</v>
      </c>
      <c r="N21" s="143"/>
      <c r="O21" s="103">
        <f>AJ21</f>
        <v>-1.16149362622057</v>
      </c>
      <c r="P21" s="103">
        <f t="shared" ref="P21" si="56">AK21</f>
        <v>-1.12524848902713</v>
      </c>
      <c r="Q21" s="103">
        <f t="shared" ref="Q21" si="57">AL21</f>
        <v>-1.34963866958306</v>
      </c>
      <c r="R21" s="103">
        <f t="shared" ref="R21" si="58">AM21</f>
        <v>-1.57984058672639</v>
      </c>
      <c r="S21" s="103">
        <f t="shared" ref="S21" si="59">AN21</f>
        <v>-1.68421827986754</v>
      </c>
      <c r="T21" s="103">
        <f t="shared" ref="T21" si="60">AO21</f>
        <v>-1.51228623796923</v>
      </c>
      <c r="U21" s="103">
        <f t="shared" ref="U21" si="61">AP21</f>
        <v>-1.51410494774529</v>
      </c>
      <c r="V21" s="103">
        <f t="shared" ref="V21" si="62">AQ21</f>
        <v>-0.738002205377876</v>
      </c>
      <c r="X21" s="144" t="s">
        <v>16</v>
      </c>
      <c r="Y21" s="145">
        <v>1.14189039515574</v>
      </c>
      <c r="Z21" s="145">
        <v>1.12838712966823</v>
      </c>
      <c r="AA21" s="145">
        <v>1.12085918120607</v>
      </c>
      <c r="AB21" s="145">
        <v>1.49512453667373</v>
      </c>
      <c r="AC21" s="145">
        <v>1.58851872160766</v>
      </c>
      <c r="AD21" s="145">
        <v>1.25024216967319</v>
      </c>
      <c r="AE21" s="145">
        <v>1.37398457494911</v>
      </c>
      <c r="AF21" s="145">
        <v>0.927535089801782</v>
      </c>
      <c r="AG21" s="146"/>
      <c r="AH21" s="146"/>
      <c r="AI21" s="144" t="s">
        <v>16</v>
      </c>
      <c r="AJ21" s="145">
        <v>-1.16149362622057</v>
      </c>
      <c r="AK21" s="145">
        <v>-1.12524848902713</v>
      </c>
      <c r="AL21" s="145">
        <v>-1.34963866958306</v>
      </c>
      <c r="AM21" s="145">
        <v>-1.57984058672639</v>
      </c>
      <c r="AN21" s="145">
        <v>-1.68421827986754</v>
      </c>
      <c r="AO21" s="145">
        <v>-1.51228623796923</v>
      </c>
      <c r="AP21" s="145">
        <v>-1.51410494774529</v>
      </c>
      <c r="AQ21" s="145">
        <v>-0.738002205377876</v>
      </c>
    </row>
    <row r="22" ht="15.6" spans="1:43">
      <c r="A22" s="101"/>
      <c r="B22" s="147" t="s">
        <v>16</v>
      </c>
      <c r="C22" s="147" t="s">
        <v>75</v>
      </c>
      <c r="D22" s="107">
        <v>1.22679198408903</v>
      </c>
      <c r="E22" s="107">
        <v>1.21754842016599</v>
      </c>
      <c r="F22" s="107">
        <v>1.06231998539538</v>
      </c>
      <c r="G22" s="107">
        <v>1.45536678848452</v>
      </c>
      <c r="H22" s="107">
        <v>1.4566490410116</v>
      </c>
      <c r="I22" s="107">
        <v>1.09644622819152</v>
      </c>
      <c r="J22" s="107">
        <v>1.15402511389987</v>
      </c>
      <c r="K22" s="107">
        <v>1.02726836549101</v>
      </c>
      <c r="M22" s="147" t="s">
        <v>16</v>
      </c>
      <c r="N22" s="147" t="s">
        <v>76</v>
      </c>
      <c r="O22" s="107">
        <v>0.228213031463564</v>
      </c>
      <c r="P22" s="107">
        <v>0.338931795605491</v>
      </c>
      <c r="Q22" s="107">
        <v>-0.465676421808649</v>
      </c>
      <c r="R22" s="107">
        <v>-1.7664923368685</v>
      </c>
      <c r="S22" s="107">
        <v>-1.52137508696932</v>
      </c>
      <c r="T22" s="107">
        <v>-1.17504337698429</v>
      </c>
      <c r="U22" s="107">
        <v>-0.956988637485987</v>
      </c>
      <c r="V22" s="107">
        <v>0.662155710114007</v>
      </c>
      <c r="X22" s="144"/>
      <c r="Y22" s="145"/>
      <c r="Z22" s="145"/>
      <c r="AA22" s="145"/>
      <c r="AB22" s="145"/>
      <c r="AC22" s="145"/>
      <c r="AD22" s="145"/>
      <c r="AE22" s="145"/>
      <c r="AF22" s="145"/>
      <c r="AG22" s="146"/>
      <c r="AH22" s="146"/>
      <c r="AI22" s="144"/>
      <c r="AJ22" s="145"/>
      <c r="AK22" s="145"/>
      <c r="AL22" s="145"/>
      <c r="AM22" s="145"/>
      <c r="AN22" s="145"/>
      <c r="AO22" s="145"/>
      <c r="AP22" s="145"/>
      <c r="AQ22" s="145"/>
    </row>
    <row r="23" ht="15.6" spans="1:43">
      <c r="A23" s="101"/>
      <c r="B23" s="147" t="s">
        <v>16</v>
      </c>
      <c r="C23" s="147" t="s">
        <v>77</v>
      </c>
      <c r="D23" s="107">
        <v>0.76226492076565</v>
      </c>
      <c r="E23" s="107">
        <v>0.782803311553515</v>
      </c>
      <c r="F23" s="107">
        <v>0.746650544026967</v>
      </c>
      <c r="G23" s="107">
        <v>1.12104417758278</v>
      </c>
      <c r="H23" s="107">
        <v>1.08371432937773</v>
      </c>
      <c r="I23" s="107">
        <v>1.102428671332</v>
      </c>
      <c r="J23" s="107">
        <v>0.918382284859842</v>
      </c>
      <c r="K23" s="107">
        <v>0.992033053931839</v>
      </c>
      <c r="M23" s="147" t="s">
        <v>16</v>
      </c>
      <c r="N23" s="147" t="s">
        <v>78</v>
      </c>
      <c r="O23" s="107">
        <v>2.62633916586624</v>
      </c>
      <c r="P23" s="107">
        <v>3.11383903483126</v>
      </c>
      <c r="Q23" s="107">
        <v>0.426858450804962</v>
      </c>
      <c r="R23" s="107">
        <v>-1.48515875518657</v>
      </c>
      <c r="S23" s="107">
        <v>-1.1788307498103</v>
      </c>
      <c r="T23" s="107">
        <v>-1.23232736101789</v>
      </c>
      <c r="U23" s="107">
        <v>-0.495825926405645</v>
      </c>
      <c r="V23" s="107">
        <v>4.76390433413242</v>
      </c>
      <c r="X23" s="144"/>
      <c r="Y23" s="145"/>
      <c r="Z23" s="145"/>
      <c r="AA23" s="145"/>
      <c r="AB23" s="145"/>
      <c r="AC23" s="145"/>
      <c r="AD23" s="145"/>
      <c r="AE23" s="145"/>
      <c r="AF23" s="145"/>
      <c r="AG23" s="146"/>
      <c r="AH23" s="146"/>
      <c r="AI23" s="144"/>
      <c r="AJ23" s="145"/>
      <c r="AK23" s="145"/>
      <c r="AL23" s="145"/>
      <c r="AM23" s="145"/>
      <c r="AN23" s="145"/>
      <c r="AO23" s="145"/>
      <c r="AP23" s="145"/>
      <c r="AQ23" s="145"/>
    </row>
    <row r="24" ht="15.6" spans="1:43">
      <c r="A24" s="101"/>
      <c r="B24" s="147" t="s">
        <v>16</v>
      </c>
      <c r="C24" s="147" t="s">
        <v>79</v>
      </c>
      <c r="D24" s="107">
        <v>0.650229355110504</v>
      </c>
      <c r="E24" s="107">
        <v>0.652103281172081</v>
      </c>
      <c r="F24" s="107">
        <v>0.836648200828729</v>
      </c>
      <c r="G24" s="107">
        <v>1.23299798547828</v>
      </c>
      <c r="H24" s="107">
        <v>1.34436762295961</v>
      </c>
      <c r="I24" s="107">
        <v>1.2471350167773</v>
      </c>
      <c r="J24" s="107">
        <v>1.00963891354886</v>
      </c>
      <c r="K24" s="107">
        <v>0.357716221197293</v>
      </c>
      <c r="M24" s="147" t="s">
        <v>16</v>
      </c>
      <c r="N24" s="147" t="s">
        <v>80</v>
      </c>
      <c r="O24" s="107">
        <v>28.9938252059426</v>
      </c>
      <c r="P24" s="107">
        <v>34.6327901558457</v>
      </c>
      <c r="Q24" s="107">
        <v>8.76443173542817</v>
      </c>
      <c r="R24" s="107">
        <v>-5.96635055261977</v>
      </c>
      <c r="S24" s="107">
        <v>-2.52946522169143</v>
      </c>
      <c r="T24" s="107">
        <v>-2.71630833348713</v>
      </c>
      <c r="U24" s="107">
        <v>2.94645270628957</v>
      </c>
      <c r="V24" s="107">
        <v>37.5128945483116</v>
      </c>
      <c r="X24" s="144"/>
      <c r="Y24" s="145"/>
      <c r="Z24" s="145"/>
      <c r="AA24" s="145"/>
      <c r="AB24" s="145"/>
      <c r="AC24" s="145"/>
      <c r="AD24" s="145"/>
      <c r="AE24" s="145"/>
      <c r="AF24" s="145"/>
      <c r="AG24" s="146"/>
      <c r="AH24" s="146"/>
      <c r="AI24" s="144"/>
      <c r="AJ24" s="145"/>
      <c r="AK24" s="145"/>
      <c r="AL24" s="145"/>
      <c r="AM24" s="145"/>
      <c r="AN24" s="145"/>
      <c r="AO24" s="145"/>
      <c r="AP24" s="145"/>
      <c r="AQ24" s="145"/>
    </row>
    <row r="25" ht="15.6" spans="1:43">
      <c r="A25" s="101"/>
      <c r="B25" s="147" t="s">
        <v>16</v>
      </c>
      <c r="C25" s="147" t="s">
        <v>81</v>
      </c>
      <c r="D25" s="107">
        <v>0.736004087738615</v>
      </c>
      <c r="E25" s="107">
        <v>0.712184353351356</v>
      </c>
      <c r="F25" s="107">
        <v>1.03825291992821</v>
      </c>
      <c r="G25" s="107">
        <v>1.05225285346824</v>
      </c>
      <c r="H25" s="107">
        <v>1.14103405104571</v>
      </c>
      <c r="I25" s="107">
        <v>1.17480523478155</v>
      </c>
      <c r="J25" s="107">
        <v>1.15736897246988</v>
      </c>
      <c r="K25" s="107">
        <v>0.606927841848736</v>
      </c>
      <c r="M25" s="147" t="s">
        <v>16</v>
      </c>
      <c r="N25" s="147" t="s">
        <v>82</v>
      </c>
      <c r="O25" s="107">
        <v>6.25171485525664</v>
      </c>
      <c r="P25" s="107">
        <v>7.46807777827435</v>
      </c>
      <c r="Q25" s="107">
        <v>1.29646906658528</v>
      </c>
      <c r="R25" s="107">
        <v>-2.16835292460894</v>
      </c>
      <c r="S25" s="107">
        <v>-1.26372720024574</v>
      </c>
      <c r="T25" s="107">
        <v>-1.49728900420705</v>
      </c>
      <c r="U25" s="107">
        <v>-0.369246719466414</v>
      </c>
      <c r="V25" s="107">
        <v>9.37249882626441</v>
      </c>
      <c r="X25" s="144"/>
      <c r="Y25" s="145"/>
      <c r="Z25" s="145"/>
      <c r="AA25" s="145"/>
      <c r="AB25" s="145"/>
      <c r="AC25" s="145"/>
      <c r="AD25" s="145"/>
      <c r="AE25" s="145"/>
      <c r="AF25" s="145"/>
      <c r="AG25" s="146"/>
      <c r="AH25" s="146"/>
      <c r="AI25" s="144"/>
      <c r="AJ25" s="145"/>
      <c r="AK25" s="145"/>
      <c r="AL25" s="145"/>
      <c r="AM25" s="145"/>
      <c r="AN25" s="145"/>
      <c r="AO25" s="145"/>
      <c r="AP25" s="145"/>
      <c r="AQ25" s="145"/>
    </row>
    <row r="26" ht="15.6" spans="1:43">
      <c r="A26" s="101"/>
      <c r="B26" s="147" t="s">
        <v>16</v>
      </c>
      <c r="C26" s="147" t="s">
        <v>83</v>
      </c>
      <c r="D26" s="107">
        <v>3.02775437441953</v>
      </c>
      <c r="E26" s="107">
        <v>3.18584428182805</v>
      </c>
      <c r="F26" s="107">
        <v>1.29547520611548</v>
      </c>
      <c r="G26" s="107">
        <v>1.64371071132692</v>
      </c>
      <c r="H26" s="107">
        <v>0.934639319947921</v>
      </c>
      <c r="I26" s="107">
        <v>2.44287049846337</v>
      </c>
      <c r="J26" s="107">
        <v>1.05493433740377</v>
      </c>
      <c r="K26" s="107">
        <v>3.03333760511837</v>
      </c>
      <c r="M26" s="147" t="s">
        <v>16</v>
      </c>
      <c r="N26" s="147" t="s">
        <v>84</v>
      </c>
      <c r="O26" s="107">
        <v>15.9329704098913</v>
      </c>
      <c r="P26" s="107">
        <v>16.5616323853206</v>
      </c>
      <c r="Q26" s="107">
        <v>7.07687289334518</v>
      </c>
      <c r="R26" s="107">
        <v>-6.10841732041112</v>
      </c>
      <c r="S26" s="107">
        <v>-1.89216375330369</v>
      </c>
      <c r="T26" s="107">
        <v>-3.66681042831949</v>
      </c>
      <c r="U26" s="107">
        <v>2.1333577290719</v>
      </c>
      <c r="V26" s="107">
        <v>16.6656277858984</v>
      </c>
      <c r="X26" s="144"/>
      <c r="Y26" s="145"/>
      <c r="Z26" s="145"/>
      <c r="AA26" s="145"/>
      <c r="AB26" s="145"/>
      <c r="AC26" s="145"/>
      <c r="AD26" s="145"/>
      <c r="AE26" s="145"/>
      <c r="AF26" s="145"/>
      <c r="AG26" s="146"/>
      <c r="AH26" s="146"/>
      <c r="AI26" s="144"/>
      <c r="AJ26" s="145"/>
      <c r="AK26" s="145"/>
      <c r="AL26" s="145"/>
      <c r="AM26" s="145"/>
      <c r="AN26" s="145"/>
      <c r="AO26" s="145"/>
      <c r="AP26" s="145"/>
      <c r="AQ26" s="145"/>
    </row>
    <row r="27" ht="15.6" spans="1:43">
      <c r="A27" s="101"/>
      <c r="B27" s="147" t="s">
        <v>16</v>
      </c>
      <c r="C27" s="147" t="s">
        <v>85</v>
      </c>
      <c r="D27" s="107">
        <v>0.575030246811611</v>
      </c>
      <c r="E27" s="107">
        <v>0.496005918581941</v>
      </c>
      <c r="F27" s="107">
        <v>0.688945905122132</v>
      </c>
      <c r="G27" s="107">
        <v>1.37099941131234</v>
      </c>
      <c r="H27" s="107">
        <v>1.19223235970627</v>
      </c>
      <c r="I27" s="107">
        <v>1.41554640468445</v>
      </c>
      <c r="J27" s="107">
        <v>0.693280930654197</v>
      </c>
      <c r="K27" s="107">
        <v>0.579378869344302</v>
      </c>
      <c r="M27" s="147" t="s">
        <v>16</v>
      </c>
      <c r="N27" s="147" t="s">
        <v>86</v>
      </c>
      <c r="O27" s="107">
        <v>17.9234158715535</v>
      </c>
      <c r="P27" s="107">
        <v>18.739476349319</v>
      </c>
      <c r="Q27" s="107">
        <v>7.51170316964546</v>
      </c>
      <c r="R27" s="107">
        <v>-4.01119257176771</v>
      </c>
      <c r="S27" s="107">
        <v>-1.95695137450325</v>
      </c>
      <c r="T27" s="107">
        <v>-2.280800288269</v>
      </c>
      <c r="U27" s="107">
        <v>0.825843797087698</v>
      </c>
      <c r="V27" s="107">
        <v>31.8380361582918</v>
      </c>
      <c r="X27" s="144"/>
      <c r="Y27" s="145"/>
      <c r="Z27" s="145"/>
      <c r="AA27" s="145"/>
      <c r="AB27" s="145"/>
      <c r="AC27" s="145"/>
      <c r="AD27" s="145"/>
      <c r="AE27" s="145"/>
      <c r="AF27" s="145"/>
      <c r="AG27" s="146"/>
      <c r="AH27" s="146"/>
      <c r="AI27" s="144"/>
      <c r="AJ27" s="145"/>
      <c r="AK27" s="145"/>
      <c r="AL27" s="145"/>
      <c r="AM27" s="145"/>
      <c r="AN27" s="145"/>
      <c r="AO27" s="145"/>
      <c r="AP27" s="145"/>
      <c r="AQ27" s="145"/>
    </row>
    <row r="28" ht="15.6" spans="1:43">
      <c r="A28" s="101"/>
      <c r="B28" s="147" t="s">
        <v>16</v>
      </c>
      <c r="C28" s="147" t="s">
        <v>87</v>
      </c>
      <c r="D28" s="107">
        <v>1.59308540956944</v>
      </c>
      <c r="E28" s="107">
        <v>1.30032008997484</v>
      </c>
      <c r="F28" s="107">
        <v>2.44323148175443</v>
      </c>
      <c r="G28" s="107">
        <v>1.00287291310914</v>
      </c>
      <c r="H28" s="107">
        <v>1.01332368462154</v>
      </c>
      <c r="I28" s="107">
        <v>1.7778182829357</v>
      </c>
      <c r="J28" s="107">
        <v>1.19982192412826</v>
      </c>
      <c r="K28" s="107">
        <v>1.01484153359969</v>
      </c>
      <c r="M28" s="147" t="s">
        <v>16</v>
      </c>
      <c r="N28" s="147" t="s">
        <v>88</v>
      </c>
      <c r="O28" s="107">
        <v>10.8945448159756</v>
      </c>
      <c r="P28" s="107">
        <v>9.88078685482103</v>
      </c>
      <c r="Q28" s="107">
        <v>8.0101202314679</v>
      </c>
      <c r="R28" s="107">
        <v>-8.15986697804567</v>
      </c>
      <c r="S28" s="107">
        <v>-2.76068855927317</v>
      </c>
      <c r="T28" s="107">
        <v>-2.94221946116822</v>
      </c>
      <c r="U28" s="107">
        <v>0.641325565237466</v>
      </c>
      <c r="V28" s="107">
        <v>10.3529485236784</v>
      </c>
      <c r="X28" s="144"/>
      <c r="Y28" s="145"/>
      <c r="Z28" s="145"/>
      <c r="AA28" s="145"/>
      <c r="AB28" s="145"/>
      <c r="AC28" s="145"/>
      <c r="AD28" s="145"/>
      <c r="AE28" s="145"/>
      <c r="AF28" s="145"/>
      <c r="AG28" s="146"/>
      <c r="AH28" s="146"/>
      <c r="AI28" s="144"/>
      <c r="AJ28" s="145"/>
      <c r="AK28" s="145"/>
      <c r="AL28" s="145"/>
      <c r="AM28" s="145"/>
      <c r="AN28" s="145"/>
      <c r="AO28" s="145"/>
      <c r="AP28" s="145"/>
      <c r="AQ28" s="145"/>
    </row>
    <row r="29" ht="15.6" spans="1:43">
      <c r="B29" s="147" t="s">
        <v>16</v>
      </c>
      <c r="C29" s="147" t="s">
        <v>89</v>
      </c>
      <c r="D29" s="107">
        <v>0.914097786785599</v>
      </c>
      <c r="E29" s="107">
        <v>0.875735849681408</v>
      </c>
      <c r="F29" s="107">
        <v>0.992008051101883</v>
      </c>
      <c r="G29" s="107">
        <v>0.985262441006294</v>
      </c>
      <c r="H29" s="107">
        <v>1.15130076557903</v>
      </c>
      <c r="I29" s="107">
        <v>1.25470950333316</v>
      </c>
      <c r="J29" s="107">
        <v>0.941940963096634</v>
      </c>
      <c r="K29" s="107">
        <v>0.809940586288838</v>
      </c>
      <c r="M29" s="147" t="s">
        <v>16</v>
      </c>
      <c r="N29" s="147" t="s">
        <v>90</v>
      </c>
      <c r="O29" s="107">
        <v>2.21639883749838</v>
      </c>
      <c r="P29" s="107">
        <v>2.51657534989565</v>
      </c>
      <c r="Q29" s="107">
        <v>0.249558106710041</v>
      </c>
      <c r="R29" s="107">
        <v>-1.50620856106805</v>
      </c>
      <c r="S29" s="107">
        <v>-1.27036977102704</v>
      </c>
      <c r="T29" s="107">
        <v>-1.39462891605983</v>
      </c>
      <c r="U29" s="107">
        <v>-0.525329668124831</v>
      </c>
      <c r="V29" s="107">
        <v>3.32091325989384</v>
      </c>
      <c r="X29" s="144"/>
      <c r="Y29" s="145"/>
      <c r="Z29" s="145"/>
      <c r="AA29" s="145"/>
      <c r="AB29" s="145"/>
      <c r="AC29" s="145"/>
      <c r="AD29" s="145"/>
      <c r="AE29" s="145"/>
      <c r="AF29" s="145"/>
      <c r="AG29" s="146"/>
      <c r="AH29" s="146"/>
      <c r="AI29" s="144"/>
      <c r="AJ29" s="145"/>
      <c r="AK29" s="145"/>
      <c r="AL29" s="145"/>
      <c r="AM29" s="145"/>
      <c r="AN29" s="145"/>
      <c r="AO29" s="145"/>
      <c r="AP29" s="145"/>
      <c r="AQ29" s="145"/>
    </row>
    <row r="30" ht="15.6" spans="1:43">
      <c r="B30" s="143" t="str">
        <f>X30</f>
        <v>D03</v>
      </c>
      <c r="C30" s="143"/>
      <c r="D30" s="103">
        <f>Y30</f>
        <v>0.685367010416078</v>
      </c>
      <c r="E30" s="103">
        <f t="shared" ref="E30" si="63">Z30</f>
        <v>0.626435898717174</v>
      </c>
      <c r="F30" s="103">
        <f t="shared" ref="F30" si="64">AA30</f>
        <v>0.874464621055748</v>
      </c>
      <c r="G30" s="103">
        <f t="shared" ref="G30" si="65">AB30</f>
        <v>1.15077894988322</v>
      </c>
      <c r="H30" s="103">
        <f t="shared" ref="H30" si="66">AC30</f>
        <v>0.808820623834407</v>
      </c>
      <c r="I30" s="103">
        <f t="shared" ref="I30" si="67">AD30</f>
        <v>1.13431086732546</v>
      </c>
      <c r="J30" s="103">
        <f t="shared" ref="J30" si="68">AE30</f>
        <v>1.0577608021773</v>
      </c>
      <c r="K30" s="103">
        <f t="shared" ref="K30" si="69">AF30</f>
        <v>0.512121388844157</v>
      </c>
      <c r="L30" s="143"/>
      <c r="M30" s="143" t="str">
        <f t="shared" ref="M30" si="70">AI30</f>
        <v>D03</v>
      </c>
      <c r="N30" s="143"/>
      <c r="O30" s="103">
        <f>AJ30</f>
        <v>-0.719107337379179</v>
      </c>
      <c r="P30" s="103">
        <f t="shared" ref="P30" si="71">AK30</f>
        <v>-0.639055148250494</v>
      </c>
      <c r="Q30" s="103">
        <f t="shared" ref="Q30" si="72">AL30</f>
        <v>-1.09922164608875</v>
      </c>
      <c r="R30" s="103">
        <f t="shared" ref="R30" si="73">AM30</f>
        <v>-1.20965033907588</v>
      </c>
      <c r="S30" s="103">
        <f t="shared" ref="S30" si="74">AN30</f>
        <v>-0.900506966025247</v>
      </c>
      <c r="T30" s="103">
        <f t="shared" ref="T30" si="75">AO30</f>
        <v>-1.32990053379881</v>
      </c>
      <c r="U30" s="103">
        <f t="shared" ref="U30" si="76">AP30</f>
        <v>-1.19784164748933</v>
      </c>
      <c r="V30" s="103">
        <f t="shared" ref="V30" si="77">AQ30</f>
        <v>-0.292258308703471</v>
      </c>
      <c r="X30" s="144" t="s">
        <v>17</v>
      </c>
      <c r="Y30" s="145">
        <v>0.685367010416078</v>
      </c>
      <c r="Z30" s="145">
        <v>0.626435898717174</v>
      </c>
      <c r="AA30" s="145">
        <v>0.874464621055748</v>
      </c>
      <c r="AB30" s="145">
        <v>1.15077894988322</v>
      </c>
      <c r="AC30" s="145">
        <v>0.808820623834407</v>
      </c>
      <c r="AD30" s="145">
        <v>1.13431086732546</v>
      </c>
      <c r="AE30" s="145">
        <v>1.0577608021773</v>
      </c>
      <c r="AF30" s="145">
        <v>0.512121388844157</v>
      </c>
      <c r="AG30" s="148"/>
      <c r="AH30" s="148"/>
      <c r="AI30" s="144" t="s">
        <v>17</v>
      </c>
      <c r="AJ30" s="145">
        <v>-0.719107337379179</v>
      </c>
      <c r="AK30" s="145">
        <v>-0.639055148250494</v>
      </c>
      <c r="AL30" s="145">
        <v>-1.09922164608875</v>
      </c>
      <c r="AM30" s="145">
        <v>-1.20965033907588</v>
      </c>
      <c r="AN30" s="145">
        <v>-0.900506966025247</v>
      </c>
      <c r="AO30" s="145">
        <v>-1.32990053379881</v>
      </c>
      <c r="AP30" s="145">
        <v>-1.19784164748933</v>
      </c>
      <c r="AQ30" s="145">
        <v>-0.292258308703471</v>
      </c>
    </row>
    <row r="31" ht="15.6" spans="1:43">
      <c r="A31" s="101"/>
      <c r="B31" s="147" t="s">
        <v>17</v>
      </c>
      <c r="C31" s="147" t="s">
        <v>113</v>
      </c>
      <c r="D31" s="107">
        <v>0.744552079498027</v>
      </c>
      <c r="E31" s="107">
        <v>0.611229945806402</v>
      </c>
      <c r="F31" s="107">
        <v>0.822840600219738</v>
      </c>
      <c r="G31" s="107">
        <v>1.22158373910976</v>
      </c>
      <c r="H31" s="107">
        <v>1.05699936508101</v>
      </c>
      <c r="I31" s="107">
        <v>0.896394191559931</v>
      </c>
      <c r="J31" s="107">
        <v>0.911004156724427</v>
      </c>
      <c r="K31" s="107">
        <v>0.732843214741301</v>
      </c>
      <c r="M31" s="147" t="s">
        <v>17</v>
      </c>
      <c r="N31" s="147" t="s">
        <v>114</v>
      </c>
      <c r="O31" s="107">
        <v>0.0956144684940208</v>
      </c>
      <c r="P31" s="107">
        <v>0.190206693946595</v>
      </c>
      <c r="Q31" s="107">
        <v>-0.318728959582802</v>
      </c>
      <c r="R31" s="107">
        <v>-1.33521180194855</v>
      </c>
      <c r="S31" s="107">
        <v>-1.08387649965448</v>
      </c>
      <c r="T31" s="107">
        <v>-0.934532655234472</v>
      </c>
      <c r="U31" s="107">
        <v>-0.812108520308666</v>
      </c>
      <c r="V31" s="107">
        <v>0.524440911565881</v>
      </c>
      <c r="X31" s="144"/>
      <c r="Y31" s="145"/>
      <c r="Z31" s="145"/>
      <c r="AA31" s="145"/>
      <c r="AB31" s="145"/>
      <c r="AC31" s="145"/>
      <c r="AD31" s="145"/>
      <c r="AE31" s="145"/>
      <c r="AF31" s="145"/>
      <c r="AG31" s="148"/>
      <c r="AH31" s="148"/>
      <c r="AI31" s="144"/>
      <c r="AJ31" s="145"/>
      <c r="AK31" s="145"/>
      <c r="AL31" s="145"/>
      <c r="AM31" s="145"/>
      <c r="AN31" s="145"/>
      <c r="AO31" s="145"/>
      <c r="AP31" s="145"/>
      <c r="AQ31" s="145"/>
    </row>
    <row r="32" ht="15.6" spans="1:43">
      <c r="A32" s="101"/>
      <c r="B32" s="143" t="str">
        <f>X32</f>
        <v>D04</v>
      </c>
      <c r="C32" s="143"/>
      <c r="D32" s="103">
        <f>Y32</f>
        <v>2.45139625231847</v>
      </c>
      <c r="E32" s="103">
        <f t="shared" ref="E32" si="78">Z32</f>
        <v>2.37576013446674</v>
      </c>
      <c r="F32" s="103">
        <f t="shared" ref="F32" si="79">AA32</f>
        <v>2.24445933387293</v>
      </c>
      <c r="G32" s="103">
        <f t="shared" ref="G32" si="80">AB32</f>
        <v>1.33734224347324</v>
      </c>
      <c r="H32" s="103">
        <f t="shared" ref="H32" si="81">AC32</f>
        <v>1.27004280132967</v>
      </c>
      <c r="I32" s="103">
        <f t="shared" ref="I32" si="82">AD32</f>
        <v>1.73164793118082</v>
      </c>
      <c r="J32" s="103">
        <f t="shared" ref="J32" si="83">AE32</f>
        <v>1.40804871796054</v>
      </c>
      <c r="K32" s="103">
        <f t="shared" ref="K32" si="84">AF32</f>
        <v>2.16039166639925</v>
      </c>
      <c r="L32" s="143"/>
      <c r="M32" s="143" t="str">
        <f t="shared" ref="M32" si="85">AI32</f>
        <v>D04</v>
      </c>
      <c r="N32" s="143"/>
      <c r="O32" s="103">
        <f>AJ32</f>
        <v>-2.26953369514929</v>
      </c>
      <c r="P32" s="103">
        <f t="shared" ref="P32" si="86">AK32</f>
        <v>-2.17849653890656</v>
      </c>
      <c r="Q32" s="103">
        <f t="shared" ref="Q32" si="87">AL32</f>
        <v>-2.30749855970455</v>
      </c>
      <c r="R32" s="103">
        <f t="shared" ref="R32" si="88">AM32</f>
        <v>-1.43778222857783</v>
      </c>
      <c r="S32" s="103">
        <f t="shared" ref="S32" si="89">AN32</f>
        <v>-1.40406624476843</v>
      </c>
      <c r="T32" s="103">
        <f t="shared" ref="T32" si="90">AO32</f>
        <v>-1.98077978220858</v>
      </c>
      <c r="U32" s="103">
        <f t="shared" ref="U32" si="91">AP32</f>
        <v>-1.5668546388537</v>
      </c>
      <c r="V32" s="103">
        <f t="shared" ref="V32" si="92">AQ32</f>
        <v>-1.8623260183087</v>
      </c>
      <c r="X32" s="144" t="s">
        <v>18</v>
      </c>
      <c r="Y32" s="145">
        <v>2.45139625231847</v>
      </c>
      <c r="Z32" s="145">
        <v>2.37576013446674</v>
      </c>
      <c r="AA32" s="145">
        <v>2.24445933387293</v>
      </c>
      <c r="AB32" s="145">
        <v>1.33734224347324</v>
      </c>
      <c r="AC32" s="145">
        <v>1.27004280132967</v>
      </c>
      <c r="AD32" s="145">
        <v>1.73164793118082</v>
      </c>
      <c r="AE32" s="145">
        <v>1.40804871796054</v>
      </c>
      <c r="AF32" s="145">
        <v>2.16039166639925</v>
      </c>
      <c r="AG32" s="148"/>
      <c r="AH32" s="148"/>
      <c r="AI32" s="144" t="s">
        <v>18</v>
      </c>
      <c r="AJ32" s="145">
        <v>-2.26953369514929</v>
      </c>
      <c r="AK32" s="145">
        <v>-2.17849653890656</v>
      </c>
      <c r="AL32" s="145">
        <v>-2.30749855970455</v>
      </c>
      <c r="AM32" s="145">
        <v>-1.43778222857783</v>
      </c>
      <c r="AN32" s="145">
        <v>-1.40406624476843</v>
      </c>
      <c r="AO32" s="145">
        <v>-1.98077978220858</v>
      </c>
      <c r="AP32" s="145">
        <v>-1.5668546388537</v>
      </c>
      <c r="AQ32" s="145">
        <v>-1.8623260183087</v>
      </c>
    </row>
    <row r="33" ht="15.6" spans="1:43">
      <c r="A33" s="101"/>
      <c r="B33" s="147" t="s">
        <v>18</v>
      </c>
      <c r="C33" s="147" t="s">
        <v>101</v>
      </c>
      <c r="D33" s="107">
        <v>0.703074978186477</v>
      </c>
      <c r="E33" s="107">
        <v>0.774560114995558</v>
      </c>
      <c r="F33" s="107">
        <v>0.882662999414793</v>
      </c>
      <c r="G33" s="107">
        <v>1.28871957690263</v>
      </c>
      <c r="H33" s="107">
        <v>1.04822646546676</v>
      </c>
      <c r="I33" s="107">
        <v>1.17198693952899</v>
      </c>
      <c r="J33" s="107">
        <v>0.984158933479407</v>
      </c>
      <c r="K33" s="107">
        <v>0.602095479333266</v>
      </c>
      <c r="M33" s="147" t="s">
        <v>18</v>
      </c>
      <c r="N33" s="147" t="s">
        <v>102</v>
      </c>
      <c r="O33" s="107">
        <v>4.24405808770532</v>
      </c>
      <c r="P33" s="107">
        <v>5.61172947378522</v>
      </c>
      <c r="Q33" s="107">
        <v>0.514414686760543</v>
      </c>
      <c r="R33" s="107">
        <v>-1.9097146090339</v>
      </c>
      <c r="S33" s="107">
        <v>-1.24253095498533</v>
      </c>
      <c r="T33" s="107">
        <v>-1.39119099512731</v>
      </c>
      <c r="U33" s="107">
        <v>-0.401953498881131</v>
      </c>
      <c r="V33" s="107">
        <v>6.57425593774178</v>
      </c>
      <c r="X33" s="144"/>
      <c r="Y33" s="145"/>
      <c r="Z33" s="145"/>
      <c r="AA33" s="145"/>
      <c r="AB33" s="145"/>
      <c r="AC33" s="145"/>
      <c r="AD33" s="145"/>
      <c r="AE33" s="145"/>
      <c r="AF33" s="145"/>
      <c r="AG33" s="148"/>
      <c r="AH33" s="148"/>
      <c r="AI33" s="144"/>
      <c r="AJ33" s="145"/>
      <c r="AK33" s="145"/>
      <c r="AL33" s="145"/>
      <c r="AM33" s="145"/>
      <c r="AN33" s="145"/>
      <c r="AO33" s="145"/>
      <c r="AP33" s="145"/>
      <c r="AQ33" s="145"/>
    </row>
    <row r="34" ht="15.6" spans="1:43">
      <c r="B34" s="147" t="s">
        <v>18</v>
      </c>
      <c r="C34" s="147" t="s">
        <v>103</v>
      </c>
      <c r="D34" s="107">
        <v>1.00639799333609</v>
      </c>
      <c r="E34" s="107">
        <v>0.884074657087084</v>
      </c>
      <c r="F34" s="107">
        <v>1.33946942773572</v>
      </c>
      <c r="G34" s="107">
        <v>1.10917399481008</v>
      </c>
      <c r="H34" s="107">
        <v>1.00375696397823</v>
      </c>
      <c r="I34" s="107">
        <v>1.06187043113948</v>
      </c>
      <c r="J34" s="107">
        <v>0.66267530287281</v>
      </c>
      <c r="K34" s="107">
        <v>0.806910537693861</v>
      </c>
      <c r="M34" s="147" t="s">
        <v>18</v>
      </c>
      <c r="N34" s="147" t="s">
        <v>104</v>
      </c>
      <c r="O34" s="107">
        <v>1.75211306397925</v>
      </c>
      <c r="P34" s="107">
        <v>1.91896009979599</v>
      </c>
      <c r="Q34" s="107">
        <v>-0.0254905972789736</v>
      </c>
      <c r="R34" s="107">
        <v>-1.70184347590353</v>
      </c>
      <c r="S34" s="107">
        <v>-1.15756041980144</v>
      </c>
      <c r="T34" s="107">
        <v>-1.19307038557797</v>
      </c>
      <c r="U34" s="107">
        <v>-0.303161360678018</v>
      </c>
      <c r="V34" s="107">
        <v>2.49912668499071</v>
      </c>
      <c r="X34" s="144"/>
      <c r="Y34" s="145"/>
      <c r="Z34" s="145"/>
      <c r="AA34" s="145"/>
      <c r="AB34" s="145"/>
      <c r="AC34" s="145"/>
      <c r="AD34" s="145"/>
      <c r="AE34" s="145"/>
      <c r="AF34" s="145"/>
      <c r="AG34" s="148"/>
      <c r="AH34" s="148"/>
      <c r="AI34" s="144"/>
      <c r="AJ34" s="145"/>
      <c r="AK34" s="145"/>
      <c r="AL34" s="145"/>
      <c r="AM34" s="145"/>
      <c r="AN34" s="145"/>
      <c r="AO34" s="145"/>
      <c r="AP34" s="145"/>
      <c r="AQ34" s="145"/>
    </row>
    <row r="35" ht="15.6" spans="1:43">
      <c r="B35" s="147" t="s">
        <v>18</v>
      </c>
      <c r="C35" s="147" t="s">
        <v>105</v>
      </c>
      <c r="D35" s="107">
        <v>0.983702640301605</v>
      </c>
      <c r="E35" s="107">
        <v>1.02719082729544</v>
      </c>
      <c r="F35" s="107">
        <v>1.11950216745828</v>
      </c>
      <c r="G35" s="107">
        <v>0.891160558083661</v>
      </c>
      <c r="H35" s="107">
        <v>1.73710212938735</v>
      </c>
      <c r="I35" s="107">
        <v>0.968563253108169</v>
      </c>
      <c r="J35" s="107">
        <v>1.0566720958622</v>
      </c>
      <c r="K35" s="107">
        <v>0.742762855392462</v>
      </c>
      <c r="M35" s="147" t="s">
        <v>18</v>
      </c>
      <c r="N35" s="147" t="s">
        <v>106</v>
      </c>
      <c r="O35" s="107">
        <v>34.3967659525422</v>
      </c>
      <c r="P35" s="107">
        <v>41.0873440092562</v>
      </c>
      <c r="Q35" s="107">
        <v>10.3387581531269</v>
      </c>
      <c r="R35" s="107">
        <v>-5.9735428350211</v>
      </c>
      <c r="S35" s="107">
        <v>-3.27972168644075</v>
      </c>
      <c r="T35" s="107">
        <v>-3.16372990000991</v>
      </c>
      <c r="U35" s="107">
        <v>3.89540566675314</v>
      </c>
      <c r="V35" s="107">
        <v>41.0071037153155</v>
      </c>
      <c r="X35" s="144"/>
      <c r="Y35" s="145"/>
      <c r="Z35" s="145"/>
      <c r="AA35" s="145"/>
      <c r="AB35" s="145"/>
      <c r="AC35" s="145"/>
      <c r="AD35" s="145"/>
      <c r="AE35" s="145"/>
      <c r="AF35" s="145"/>
      <c r="AG35" s="148"/>
      <c r="AH35" s="148"/>
      <c r="AI35" s="144"/>
      <c r="AJ35" s="145"/>
      <c r="AK35" s="145"/>
      <c r="AL35" s="145"/>
      <c r="AM35" s="145"/>
      <c r="AN35" s="145"/>
      <c r="AO35" s="145"/>
      <c r="AP35" s="145"/>
      <c r="AQ35" s="145"/>
    </row>
    <row r="36" ht="15.6" spans="1:43">
      <c r="A36" s="101"/>
      <c r="B36" s="147" t="s">
        <v>18</v>
      </c>
      <c r="C36" s="147" t="s">
        <v>125</v>
      </c>
      <c r="D36" s="107">
        <v>1.25201978603311</v>
      </c>
      <c r="E36" s="107">
        <v>1.33833949173589</v>
      </c>
      <c r="F36" s="107">
        <v>0.886657961616866</v>
      </c>
      <c r="G36" s="107">
        <v>0.868599413370808</v>
      </c>
      <c r="H36" s="107">
        <v>0.432420703885044</v>
      </c>
      <c r="I36" s="107">
        <v>0.662940055376804</v>
      </c>
      <c r="J36" s="107">
        <v>0.845592735446056</v>
      </c>
      <c r="K36" s="107">
        <v>1.31494427886427</v>
      </c>
      <c r="M36" s="147" t="s">
        <v>18</v>
      </c>
      <c r="N36" s="147" t="s">
        <v>126</v>
      </c>
      <c r="O36" s="107">
        <v>1.98366480455769</v>
      </c>
      <c r="P36" s="107">
        <v>2.30372051554795</v>
      </c>
      <c r="Q36" s="107">
        <v>0.287417718302782</v>
      </c>
      <c r="R36" s="107">
        <v>-1.33610118253212</v>
      </c>
      <c r="S36" s="107">
        <v>-0.555973272635674</v>
      </c>
      <c r="T36" s="107">
        <v>-0.838489079942553</v>
      </c>
      <c r="U36" s="107">
        <v>-0.411157690422554</v>
      </c>
      <c r="V36" s="107">
        <v>2.8178473254755</v>
      </c>
      <c r="X36" s="144"/>
      <c r="Y36" s="145"/>
      <c r="Z36" s="145"/>
      <c r="AA36" s="145"/>
      <c r="AB36" s="145"/>
      <c r="AC36" s="145"/>
      <c r="AD36" s="145"/>
      <c r="AE36" s="145"/>
      <c r="AF36" s="145"/>
      <c r="AG36" s="148"/>
      <c r="AH36" s="148"/>
      <c r="AI36" s="144"/>
      <c r="AJ36" s="145"/>
      <c r="AK36" s="145"/>
      <c r="AL36" s="145"/>
      <c r="AM36" s="145"/>
      <c r="AN36" s="145"/>
      <c r="AO36" s="145"/>
      <c r="AP36" s="145"/>
      <c r="AQ36" s="145"/>
    </row>
    <row r="37" ht="15.6" spans="1:43">
      <c r="A37" s="101"/>
      <c r="B37" s="143" t="str">
        <f>X37</f>
        <v>D05</v>
      </c>
      <c r="C37" s="143"/>
      <c r="D37" s="103">
        <f>Y37</f>
        <v>1.53535249642766</v>
      </c>
      <c r="E37" s="103">
        <f t="shared" ref="E37" si="93">Z37</f>
        <v>1.52659957442401</v>
      </c>
      <c r="F37" s="103">
        <f t="shared" ref="F37" si="94">AA37</f>
        <v>1.4186744436791</v>
      </c>
      <c r="G37" s="103">
        <f t="shared" ref="G37" si="95">AB37</f>
        <v>1.35558446910889</v>
      </c>
      <c r="H37" s="103">
        <f t="shared" ref="H37" si="96">AC37</f>
        <v>1.5692897796622</v>
      </c>
      <c r="I37" s="103">
        <f t="shared" ref="I37" si="97">AD37</f>
        <v>1.53403993359329</v>
      </c>
      <c r="J37" s="103">
        <f t="shared" ref="J37" si="98">AE37</f>
        <v>1.608594310817</v>
      </c>
      <c r="K37" s="103">
        <f t="shared" ref="K37" si="99">AF37</f>
        <v>1.17015744887274</v>
      </c>
      <c r="L37" s="143"/>
      <c r="M37" s="143" t="str">
        <f t="shared" ref="M37" si="100">AI37</f>
        <v>D05</v>
      </c>
      <c r="N37" s="143"/>
      <c r="O37" s="103">
        <f>AJ37</f>
        <v>-1.61490735904144</v>
      </c>
      <c r="P37" s="103">
        <f t="shared" ref="P37" si="101">AK37</f>
        <v>-1.52584993783257</v>
      </c>
      <c r="Q37" s="103">
        <f t="shared" ref="Q37" si="102">AL37</f>
        <v>-2.24798861776157</v>
      </c>
      <c r="R37" s="103">
        <f t="shared" ref="R37" si="103">AM37</f>
        <v>-1.80101858050052</v>
      </c>
      <c r="S37" s="103">
        <f t="shared" ref="S37" si="104">AN37</f>
        <v>-2.11312707508224</v>
      </c>
      <c r="T37" s="103">
        <f t="shared" ref="T37" si="105">AO37</f>
        <v>-2.69597486608664</v>
      </c>
      <c r="U37" s="103">
        <f t="shared" ref="U37" si="106">AP37</f>
        <v>-2.28546634509929</v>
      </c>
      <c r="V37" s="103">
        <f t="shared" ref="V37" si="107">AQ37</f>
        <v>-0.610847692353174</v>
      </c>
      <c r="X37" s="144" t="s">
        <v>19</v>
      </c>
      <c r="Y37" s="145">
        <v>1.53535249642766</v>
      </c>
      <c r="Z37" s="145">
        <v>1.52659957442401</v>
      </c>
      <c r="AA37" s="145">
        <v>1.4186744436791</v>
      </c>
      <c r="AB37" s="145">
        <v>1.35558446910889</v>
      </c>
      <c r="AC37" s="145">
        <v>1.5692897796622</v>
      </c>
      <c r="AD37" s="145">
        <v>1.53403993359329</v>
      </c>
      <c r="AE37" s="145">
        <v>1.608594310817</v>
      </c>
      <c r="AF37" s="145">
        <v>1.17015744887274</v>
      </c>
      <c r="AG37" s="148"/>
      <c r="AH37" s="148"/>
      <c r="AI37" s="144" t="s">
        <v>19</v>
      </c>
      <c r="AJ37" s="145">
        <v>-1.61490735904144</v>
      </c>
      <c r="AK37" s="145">
        <v>-1.52584993783257</v>
      </c>
      <c r="AL37" s="145">
        <v>-2.24798861776157</v>
      </c>
      <c r="AM37" s="145">
        <v>-1.80101858050052</v>
      </c>
      <c r="AN37" s="145">
        <v>-2.11312707508224</v>
      </c>
      <c r="AO37" s="145">
        <v>-2.69597486608664</v>
      </c>
      <c r="AP37" s="145">
        <v>-2.28546634509929</v>
      </c>
      <c r="AQ37" s="145">
        <v>-0.610847692353174</v>
      </c>
    </row>
    <row r="38" ht="15.6" spans="1:43">
      <c r="A38" s="101"/>
      <c r="B38" s="147" t="s">
        <v>19</v>
      </c>
      <c r="C38" s="147" t="s">
        <v>99</v>
      </c>
      <c r="D38" s="107">
        <v>1.51523446814084</v>
      </c>
      <c r="E38" s="107">
        <v>1.41505483140843</v>
      </c>
      <c r="F38" s="107">
        <v>1.79151968664095</v>
      </c>
      <c r="G38" s="107">
        <v>1.17787219572677</v>
      </c>
      <c r="H38" s="107">
        <v>1.58918455874289</v>
      </c>
      <c r="I38" s="107">
        <v>1.68602128944389</v>
      </c>
      <c r="J38" s="107">
        <v>1.73878669996008</v>
      </c>
      <c r="K38" s="107">
        <v>1.08875545642961</v>
      </c>
      <c r="M38" s="147" t="s">
        <v>19</v>
      </c>
      <c r="N38" s="147" t="s">
        <v>100</v>
      </c>
      <c r="O38" s="107">
        <v>0.210396263865335</v>
      </c>
      <c r="P38" s="107">
        <v>0.371229595600275</v>
      </c>
      <c r="Q38" s="107">
        <v>-1.00934693417862</v>
      </c>
      <c r="R38" s="107">
        <v>-1.78417436569866</v>
      </c>
      <c r="S38" s="107">
        <v>-1.69620715514487</v>
      </c>
      <c r="T38" s="107">
        <v>-1.81172712214325</v>
      </c>
      <c r="U38" s="107">
        <v>-1.48627803659686</v>
      </c>
      <c r="V38" s="107">
        <v>0.647956913413162</v>
      </c>
      <c r="X38" s="144"/>
      <c r="Y38" s="145"/>
      <c r="Z38" s="145"/>
      <c r="AA38" s="145"/>
      <c r="AB38" s="145"/>
      <c r="AC38" s="145"/>
      <c r="AD38" s="145"/>
      <c r="AE38" s="145"/>
      <c r="AF38" s="145"/>
      <c r="AG38" s="148"/>
      <c r="AH38" s="148"/>
      <c r="AI38" s="144"/>
      <c r="AJ38" s="145"/>
      <c r="AK38" s="145"/>
      <c r="AL38" s="145"/>
      <c r="AM38" s="145"/>
      <c r="AN38" s="145"/>
      <c r="AO38" s="145"/>
      <c r="AP38" s="145"/>
      <c r="AQ38" s="145"/>
    </row>
    <row r="39" ht="15.6" spans="1:43">
      <c r="A39" s="101"/>
      <c r="B39" s="147" t="s">
        <v>19</v>
      </c>
      <c r="C39" s="147" t="s">
        <v>109</v>
      </c>
      <c r="D39" s="107">
        <v>0.583762748147057</v>
      </c>
      <c r="E39" s="107">
        <v>0.588596212943962</v>
      </c>
      <c r="F39" s="107">
        <v>0.782719803988158</v>
      </c>
      <c r="G39" s="107">
        <v>1.02830596279879</v>
      </c>
      <c r="H39" s="107">
        <v>0.887690066270173</v>
      </c>
      <c r="I39" s="107">
        <v>0.917395416536229</v>
      </c>
      <c r="J39" s="107">
        <v>1.03856638485888</v>
      </c>
      <c r="K39" s="107">
        <v>0.61120585789817</v>
      </c>
      <c r="M39" s="147" t="s">
        <v>19</v>
      </c>
      <c r="N39" s="147" t="s">
        <v>110</v>
      </c>
      <c r="O39" s="107">
        <v>1.04178877803719</v>
      </c>
      <c r="P39" s="107">
        <v>1.38319217028286</v>
      </c>
      <c r="Q39" s="107">
        <v>-0.276709477076978</v>
      </c>
      <c r="R39" s="107">
        <v>-1.19134830157578</v>
      </c>
      <c r="S39" s="107">
        <v>-0.938862699672325</v>
      </c>
      <c r="T39" s="107">
        <v>-0.985708736819868</v>
      </c>
      <c r="U39" s="107">
        <v>-0.846557737974256</v>
      </c>
      <c r="V39" s="107">
        <v>2.10729103446082</v>
      </c>
      <c r="X39" s="144"/>
      <c r="Y39" s="145"/>
      <c r="Z39" s="145"/>
      <c r="AA39" s="145"/>
      <c r="AB39" s="145"/>
      <c r="AC39" s="145"/>
      <c r="AD39" s="145"/>
      <c r="AE39" s="145"/>
      <c r="AF39" s="145"/>
      <c r="AG39" s="148"/>
      <c r="AH39" s="148"/>
      <c r="AI39" s="144"/>
      <c r="AJ39" s="145"/>
      <c r="AK39" s="145"/>
      <c r="AL39" s="145"/>
      <c r="AM39" s="145"/>
      <c r="AN39" s="145"/>
      <c r="AO39" s="145"/>
      <c r="AP39" s="145"/>
      <c r="AQ39" s="145"/>
    </row>
    <row r="40" ht="15.6" spans="1:43">
      <c r="A40" s="101"/>
      <c r="B40" s="143" t="str">
        <f>X40</f>
        <v>D23</v>
      </c>
      <c r="C40" s="143"/>
      <c r="D40" s="103">
        <f>Y40</f>
        <v>1.69451565104643</v>
      </c>
      <c r="E40" s="103">
        <f t="shared" ref="E40" si="108">Z40</f>
        <v>1.77020430489713</v>
      </c>
      <c r="F40" s="103">
        <f t="shared" ref="F40" si="109">AA40</f>
        <v>1.37337009716524</v>
      </c>
      <c r="G40" s="103">
        <f t="shared" ref="G40" si="110">AB40</f>
        <v>0.748369596311687</v>
      </c>
      <c r="H40" s="103">
        <f t="shared" ref="H40" si="111">AC40</f>
        <v>0.750279711776798</v>
      </c>
      <c r="I40" s="103">
        <f t="shared" ref="I40" si="112">AD40</f>
        <v>0.621011135829252</v>
      </c>
      <c r="J40" s="103">
        <f t="shared" ref="J40" si="113">AE40</f>
        <v>0.890229983981797</v>
      </c>
      <c r="K40" s="103">
        <f t="shared" ref="K40" si="114">AF40</f>
        <v>1.90052096510213</v>
      </c>
      <c r="L40" s="143"/>
      <c r="M40" s="143" t="str">
        <f t="shared" ref="M40" si="115">AI40</f>
        <v>D23</v>
      </c>
      <c r="N40" s="143"/>
      <c r="O40" s="103">
        <f>AJ40</f>
        <v>-1.65442047089264</v>
      </c>
      <c r="P40" s="103">
        <f t="shared" ref="P40" si="116">AK40</f>
        <v>-1.70308539144177</v>
      </c>
      <c r="Q40" s="103">
        <f t="shared" ref="Q40" si="117">AL40</f>
        <v>-1.51735387505553</v>
      </c>
      <c r="R40" s="103">
        <f t="shared" ref="R40" si="118">AM40</f>
        <v>-0.81134677435527</v>
      </c>
      <c r="S40" s="103">
        <f t="shared" ref="S40" si="119">AN40</f>
        <v>-0.844602941627483</v>
      </c>
      <c r="T40" s="103">
        <f t="shared" ref="T40" si="120">AO40</f>
        <v>-0.859401228895835</v>
      </c>
      <c r="U40" s="103">
        <f t="shared" ref="U40" si="121">AP40</f>
        <v>-1.06165079435908</v>
      </c>
      <c r="V40" s="103">
        <f t="shared" ref="V40" si="122">AQ40</f>
        <v>-1.66585226967778</v>
      </c>
      <c r="X40" s="144" t="s">
        <v>20</v>
      </c>
      <c r="Y40" s="145">
        <v>1.69451565104643</v>
      </c>
      <c r="Z40" s="145">
        <v>1.77020430489713</v>
      </c>
      <c r="AA40" s="145">
        <v>1.37337009716524</v>
      </c>
      <c r="AB40" s="145">
        <v>0.748369596311687</v>
      </c>
      <c r="AC40" s="145">
        <v>0.750279711776798</v>
      </c>
      <c r="AD40" s="145">
        <v>0.621011135829252</v>
      </c>
      <c r="AE40" s="145">
        <v>0.890229983981797</v>
      </c>
      <c r="AF40" s="145">
        <v>1.90052096510213</v>
      </c>
      <c r="AG40" s="148"/>
      <c r="AH40" s="148"/>
      <c r="AI40" s="144" t="s">
        <v>20</v>
      </c>
      <c r="AJ40" s="145">
        <v>-1.65442047089264</v>
      </c>
      <c r="AK40" s="145">
        <v>-1.70308539144177</v>
      </c>
      <c r="AL40" s="145">
        <v>-1.51735387505553</v>
      </c>
      <c r="AM40" s="145">
        <v>-0.81134677435527</v>
      </c>
      <c r="AN40" s="145">
        <v>-0.844602941627483</v>
      </c>
      <c r="AO40" s="145">
        <v>-0.859401228895835</v>
      </c>
      <c r="AP40" s="145">
        <v>-1.06165079435908</v>
      </c>
      <c r="AQ40" s="145">
        <v>-1.66585226967778</v>
      </c>
    </row>
    <row r="41" ht="15.6" spans="1:43">
      <c r="A41" s="101"/>
      <c r="B41" s="143" t="str">
        <f>X41</f>
        <v>E00</v>
      </c>
      <c r="C41" s="143"/>
      <c r="D41" s="103">
        <f>Y41</f>
        <v>0.387932614044005</v>
      </c>
      <c r="E41" s="103">
        <f t="shared" ref="E41" si="123">Z41</f>
        <v>0.385719311450105</v>
      </c>
      <c r="F41" s="103">
        <f t="shared" ref="F41" si="124">AA41</f>
        <v>0.510672500738804</v>
      </c>
      <c r="G41" s="103">
        <f t="shared" ref="G41" si="125">AB41</f>
        <v>0.707831702388216</v>
      </c>
      <c r="H41" s="103">
        <f t="shared" ref="H41" si="126">AC41</f>
        <v>0.643414704418264</v>
      </c>
      <c r="I41" s="103">
        <f t="shared" ref="I41" si="127">AD41</f>
        <v>0.487706994671802</v>
      </c>
      <c r="J41" s="103">
        <f t="shared" ref="J41" si="128">AE41</f>
        <v>0.61225275832281</v>
      </c>
      <c r="K41" s="103">
        <f t="shared" ref="K41" si="129">AF41</f>
        <v>0.380286382678758</v>
      </c>
      <c r="L41" s="143"/>
      <c r="M41" s="143" t="str">
        <f t="shared" ref="M41" si="130">AI41</f>
        <v>E00</v>
      </c>
      <c r="N41" s="143"/>
      <c r="O41" s="103">
        <f>AJ41</f>
        <v>-0.425627870947727</v>
      </c>
      <c r="P41" s="103">
        <f t="shared" ref="P41" si="131">AK41</f>
        <v>-0.396948328816857</v>
      </c>
      <c r="Q41" s="103">
        <f t="shared" ref="Q41" si="132">AL41</f>
        <v>-0.728706219261416</v>
      </c>
      <c r="R41" s="103">
        <f t="shared" ref="R41" si="133">AM41</f>
        <v>-0.76542552629583</v>
      </c>
      <c r="S41" s="103">
        <f t="shared" ref="S41" si="134">AN41</f>
        <v>-0.730490584407015</v>
      </c>
      <c r="T41" s="103">
        <f t="shared" ref="T41" si="135">AO41</f>
        <v>-0.715423391934076</v>
      </c>
      <c r="U41" s="103">
        <f t="shared" ref="U41" si="136">AP41</f>
        <v>-0.796715553003852</v>
      </c>
      <c r="V41" s="103">
        <f t="shared" ref="V41" si="137">AQ41</f>
        <v>-0.0312629160241786</v>
      </c>
      <c r="X41" s="144" t="s">
        <v>21</v>
      </c>
      <c r="Y41" s="145">
        <v>0.387932614044005</v>
      </c>
      <c r="Z41" s="145">
        <v>0.385719311450105</v>
      </c>
      <c r="AA41" s="145">
        <v>0.510672500738804</v>
      </c>
      <c r="AB41" s="145">
        <v>0.707831702388216</v>
      </c>
      <c r="AC41" s="145">
        <v>0.643414704418264</v>
      </c>
      <c r="AD41" s="145">
        <v>0.487706994671802</v>
      </c>
      <c r="AE41" s="145">
        <v>0.61225275832281</v>
      </c>
      <c r="AF41" s="145">
        <v>0.380286382678758</v>
      </c>
      <c r="AG41" s="148"/>
      <c r="AH41" s="148"/>
      <c r="AI41" s="144" t="s">
        <v>21</v>
      </c>
      <c r="AJ41" s="145">
        <v>-0.425627870947727</v>
      </c>
      <c r="AK41" s="145">
        <v>-0.396948328816857</v>
      </c>
      <c r="AL41" s="145">
        <v>-0.728706219261416</v>
      </c>
      <c r="AM41" s="145">
        <v>-0.76542552629583</v>
      </c>
      <c r="AN41" s="145">
        <v>-0.730490584407015</v>
      </c>
      <c r="AO41" s="145">
        <v>-0.715423391934076</v>
      </c>
      <c r="AP41" s="145">
        <v>-0.796715553003852</v>
      </c>
      <c r="AQ41" s="145">
        <v>-0.0312629160241786</v>
      </c>
    </row>
    <row r="42" ht="15.6" spans="1:43">
      <c r="A42" s="101"/>
      <c r="B42" s="147" t="s">
        <v>21</v>
      </c>
      <c r="C42" s="147" t="s">
        <v>95</v>
      </c>
      <c r="D42" s="107">
        <v>0.387933660288236</v>
      </c>
      <c r="E42" s="107">
        <v>0.385720582529724</v>
      </c>
      <c r="F42" s="107">
        <v>0.510672830670677</v>
      </c>
      <c r="G42" s="107">
        <v>0.775502092355131</v>
      </c>
      <c r="H42" s="107">
        <v>0.7291026327363</v>
      </c>
      <c r="I42" s="107">
        <v>0.64033767319912</v>
      </c>
      <c r="J42" s="107">
        <v>0.574200448981786</v>
      </c>
      <c r="K42" s="107">
        <v>0.454903973133502</v>
      </c>
      <c r="M42" s="147" t="s">
        <v>21</v>
      </c>
      <c r="N42" s="147" t="s">
        <v>96</v>
      </c>
      <c r="O42" s="107">
        <v>-0.147953985634076</v>
      </c>
      <c r="P42" s="107">
        <v>-0.089320920551644</v>
      </c>
      <c r="Q42" s="107">
        <v>-0.453271027321115</v>
      </c>
      <c r="R42" s="107">
        <v>-0.816193585766095</v>
      </c>
      <c r="S42" s="107">
        <v>-0.755850417584487</v>
      </c>
      <c r="T42" s="107">
        <v>-0.671778347183937</v>
      </c>
      <c r="U42" s="107">
        <v>-0.562530358814414</v>
      </c>
      <c r="V42" s="107">
        <v>0.0148860267311102</v>
      </c>
      <c r="X42" s="144"/>
      <c r="Y42" s="145"/>
      <c r="Z42" s="145"/>
      <c r="AA42" s="145"/>
      <c r="AB42" s="145"/>
      <c r="AC42" s="145"/>
      <c r="AD42" s="145"/>
      <c r="AE42" s="145"/>
      <c r="AF42" s="145"/>
      <c r="AG42" s="148"/>
      <c r="AH42" s="148"/>
      <c r="AI42" s="144"/>
      <c r="AJ42" s="145"/>
      <c r="AK42" s="145"/>
      <c r="AL42" s="145"/>
      <c r="AM42" s="145"/>
      <c r="AN42" s="145"/>
      <c r="AO42" s="145"/>
      <c r="AP42" s="145"/>
      <c r="AQ42" s="145"/>
    </row>
    <row r="43" ht="15.6" spans="1:43">
      <c r="B43" s="143" t="str">
        <f>X43</f>
        <v>F45</v>
      </c>
      <c r="C43" s="143"/>
      <c r="D43" s="103">
        <f>Y43</f>
        <v>1.18681539587733</v>
      </c>
      <c r="E43" s="103">
        <f t="shared" ref="E43" si="138">Z43</f>
        <v>1.31125577622658</v>
      </c>
      <c r="F43" s="103">
        <f t="shared" ref="F43" si="139">AA43</f>
        <v>1.47656617705745</v>
      </c>
      <c r="G43" s="103">
        <f t="shared" ref="G43" si="140">AB43</f>
        <v>1.67115367627581</v>
      </c>
      <c r="H43" s="103">
        <f t="shared" ref="H43" si="141">AC43</f>
        <v>2.23005309786126</v>
      </c>
      <c r="I43" s="103">
        <f t="shared" ref="I43" si="142">AD43</f>
        <v>1.26230074101326</v>
      </c>
      <c r="J43" s="103">
        <f t="shared" ref="J43" si="143">AE43</f>
        <v>0.671526462977224</v>
      </c>
      <c r="K43" s="103">
        <f t="shared" ref="K43" si="144">AF43</f>
        <v>0.871650618065884</v>
      </c>
      <c r="L43" s="143"/>
      <c r="M43" s="143" t="str">
        <f t="shared" ref="M43" si="145">AI43</f>
        <v>F45</v>
      </c>
      <c r="N43" s="143"/>
      <c r="O43" s="103">
        <f>AJ43</f>
        <v>-1.217860770249</v>
      </c>
      <c r="P43" s="103">
        <f t="shared" ref="P43" si="146">AK43</f>
        <v>-1.30608856893576</v>
      </c>
      <c r="Q43" s="103">
        <f t="shared" ref="Q43" si="147">AL43</f>
        <v>-1.68519560236299</v>
      </c>
      <c r="R43" s="103">
        <f t="shared" ref="R43" si="148">AM43</f>
        <v>-1.79947238572975</v>
      </c>
      <c r="S43" s="103">
        <f t="shared" ref="S43" si="149">AN43</f>
        <v>-2.35746635634243</v>
      </c>
      <c r="T43" s="103">
        <f t="shared" ref="T43" si="150">AO43</f>
        <v>-1.6750632631989</v>
      </c>
      <c r="U43" s="103">
        <f t="shared" ref="U43" si="151">AP43</f>
        <v>-0.936008804717344</v>
      </c>
      <c r="V43" s="103">
        <f t="shared" ref="V43" si="152">AQ43</f>
        <v>-0.615478776687426</v>
      </c>
      <c r="X43" s="144" t="s">
        <v>22</v>
      </c>
      <c r="Y43" s="145">
        <v>1.18681539587733</v>
      </c>
      <c r="Z43" s="145">
        <v>1.31125577622658</v>
      </c>
      <c r="AA43" s="145">
        <v>1.47656617705745</v>
      </c>
      <c r="AB43" s="145">
        <v>1.67115367627581</v>
      </c>
      <c r="AC43" s="145">
        <v>2.23005309786126</v>
      </c>
      <c r="AD43" s="145">
        <v>1.26230074101326</v>
      </c>
      <c r="AE43" s="145">
        <v>0.671526462977224</v>
      </c>
      <c r="AF43" s="145">
        <v>0.871650618065884</v>
      </c>
      <c r="AG43" s="148"/>
      <c r="AH43" s="148"/>
      <c r="AI43" s="144" t="s">
        <v>22</v>
      </c>
      <c r="AJ43" s="145">
        <v>-1.217860770249</v>
      </c>
      <c r="AK43" s="145">
        <v>-1.30608856893576</v>
      </c>
      <c r="AL43" s="145">
        <v>-1.68519560236299</v>
      </c>
      <c r="AM43" s="145">
        <v>-1.79947238572975</v>
      </c>
      <c r="AN43" s="145">
        <v>-2.35746635634243</v>
      </c>
      <c r="AO43" s="145">
        <v>-1.6750632631989</v>
      </c>
      <c r="AP43" s="145">
        <v>-0.936008804717344</v>
      </c>
      <c r="AQ43" s="145">
        <v>-0.615478776687426</v>
      </c>
    </row>
    <row r="44" ht="15.6" spans="1:43">
      <c r="B44" s="143" t="str">
        <f>X44</f>
        <v>G00</v>
      </c>
      <c r="C44" s="143"/>
      <c r="D44" s="103">
        <f>Y44</f>
        <v>3.26096594428639</v>
      </c>
      <c r="E44" s="103">
        <f t="shared" ref="E44" si="153">Z44</f>
        <v>3.13455578325534</v>
      </c>
      <c r="F44" s="103">
        <f t="shared" ref="F44" si="154">AA44</f>
        <v>3.03767400712058</v>
      </c>
      <c r="G44" s="103">
        <f t="shared" ref="G44" si="155">AB44</f>
        <v>1.5272769137773</v>
      </c>
      <c r="H44" s="103">
        <f t="shared" ref="H44" si="156">AC44</f>
        <v>2.05644928805845</v>
      </c>
      <c r="I44" s="103">
        <f t="shared" ref="I44" si="157">AD44</f>
        <v>1.20225766889895</v>
      </c>
      <c r="J44" s="103">
        <f t="shared" ref="J44" si="158">AE44</f>
        <v>1.84331855319738</v>
      </c>
      <c r="K44" s="103">
        <f t="shared" ref="K44" si="159">AF44</f>
        <v>2.56993607362524</v>
      </c>
      <c r="L44" s="143"/>
      <c r="M44" s="143" t="str">
        <f t="shared" ref="M44" si="160">AI44</f>
        <v>G00</v>
      </c>
      <c r="N44" s="143"/>
      <c r="O44" s="103">
        <f>AJ44</f>
        <v>-3.27339470086574</v>
      </c>
      <c r="P44" s="103">
        <f t="shared" ref="P44" si="161">AK44</f>
        <v>-3.06158798978766</v>
      </c>
      <c r="Q44" s="103">
        <f t="shared" ref="Q44" si="162">AL44</f>
        <v>-4.07034335498018</v>
      </c>
      <c r="R44" s="103">
        <f t="shared" ref="R44" si="163">AM44</f>
        <v>-3.03595678763277</v>
      </c>
      <c r="S44" s="103">
        <f t="shared" ref="S44" si="164">AN44</f>
        <v>-3.64546869307611</v>
      </c>
      <c r="T44" s="103">
        <f t="shared" ref="T44" si="165">AO44</f>
        <v>-3.76375026680408</v>
      </c>
      <c r="U44" s="103">
        <f t="shared" ref="U44" si="166">AP44</f>
        <v>-3.15317668473394</v>
      </c>
      <c r="V44" s="103">
        <f t="shared" ref="V44" si="167">AQ44</f>
        <v>-2.0594184122564</v>
      </c>
      <c r="X44" s="144" t="s">
        <v>23</v>
      </c>
      <c r="Y44" s="145">
        <v>3.26096594428639</v>
      </c>
      <c r="Z44" s="145">
        <v>3.13455578325534</v>
      </c>
      <c r="AA44" s="145">
        <v>3.03767400712058</v>
      </c>
      <c r="AB44" s="145">
        <v>1.5272769137773</v>
      </c>
      <c r="AC44" s="145">
        <v>2.05644928805845</v>
      </c>
      <c r="AD44" s="145">
        <v>1.20225766889895</v>
      </c>
      <c r="AE44" s="145">
        <v>1.84331855319738</v>
      </c>
      <c r="AF44" s="145">
        <v>2.56993607362524</v>
      </c>
      <c r="AG44" s="148"/>
      <c r="AH44" s="148"/>
      <c r="AI44" s="144" t="s">
        <v>23</v>
      </c>
      <c r="AJ44" s="145">
        <v>-3.27339470086574</v>
      </c>
      <c r="AK44" s="145">
        <v>-3.06158798978766</v>
      </c>
      <c r="AL44" s="145">
        <v>-4.07034335498018</v>
      </c>
      <c r="AM44" s="145">
        <v>-3.03595678763277</v>
      </c>
      <c r="AN44" s="145">
        <v>-3.64546869307611</v>
      </c>
      <c r="AO44" s="145">
        <v>-3.76375026680408</v>
      </c>
      <c r="AP44" s="145">
        <v>-3.15317668473394</v>
      </c>
      <c r="AQ44" s="145">
        <v>-2.0594184122564</v>
      </c>
    </row>
    <row r="45" ht="15.6" spans="1:43">
      <c r="B45" s="147" t="s">
        <v>23</v>
      </c>
      <c r="C45" s="147" t="s">
        <v>93</v>
      </c>
      <c r="D45" s="107">
        <v>1.18681539587736</v>
      </c>
      <c r="E45" s="107">
        <v>1.31125577622658</v>
      </c>
      <c r="F45" s="107">
        <v>1.47656617705745</v>
      </c>
      <c r="G45" s="107">
        <v>1.76886395027669</v>
      </c>
      <c r="H45" s="107">
        <v>1.15240407548047</v>
      </c>
      <c r="I45" s="107">
        <v>1.09076729100704</v>
      </c>
      <c r="J45" s="107">
        <v>1.41022177208189</v>
      </c>
      <c r="K45" s="107">
        <v>1.02571554932905</v>
      </c>
      <c r="M45" s="147" t="s">
        <v>23</v>
      </c>
      <c r="N45" s="147" t="s">
        <v>94</v>
      </c>
      <c r="O45" s="107">
        <v>-0.486073996586317</v>
      </c>
      <c r="P45" s="107">
        <v>-0.401735086735295</v>
      </c>
      <c r="Q45" s="107">
        <v>-1.25903699433998</v>
      </c>
      <c r="R45" s="107">
        <v>-1.882604735692</v>
      </c>
      <c r="S45" s="107">
        <v>-1.18101845788351</v>
      </c>
      <c r="T45" s="107">
        <v>-1.12962371764067</v>
      </c>
      <c r="U45" s="107">
        <v>-1.31084693728703</v>
      </c>
      <c r="V45" s="107">
        <v>-0.179022517938364</v>
      </c>
      <c r="X45" s="144"/>
      <c r="Y45" s="145"/>
      <c r="Z45" s="145"/>
      <c r="AA45" s="145"/>
      <c r="AB45" s="145"/>
      <c r="AC45" s="145"/>
      <c r="AD45" s="145"/>
      <c r="AE45" s="145"/>
      <c r="AF45" s="145"/>
      <c r="AG45" s="148"/>
      <c r="AH45" s="148"/>
      <c r="AI45" s="144"/>
      <c r="AJ45" s="145"/>
      <c r="AK45" s="145"/>
      <c r="AL45" s="145"/>
      <c r="AM45" s="145"/>
      <c r="AN45" s="145"/>
      <c r="AO45" s="145"/>
      <c r="AP45" s="145"/>
      <c r="AQ45" s="145"/>
    </row>
    <row r="46" ht="15.6" spans="1:43">
      <c r="A46" s="101"/>
      <c r="B46" s="143" t="str">
        <f>X46</f>
        <v>H55</v>
      </c>
      <c r="C46" s="143"/>
      <c r="D46" s="103">
        <f>Y46</f>
        <v>1.37690942754018</v>
      </c>
      <c r="E46" s="103">
        <f t="shared" ref="E46" si="168">Z46</f>
        <v>1.35634853864284</v>
      </c>
      <c r="F46" s="103">
        <f t="shared" ref="F46" si="169">AA46</f>
        <v>1.53796248480476</v>
      </c>
      <c r="G46" s="103">
        <f t="shared" ref="G46" si="170">AB46</f>
        <v>0.75365890190486</v>
      </c>
      <c r="H46" s="103">
        <f t="shared" ref="H46" si="171">AC46</f>
        <v>1.25310607344076</v>
      </c>
      <c r="I46" s="103">
        <f t="shared" ref="I46" si="172">AD46</f>
        <v>1.77850346866293</v>
      </c>
      <c r="J46" s="103">
        <f t="shared" ref="J46" si="173">AE46</f>
        <v>1.43670015481355</v>
      </c>
      <c r="K46" s="103">
        <f t="shared" ref="K46" si="174">AF46</f>
        <v>1.12234793556936</v>
      </c>
      <c r="L46" s="143"/>
      <c r="M46" s="143" t="str">
        <f t="shared" ref="M46" si="175">AI46</f>
        <v>H55</v>
      </c>
      <c r="N46" s="143"/>
      <c r="O46" s="103">
        <f>AJ46</f>
        <v>-1.38291015203511</v>
      </c>
      <c r="P46" s="103">
        <f t="shared" ref="P46" si="176">AK46</f>
        <v>-1.34012750630289</v>
      </c>
      <c r="Q46" s="103">
        <f t="shared" ref="Q46" si="177">AL46</f>
        <v>-1.73438311342314</v>
      </c>
      <c r="R46" s="103">
        <f t="shared" ref="R46" si="178">AM46</f>
        <v>-0.86876870651379</v>
      </c>
      <c r="S46" s="103">
        <f t="shared" ref="S46" si="179">AN46</f>
        <v>-1.40104842840922</v>
      </c>
      <c r="T46" s="103">
        <f t="shared" ref="T46" si="180">AO46</f>
        <v>-2.04450334310633</v>
      </c>
      <c r="U46" s="103">
        <f t="shared" ref="U46" si="181">AP46</f>
        <v>-1.59040203861404</v>
      </c>
      <c r="V46" s="103">
        <f t="shared" ref="V46" si="182">AQ46</f>
        <v>-0.939505568497596</v>
      </c>
      <c r="X46" s="144" t="s">
        <v>24</v>
      </c>
      <c r="Y46" s="145">
        <v>1.37690942754018</v>
      </c>
      <c r="Z46" s="145">
        <v>1.35634853864284</v>
      </c>
      <c r="AA46" s="145">
        <v>1.53796248480476</v>
      </c>
      <c r="AB46" s="145">
        <v>0.75365890190486</v>
      </c>
      <c r="AC46" s="145">
        <v>1.25310607344076</v>
      </c>
      <c r="AD46" s="145">
        <v>1.77850346866293</v>
      </c>
      <c r="AE46" s="145">
        <v>1.43670015481355</v>
      </c>
      <c r="AF46" s="145">
        <v>1.12234793556936</v>
      </c>
      <c r="AG46" s="148"/>
      <c r="AH46" s="148"/>
      <c r="AI46" s="144" t="s">
        <v>24</v>
      </c>
      <c r="AJ46" s="145">
        <v>-1.38291015203511</v>
      </c>
      <c r="AK46" s="145">
        <v>-1.34012750630289</v>
      </c>
      <c r="AL46" s="145">
        <v>-1.73438311342314</v>
      </c>
      <c r="AM46" s="145">
        <v>-0.86876870651379</v>
      </c>
      <c r="AN46" s="145">
        <v>-1.40104842840922</v>
      </c>
      <c r="AO46" s="145">
        <v>-2.04450334310633</v>
      </c>
      <c r="AP46" s="145">
        <v>-1.59040203861404</v>
      </c>
      <c r="AQ46" s="145">
        <v>-0.939505568497596</v>
      </c>
    </row>
    <row r="47" ht="15.6" spans="1:43">
      <c r="A47" s="101"/>
      <c r="B47" s="147" t="s">
        <v>24</v>
      </c>
      <c r="C47" s="147" t="s">
        <v>69</v>
      </c>
      <c r="D47" s="107">
        <v>1.03657803962839</v>
      </c>
      <c r="E47" s="107">
        <v>1.00630710037414</v>
      </c>
      <c r="F47" s="107">
        <v>1.07432661357141</v>
      </c>
      <c r="G47" s="107">
        <v>1.19341813457248</v>
      </c>
      <c r="H47" s="107">
        <v>1.25066388882084</v>
      </c>
      <c r="I47" s="107">
        <v>1.46027692261367</v>
      </c>
      <c r="J47" s="107">
        <v>1.20290427893162</v>
      </c>
      <c r="K47" s="107">
        <v>0.971378175023511</v>
      </c>
      <c r="M47" s="147" t="s">
        <v>24</v>
      </c>
      <c r="N47" s="147" t="s">
        <v>70</v>
      </c>
      <c r="O47" s="107">
        <v>-0.151820739534641</v>
      </c>
      <c r="P47" s="107">
        <v>-0.0495199554696739</v>
      </c>
      <c r="Q47" s="107">
        <v>-0.720753684646251</v>
      </c>
      <c r="R47" s="107">
        <v>-1.36959825990927</v>
      </c>
      <c r="S47" s="107">
        <v>-1.28282766345194</v>
      </c>
      <c r="T47" s="107">
        <v>-1.48520112668924</v>
      </c>
      <c r="U47" s="107">
        <v>-1.09646502227592</v>
      </c>
      <c r="V47" s="107">
        <v>0.214861199416937</v>
      </c>
      <c r="X47" s="144"/>
      <c r="Y47" s="145"/>
      <c r="Z47" s="145"/>
      <c r="AA47" s="145"/>
      <c r="AB47" s="145"/>
      <c r="AC47" s="145"/>
      <c r="AD47" s="145"/>
      <c r="AE47" s="145"/>
      <c r="AF47" s="145"/>
      <c r="AG47" s="148"/>
      <c r="AH47" s="148"/>
      <c r="AI47" s="144"/>
      <c r="AJ47" s="145"/>
      <c r="AK47" s="145"/>
      <c r="AL47" s="145"/>
      <c r="AM47" s="145"/>
      <c r="AN47" s="145"/>
      <c r="AO47" s="145"/>
      <c r="AP47" s="145"/>
      <c r="AQ47" s="145"/>
    </row>
    <row r="48" ht="15.6" spans="1:43">
      <c r="A48" s="101"/>
      <c r="B48" s="143" t="str">
        <f>X48</f>
        <v>I01</v>
      </c>
      <c r="C48" s="143"/>
      <c r="D48" s="103">
        <f>Y48</f>
        <v>0.700442207000552</v>
      </c>
      <c r="E48" s="103">
        <f t="shared" ref="E48" si="183">Z48</f>
        <v>0.702884005270112</v>
      </c>
      <c r="F48" s="103">
        <f t="shared" ref="F48" si="184">AA48</f>
        <v>0.777000041341209</v>
      </c>
      <c r="G48" s="103">
        <f t="shared" ref="G48" si="185">AB48</f>
        <v>1.39751740567965</v>
      </c>
      <c r="H48" s="103">
        <f t="shared" ref="H48" si="186">AC48</f>
        <v>1.27420341327499</v>
      </c>
      <c r="I48" s="103">
        <f t="shared" ref="I48" si="187">AD48</f>
        <v>1.24261199718145</v>
      </c>
      <c r="J48" s="103">
        <f t="shared" ref="J48" si="188">AE48</f>
        <v>1.16393086660876</v>
      </c>
      <c r="K48" s="103">
        <f t="shared" ref="K48" si="189">AF48</f>
        <v>0.457833863452295</v>
      </c>
      <c r="L48" s="143"/>
      <c r="M48" s="143" t="str">
        <f t="shared" ref="M48" si="190">AI48</f>
        <v>I01</v>
      </c>
      <c r="N48" s="143"/>
      <c r="O48" s="103">
        <f>AJ48</f>
        <v>-0.754491728865016</v>
      </c>
      <c r="P48" s="103">
        <f t="shared" ref="P48" si="191">AK48</f>
        <v>-0.712585833582901</v>
      </c>
      <c r="Q48" s="103">
        <f t="shared" ref="Q48" si="192">AL48</f>
        <v>-1.17022728859826</v>
      </c>
      <c r="R48" s="103">
        <f t="shared" ref="R48" si="193">AM48</f>
        <v>-1.53566966229931</v>
      </c>
      <c r="S48" s="103">
        <f t="shared" ref="S48" si="194">AN48</f>
        <v>-1.45948328925275</v>
      </c>
      <c r="T48" s="103">
        <f t="shared" ref="T48" si="195">AO48</f>
        <v>-1.66510328125795</v>
      </c>
      <c r="U48" s="103">
        <f t="shared" ref="U48" si="196">AP48</f>
        <v>-1.42901369381528</v>
      </c>
      <c r="V48" s="103">
        <f t="shared" ref="V48" si="197">AQ48</f>
        <v>-0.0154984313523786</v>
      </c>
      <c r="X48" s="144" t="s">
        <v>25</v>
      </c>
      <c r="Y48" s="145">
        <v>0.700442207000552</v>
      </c>
      <c r="Z48" s="145">
        <v>0.702884005270112</v>
      </c>
      <c r="AA48" s="145">
        <v>0.777000041341209</v>
      </c>
      <c r="AB48" s="145">
        <v>1.39751740567965</v>
      </c>
      <c r="AC48" s="145">
        <v>1.27420341327499</v>
      </c>
      <c r="AD48" s="145">
        <v>1.24261199718145</v>
      </c>
      <c r="AE48" s="145">
        <v>1.16393086660876</v>
      </c>
      <c r="AF48" s="145">
        <v>0.457833863452295</v>
      </c>
      <c r="AG48" s="148"/>
      <c r="AH48" s="148"/>
      <c r="AI48" s="144" t="s">
        <v>25</v>
      </c>
      <c r="AJ48" s="145">
        <v>-0.754491728865016</v>
      </c>
      <c r="AK48" s="145">
        <v>-0.712585833582901</v>
      </c>
      <c r="AL48" s="145">
        <v>-1.17022728859826</v>
      </c>
      <c r="AM48" s="145">
        <v>-1.53566966229931</v>
      </c>
      <c r="AN48" s="145">
        <v>-1.45948328925275</v>
      </c>
      <c r="AO48" s="145">
        <v>-1.66510328125795</v>
      </c>
      <c r="AP48" s="145">
        <v>-1.42901369381528</v>
      </c>
      <c r="AQ48" s="145">
        <v>-0.0154984313523786</v>
      </c>
    </row>
    <row r="49" ht="15.6" spans="1:1024 1025:16384">
      <c r="A49" s="101"/>
      <c r="B49" s="147" t="s">
        <v>25</v>
      </c>
      <c r="C49" s="147" t="s">
        <v>119</v>
      </c>
      <c r="D49" s="107">
        <v>3.54129151352257</v>
      </c>
      <c r="E49" s="107">
        <v>3.36769109066068</v>
      </c>
      <c r="F49" s="107">
        <v>3.40494551281222</v>
      </c>
      <c r="G49" s="107">
        <v>2.02562985970112</v>
      </c>
      <c r="H49" s="107">
        <v>2.41162585956752</v>
      </c>
      <c r="I49" s="107">
        <v>2.03110888751901</v>
      </c>
      <c r="J49" s="107">
        <v>3.08319706467855</v>
      </c>
      <c r="K49" s="107">
        <v>2.54121551434826</v>
      </c>
      <c r="M49" s="147" t="s">
        <v>25</v>
      </c>
      <c r="N49" s="147" t="s">
        <v>120</v>
      </c>
      <c r="O49" s="107">
        <v>-2.70319497996419</v>
      </c>
      <c r="P49" s="107">
        <v>-2.53917667934029</v>
      </c>
      <c r="Q49" s="107">
        <v>-2.87713420512511</v>
      </c>
      <c r="R49" s="107">
        <v>-2.24516872342743</v>
      </c>
      <c r="S49" s="107">
        <v>-2.40296715844086</v>
      </c>
      <c r="T49" s="107">
        <v>-2.03402585888819</v>
      </c>
      <c r="U49" s="107">
        <v>-2.78225556747672</v>
      </c>
      <c r="V49" s="107">
        <v>-1.91852858081711</v>
      </c>
      <c r="X49" s="144"/>
      <c r="Y49" s="145"/>
      <c r="Z49" s="145"/>
      <c r="AA49" s="145"/>
      <c r="AB49" s="145"/>
      <c r="AC49" s="145"/>
      <c r="AD49" s="145"/>
      <c r="AE49" s="145"/>
      <c r="AF49" s="145"/>
      <c r="AG49" s="148"/>
      <c r="AH49" s="148"/>
      <c r="AI49" s="144"/>
      <c r="AJ49" s="145"/>
      <c r="AK49" s="145"/>
      <c r="AL49" s="145"/>
      <c r="AM49" s="145"/>
      <c r="AN49" s="145"/>
      <c r="AO49" s="145"/>
      <c r="AP49" s="145"/>
      <c r="AQ49" s="145"/>
    </row>
    <row r="50" ht="15.6" spans="1:1024 1025:16384">
      <c r="B50" s="147" t="s">
        <v>25</v>
      </c>
      <c r="C50" s="147" t="s">
        <v>121</v>
      </c>
      <c r="D50" s="107">
        <v>0.457164915752468</v>
      </c>
      <c r="E50" s="107">
        <v>0.422119526906042</v>
      </c>
      <c r="F50" s="107">
        <v>0.746627427663792</v>
      </c>
      <c r="G50" s="107">
        <v>1.52190825198488</v>
      </c>
      <c r="H50" s="107">
        <v>1.23054430230038</v>
      </c>
      <c r="I50" s="107">
        <v>1.20702000265133</v>
      </c>
      <c r="J50" s="107">
        <v>0.720763935525028</v>
      </c>
      <c r="K50" s="107">
        <v>0.280768523902692</v>
      </c>
      <c r="M50" s="147" t="s">
        <v>25</v>
      </c>
      <c r="N50" s="147" t="s">
        <v>122</v>
      </c>
      <c r="O50" s="107">
        <v>0.615960280702946</v>
      </c>
      <c r="P50" s="107">
        <v>0.861399830465777</v>
      </c>
      <c r="Q50" s="107">
        <v>-0.405895840610454</v>
      </c>
      <c r="R50" s="107">
        <v>-1.63746231681666</v>
      </c>
      <c r="S50" s="107">
        <v>-1.26245269551851</v>
      </c>
      <c r="T50" s="107">
        <v>-1.2477605089968</v>
      </c>
      <c r="U50" s="107">
        <v>-0.608695530775451</v>
      </c>
      <c r="V50" s="107">
        <v>1.425751418481</v>
      </c>
      <c r="X50" s="144"/>
      <c r="Y50" s="145"/>
      <c r="Z50" s="145"/>
      <c r="AA50" s="145"/>
      <c r="AB50" s="145"/>
      <c r="AC50" s="145"/>
      <c r="AD50" s="145"/>
      <c r="AE50" s="145"/>
      <c r="AF50" s="145"/>
      <c r="AG50" s="148"/>
      <c r="AH50" s="148"/>
      <c r="AI50" s="144"/>
      <c r="AJ50" s="145"/>
      <c r="AK50" s="145"/>
      <c r="AL50" s="145"/>
      <c r="AM50" s="145"/>
      <c r="AN50" s="145"/>
      <c r="AO50" s="145"/>
      <c r="AP50" s="145"/>
      <c r="AQ50" s="145"/>
    </row>
    <row r="51" ht="15.6" spans="1:1024 1025:16384">
      <c r="A51" s="101"/>
      <c r="B51" s="143" t="str">
        <f>X51</f>
        <v>I02</v>
      </c>
      <c r="C51" s="143"/>
      <c r="D51" s="103">
        <f>Y51</f>
        <v>1.38318516506499</v>
      </c>
      <c r="E51" s="103">
        <f t="shared" ref="E51" si="198">Z51</f>
        <v>1.21639217388429</v>
      </c>
      <c r="F51" s="103">
        <f t="shared" ref="F51" si="199">AA51</f>
        <v>1.69837937401929</v>
      </c>
      <c r="G51" s="103">
        <f t="shared" ref="G51" si="200">AB51</f>
        <v>1.48878231315383</v>
      </c>
      <c r="H51" s="103">
        <f t="shared" ref="H51" si="201">AC51</f>
        <v>1.76369957846194</v>
      </c>
      <c r="I51" s="103">
        <f t="shared" ref="I51" si="202">AD51</f>
        <v>1.6630947664526</v>
      </c>
      <c r="J51" s="103">
        <f t="shared" ref="J51" si="203">AE51</f>
        <v>1.82714938217547</v>
      </c>
      <c r="K51" s="103">
        <f t="shared" ref="K51" si="204">AF51</f>
        <v>1.05499812348886</v>
      </c>
      <c r="L51" s="143"/>
      <c r="M51" s="143" t="str">
        <f t="shared" ref="M51" si="205">AI51</f>
        <v>I02</v>
      </c>
      <c r="N51" s="143"/>
      <c r="O51" s="103">
        <f>AJ51</f>
        <v>-1.41142286488087</v>
      </c>
      <c r="P51" s="103">
        <f t="shared" ref="P51" si="206">AK51</f>
        <v>-1.21274509573817</v>
      </c>
      <c r="Q51" s="103">
        <f t="shared" ref="Q51" si="207">AL51</f>
        <v>-2.20413819441576</v>
      </c>
      <c r="R51" s="103">
        <f t="shared" ref="R51" si="208">AM51</f>
        <v>-1.69675728739874</v>
      </c>
      <c r="S51" s="103">
        <f t="shared" ref="S51" si="209">AN51</f>
        <v>-1.98052409867263</v>
      </c>
      <c r="T51" s="103">
        <f t="shared" ref="T51" si="210">AO51</f>
        <v>-2.16179109088282</v>
      </c>
      <c r="U51" s="103">
        <f t="shared" ref="U51" si="211">AP51</f>
        <v>-2.06830936913006</v>
      </c>
      <c r="V51" s="103">
        <f t="shared" ref="V51" si="212">AQ51</f>
        <v>-0.779745097157419</v>
      </c>
      <c r="X51" s="144" t="s">
        <v>26</v>
      </c>
      <c r="Y51" s="145">
        <v>1.38318516506499</v>
      </c>
      <c r="Z51" s="145">
        <v>1.21639217388429</v>
      </c>
      <c r="AA51" s="145">
        <v>1.69837937401929</v>
      </c>
      <c r="AB51" s="145">
        <v>1.48878231315383</v>
      </c>
      <c r="AC51" s="145">
        <v>1.76369957846194</v>
      </c>
      <c r="AD51" s="145">
        <v>1.6630947664526</v>
      </c>
      <c r="AE51" s="145">
        <v>1.82714938217547</v>
      </c>
      <c r="AF51" s="145">
        <v>1.05499812348886</v>
      </c>
      <c r="AG51" s="148"/>
      <c r="AH51" s="148"/>
      <c r="AI51" s="144" t="s">
        <v>26</v>
      </c>
      <c r="AJ51" s="145">
        <v>-1.41142286488087</v>
      </c>
      <c r="AK51" s="145">
        <v>-1.21274509573817</v>
      </c>
      <c r="AL51" s="145">
        <v>-2.20413819441576</v>
      </c>
      <c r="AM51" s="145">
        <v>-1.69675728739874</v>
      </c>
      <c r="AN51" s="145">
        <v>-1.98052409867263</v>
      </c>
      <c r="AO51" s="145">
        <v>-2.16179109088282</v>
      </c>
      <c r="AP51" s="145">
        <v>-2.06830936913006</v>
      </c>
      <c r="AQ51" s="145">
        <v>-0.779745097157419</v>
      </c>
    </row>
    <row r="52" ht="15.6" spans="1:1024 1025:16384">
      <c r="A52" s="101"/>
      <c r="B52" s="147" t="s">
        <v>26</v>
      </c>
      <c r="C52" s="147" t="s">
        <v>123</v>
      </c>
      <c r="D52" s="107">
        <v>1.38318307849083</v>
      </c>
      <c r="E52" s="107">
        <v>1.21639258351864</v>
      </c>
      <c r="F52" s="107">
        <v>1.69837985004344</v>
      </c>
      <c r="G52" s="107">
        <v>1.17827590291085</v>
      </c>
      <c r="H52" s="107">
        <v>1.25721602952509</v>
      </c>
      <c r="I52" s="107">
        <v>1.44487566879119</v>
      </c>
      <c r="J52" s="107">
        <v>1.26641327439443</v>
      </c>
      <c r="K52" s="107">
        <v>1.06804073881008</v>
      </c>
      <c r="M52" s="147" t="s">
        <v>26</v>
      </c>
      <c r="N52" s="147" t="s">
        <v>124</v>
      </c>
      <c r="O52" s="107">
        <v>-0.685631333080545</v>
      </c>
      <c r="P52" s="107">
        <v>-0.543152622547972</v>
      </c>
      <c r="Q52" s="107">
        <v>-1.29636226975986</v>
      </c>
      <c r="R52" s="107">
        <v>-1.35506415309592</v>
      </c>
      <c r="S52" s="107">
        <v>-1.29130231661501</v>
      </c>
      <c r="T52" s="107">
        <v>-1.47549825632089</v>
      </c>
      <c r="U52" s="107">
        <v>-1.16068409297186</v>
      </c>
      <c r="V52" s="107">
        <v>-0.335528052838408</v>
      </c>
      <c r="X52" s="144"/>
      <c r="Y52" s="145"/>
      <c r="Z52" s="145"/>
      <c r="AA52" s="145"/>
      <c r="AB52" s="145"/>
      <c r="AC52" s="145"/>
      <c r="AD52" s="145"/>
      <c r="AE52" s="145"/>
      <c r="AF52" s="145"/>
      <c r="AG52" s="148"/>
      <c r="AH52" s="148"/>
      <c r="AI52" s="144"/>
      <c r="AJ52" s="145"/>
      <c r="AK52" s="145"/>
      <c r="AL52" s="145"/>
      <c r="AM52" s="145"/>
      <c r="AN52" s="145"/>
      <c r="AO52" s="145"/>
      <c r="AP52" s="145"/>
      <c r="AQ52" s="145"/>
    </row>
    <row r="53" ht="15.6" spans="1:1024 1025:16384">
      <c r="A53" s="101"/>
      <c r="B53" s="143" t="str">
        <f>X53</f>
        <v>J00</v>
      </c>
      <c r="C53" s="143"/>
      <c r="D53" s="103">
        <f>Y53</f>
        <v>1.65926271642991</v>
      </c>
      <c r="E53" s="103">
        <f t="shared" ref="E53" si="213">Z53</f>
        <v>1.36785666051934</v>
      </c>
      <c r="F53" s="103">
        <f t="shared" ref="F53" si="214">AA53</f>
        <v>2.54603911421165</v>
      </c>
      <c r="G53" s="103">
        <f t="shared" ref="G53" si="215">AB53</f>
        <v>1.15684957721971</v>
      </c>
      <c r="H53" s="103">
        <f t="shared" ref="H53" si="216">AC53</f>
        <v>1.64269315770483</v>
      </c>
      <c r="I53" s="103">
        <f t="shared" ref="I53" si="217">AD53</f>
        <v>2.50357386535822</v>
      </c>
      <c r="J53" s="103">
        <f t="shared" ref="J53" si="218">AE53</f>
        <v>2.20989528855005</v>
      </c>
      <c r="K53" s="103">
        <f t="shared" ref="K53" si="219">AF53</f>
        <v>1.02832471023052</v>
      </c>
      <c r="L53" s="143"/>
      <c r="M53" s="143" t="str">
        <f t="shared" ref="M53" si="220">AI53</f>
        <v>J00</v>
      </c>
      <c r="N53" s="143"/>
      <c r="O53" s="103">
        <f>AJ53</f>
        <v>-1.68626927050458</v>
      </c>
      <c r="P53" s="103">
        <f t="shared" ref="P53" si="221">AK53</f>
        <v>-1.35931143991415</v>
      </c>
      <c r="Q53" s="103">
        <f t="shared" ref="Q53" si="222">AL53</f>
        <v>-3.40149423731761</v>
      </c>
      <c r="R53" s="103">
        <f t="shared" ref="R53" si="223">AM53</f>
        <v>-1.86653440093351</v>
      </c>
      <c r="S53" s="103">
        <f t="shared" ref="S53" si="224">AN53</f>
        <v>-1.55931892567838</v>
      </c>
      <c r="T53" s="103">
        <f t="shared" ref="T53" si="225">AO53</f>
        <v>-3.18049927861839</v>
      </c>
      <c r="U53" s="103">
        <f t="shared" ref="U53" si="226">AP53</f>
        <v>-2.55509772260648</v>
      </c>
      <c r="V53" s="103">
        <f t="shared" ref="V53" si="227">AQ53</f>
        <v>-0.748967048291603</v>
      </c>
      <c r="X53" s="144" t="s">
        <v>27</v>
      </c>
      <c r="Y53" s="145">
        <v>1.65926271642991</v>
      </c>
      <c r="Z53" s="145">
        <v>1.36785666051934</v>
      </c>
      <c r="AA53" s="145">
        <v>2.54603911421165</v>
      </c>
      <c r="AB53" s="145">
        <v>1.15684957721971</v>
      </c>
      <c r="AC53" s="145">
        <v>1.64269315770483</v>
      </c>
      <c r="AD53" s="145">
        <v>2.50357386535822</v>
      </c>
      <c r="AE53" s="145">
        <v>2.20989528855005</v>
      </c>
      <c r="AF53" s="145">
        <v>1.02832471023052</v>
      </c>
      <c r="AG53" s="148"/>
      <c r="AH53" s="148"/>
      <c r="AI53" s="144" t="s">
        <v>27</v>
      </c>
      <c r="AJ53" s="145">
        <v>-1.68626927050458</v>
      </c>
      <c r="AK53" s="145">
        <v>-1.35931143991415</v>
      </c>
      <c r="AL53" s="145">
        <v>-3.40149423731761</v>
      </c>
      <c r="AM53" s="145">
        <v>-1.86653440093351</v>
      </c>
      <c r="AN53" s="145">
        <v>-1.55931892567838</v>
      </c>
      <c r="AO53" s="145">
        <v>-3.18049927861839</v>
      </c>
      <c r="AP53" s="145">
        <v>-2.55509772260648</v>
      </c>
      <c r="AQ53" s="145">
        <v>-0.748967048291603</v>
      </c>
    </row>
    <row r="54" ht="15.6" spans="1:1024 1025:16384">
      <c r="A54" s="101"/>
      <c r="B54" s="143" t="str">
        <f>X54</f>
        <v>K00</v>
      </c>
      <c r="C54" s="143"/>
      <c r="D54" s="103">
        <f>Y54</f>
        <v>0.982249093065184</v>
      </c>
      <c r="E54" s="103">
        <f t="shared" ref="E54" si="228">Z54</f>
        <v>0.853234255689011</v>
      </c>
      <c r="F54" s="103">
        <f t="shared" ref="F54" si="229">AA54</f>
        <v>0.617065251050622</v>
      </c>
      <c r="G54" s="103">
        <f t="shared" ref="G54" si="230">AB54</f>
        <v>0.77067166231921</v>
      </c>
      <c r="H54" s="103">
        <f t="shared" ref="H54" si="231">AC54</f>
        <v>0.731792020701094</v>
      </c>
      <c r="I54" s="103">
        <f t="shared" ref="I54" si="232">AD54</f>
        <v>1.1543103097471</v>
      </c>
      <c r="J54" s="103">
        <f t="shared" ref="J54" si="233">AE54</f>
        <v>0.811201222388874</v>
      </c>
      <c r="K54" s="103">
        <f t="shared" ref="K54" si="234">AF54</f>
        <v>1.19888966394336</v>
      </c>
      <c r="L54" s="143"/>
      <c r="M54" s="143" t="str">
        <f t="shared" ref="M54" si="235">AI54</f>
        <v>K00</v>
      </c>
      <c r="N54" s="143"/>
      <c r="O54" s="103">
        <f>AJ54</f>
        <v>-0.993299096312787</v>
      </c>
      <c r="P54" s="103">
        <f t="shared" ref="P54" si="236">AK54</f>
        <v>-0.869495750121762</v>
      </c>
      <c r="Q54" s="103">
        <f t="shared" ref="Q54" si="237">AL54</f>
        <v>-0.779354492891874</v>
      </c>
      <c r="R54" s="103">
        <f t="shared" ref="R54" si="238">AM54</f>
        <v>-0.813372935727007</v>
      </c>
      <c r="S54" s="103">
        <f t="shared" ref="S54" si="239">AN54</f>
        <v>-0.786297472662056</v>
      </c>
      <c r="T54" s="103">
        <f t="shared" ref="T54" si="240">AO54</f>
        <v>-1.21371857953453</v>
      </c>
      <c r="U54" s="103">
        <f t="shared" ref="U54" si="241">AP54</f>
        <v>-0.888320563792954</v>
      </c>
      <c r="V54" s="103">
        <f t="shared" ref="V54" si="242">AQ54</f>
        <v>-1.09395722066305</v>
      </c>
      <c r="X54" s="144" t="s">
        <v>28</v>
      </c>
      <c r="Y54" s="145">
        <v>0.982249093065184</v>
      </c>
      <c r="Z54" s="145">
        <v>0.853234255689011</v>
      </c>
      <c r="AA54" s="145">
        <v>0.617065251050622</v>
      </c>
      <c r="AB54" s="145">
        <v>0.77067166231921</v>
      </c>
      <c r="AC54" s="145">
        <v>0.731792020701094</v>
      </c>
      <c r="AD54" s="145">
        <v>1.1543103097471</v>
      </c>
      <c r="AE54" s="145">
        <v>0.811201222388874</v>
      </c>
      <c r="AF54" s="145">
        <v>1.19888966394336</v>
      </c>
      <c r="AG54" s="148"/>
      <c r="AH54" s="148"/>
      <c r="AI54" s="144" t="s">
        <v>28</v>
      </c>
      <c r="AJ54" s="145">
        <v>-0.993299096312787</v>
      </c>
      <c r="AK54" s="145">
        <v>-0.869495750121762</v>
      </c>
      <c r="AL54" s="145">
        <v>-0.779354492891874</v>
      </c>
      <c r="AM54" s="145">
        <v>-0.813372935727007</v>
      </c>
      <c r="AN54" s="145">
        <v>-0.786297472662056</v>
      </c>
      <c r="AO54" s="145">
        <v>-1.21371857953453</v>
      </c>
      <c r="AP54" s="145">
        <v>-0.888320563792954</v>
      </c>
      <c r="AQ54" s="145">
        <v>-1.09395722066305</v>
      </c>
    </row>
    <row r="55" ht="15.6" spans="1:1024 1025:16384">
      <c r="A55" s="101"/>
      <c r="B55" s="147" t="s">
        <v>28</v>
      </c>
      <c r="C55" s="147" t="s">
        <v>91</v>
      </c>
      <c r="D55" s="107">
        <v>0.928402067932694</v>
      </c>
      <c r="E55" s="107">
        <v>0.803089159667684</v>
      </c>
      <c r="F55" s="107">
        <v>0.542563063977885</v>
      </c>
      <c r="G55" s="107">
        <v>0.468101887586643</v>
      </c>
      <c r="H55" s="107">
        <v>0.412630484921674</v>
      </c>
      <c r="I55" s="107">
        <v>0.542865742291034</v>
      </c>
      <c r="J55" s="107">
        <v>0.372739304320828</v>
      </c>
      <c r="K55" s="107">
        <v>0.906073310195004</v>
      </c>
      <c r="M55" s="147" t="s">
        <v>28</v>
      </c>
      <c r="N55" s="147" t="s">
        <v>92</v>
      </c>
      <c r="O55" s="107">
        <v>-0.757481314049131</v>
      </c>
      <c r="P55" s="107">
        <v>-0.656575211414858</v>
      </c>
      <c r="Q55" s="107">
        <v>-0.43165580615043</v>
      </c>
      <c r="R55" s="107">
        <v>-0.518068957848183</v>
      </c>
      <c r="S55" s="107">
        <v>-0.443422094228371</v>
      </c>
      <c r="T55" s="107">
        <v>-0.577323338750297</v>
      </c>
      <c r="U55" s="107">
        <v>-0.370369156881782</v>
      </c>
      <c r="V55" s="107">
        <v>-0.683045131349182</v>
      </c>
      <c r="X55" s="144"/>
      <c r="Y55" s="145"/>
      <c r="Z55" s="145"/>
      <c r="AA55" s="145"/>
      <c r="AB55" s="145"/>
      <c r="AC55" s="145"/>
      <c r="AD55" s="145"/>
      <c r="AE55" s="145"/>
      <c r="AF55" s="145"/>
      <c r="AG55" s="148"/>
      <c r="AH55" s="148"/>
      <c r="AI55" s="144"/>
      <c r="AJ55" s="145"/>
      <c r="AK55" s="145"/>
      <c r="AL55" s="145"/>
      <c r="AM55" s="145"/>
      <c r="AN55" s="145"/>
      <c r="AO55" s="145"/>
      <c r="AP55" s="145"/>
      <c r="AQ55" s="145"/>
    </row>
    <row r="56" ht="15.6" spans="1:1024 1025:16384">
      <c r="A56" s="101"/>
      <c r="B56" s="147" t="s">
        <v>28</v>
      </c>
      <c r="C56" s="147" t="s">
        <v>127</v>
      </c>
      <c r="D56" s="107">
        <v>1.65551214751041</v>
      </c>
      <c r="E56" s="107">
        <v>1.92620111403006</v>
      </c>
      <c r="F56" s="107">
        <v>0.864382734158962</v>
      </c>
      <c r="G56" s="107">
        <v>2.03066624803635</v>
      </c>
      <c r="H56" s="107">
        <v>1.42343617771364</v>
      </c>
      <c r="I56" s="107">
        <v>2.20426103205077</v>
      </c>
      <c r="J56" s="107">
        <v>1.01455300700132</v>
      </c>
      <c r="K56" s="107">
        <v>1.64781996969428</v>
      </c>
      <c r="M56" s="147" t="s">
        <v>28</v>
      </c>
      <c r="N56" s="147" t="s">
        <v>128</v>
      </c>
      <c r="O56" s="107">
        <v>13.0593854459943</v>
      </c>
      <c r="P56" s="107">
        <v>15.4589549068886</v>
      </c>
      <c r="Q56" s="107">
        <v>3.97139745578587</v>
      </c>
      <c r="R56" s="107">
        <v>-3.24950124773965</v>
      </c>
      <c r="S56" s="107">
        <v>-1.77663639172322</v>
      </c>
      <c r="T56" s="107">
        <v>-3.027964528794</v>
      </c>
      <c r="U56" s="107">
        <v>1.731636978986</v>
      </c>
      <c r="V56" s="107">
        <v>15.4939381736798</v>
      </c>
      <c r="X56" s="144"/>
      <c r="Y56" s="145"/>
      <c r="Z56" s="145"/>
      <c r="AA56" s="145"/>
      <c r="AB56" s="145"/>
      <c r="AC56" s="145"/>
      <c r="AD56" s="145"/>
      <c r="AE56" s="145"/>
      <c r="AF56" s="145"/>
      <c r="AG56" s="148"/>
      <c r="AH56" s="148"/>
      <c r="AI56" s="144"/>
      <c r="AJ56" s="145"/>
      <c r="AK56" s="145"/>
      <c r="AL56" s="145"/>
      <c r="AM56" s="145"/>
      <c r="AN56" s="145"/>
      <c r="AO56" s="145"/>
      <c r="AP56" s="145"/>
      <c r="AQ56" s="145"/>
    </row>
    <row r="57" ht="15.6" spans="1:1024 1025:16384">
      <c r="A57" s="101"/>
      <c r="B57" s="143" t="str">
        <f>X57</f>
        <v>L75</v>
      </c>
      <c r="C57" s="143"/>
      <c r="D57" s="103">
        <f>Y57</f>
        <v>1.95272736128961</v>
      </c>
      <c r="E57" s="103">
        <f t="shared" ref="E57" si="243">Z57</f>
        <v>1.62228839367294</v>
      </c>
      <c r="F57" s="103">
        <f t="shared" ref="F57" si="244">AA57</f>
        <v>2.33845407466858</v>
      </c>
      <c r="G57" s="103">
        <f t="shared" ref="G57" si="245">AB57</f>
        <v>0.921732226846428</v>
      </c>
      <c r="H57" s="103">
        <f t="shared" ref="H57" si="246">AC57</f>
        <v>1.95819962370157</v>
      </c>
      <c r="I57" s="103">
        <f t="shared" ref="I57" si="247">AD57</f>
        <v>2.67507207418549</v>
      </c>
      <c r="J57" s="103">
        <f t="shared" ref="J57" si="248">AE57</f>
        <v>3.01976300411404</v>
      </c>
      <c r="K57" s="103">
        <f t="shared" ref="K57" si="249">AF57</f>
        <v>1.16596633655726</v>
      </c>
      <c r="L57" s="143"/>
      <c r="M57" s="143" t="str">
        <f t="shared" ref="M57" si="250">AI57</f>
        <v>L75</v>
      </c>
      <c r="N57" s="143"/>
      <c r="O57" s="103">
        <f>AJ57</f>
        <v>-2.097867294101</v>
      </c>
      <c r="P57" s="103">
        <f t="shared" ref="P57" si="251">AK57</f>
        <v>-1.62668551936635</v>
      </c>
      <c r="Q57" s="103">
        <f t="shared" ref="Q57" si="252">AL57</f>
        <v>-4.6650294883739</v>
      </c>
      <c r="R57" s="103">
        <f t="shared" ref="R57" si="253">AM57</f>
        <v>-2.5291359170654</v>
      </c>
      <c r="S57" s="103">
        <f t="shared" ref="S57" si="254">AN57</f>
        <v>-3.84848963867878</v>
      </c>
      <c r="T57" s="103">
        <f t="shared" ref="T57" si="255">AO57</f>
        <v>-4.52881450695113</v>
      </c>
      <c r="U57" s="103">
        <f t="shared" ref="U57" si="256">AP57</f>
        <v>-4.64470560846222</v>
      </c>
      <c r="V57" s="103">
        <f t="shared" ref="V57" si="257">AQ57</f>
        <v>-0.370580399615352</v>
      </c>
      <c r="X57" s="144" t="s">
        <v>29</v>
      </c>
      <c r="Y57" s="145">
        <v>1.95272736128961</v>
      </c>
      <c r="Z57" s="145">
        <v>1.62228839367294</v>
      </c>
      <c r="AA57" s="145">
        <v>2.33845407466858</v>
      </c>
      <c r="AB57" s="145">
        <v>0.921732226846428</v>
      </c>
      <c r="AC57" s="145">
        <v>1.95819962370157</v>
      </c>
      <c r="AD57" s="145">
        <v>2.67507207418549</v>
      </c>
      <c r="AE57" s="145">
        <v>3.01976300411404</v>
      </c>
      <c r="AF57" s="145">
        <v>1.16596633655726</v>
      </c>
      <c r="AG57" s="148"/>
      <c r="AH57" s="148"/>
      <c r="AI57" s="144" t="s">
        <v>29</v>
      </c>
      <c r="AJ57" s="145">
        <v>-2.097867294101</v>
      </c>
      <c r="AK57" s="145">
        <v>-1.62668551936635</v>
      </c>
      <c r="AL57" s="145">
        <v>-4.6650294883739</v>
      </c>
      <c r="AM57" s="145">
        <v>-2.5291359170654</v>
      </c>
      <c r="AN57" s="145">
        <v>-3.84848963867878</v>
      </c>
      <c r="AO57" s="145">
        <v>-4.52881450695113</v>
      </c>
      <c r="AP57" s="145">
        <v>-4.64470560846222</v>
      </c>
      <c r="AQ57" s="145">
        <v>-0.370580399615352</v>
      </c>
    </row>
    <row r="58" ht="15.6" spans="1:1024 1025:16384">
      <c r="B58" s="143" t="str">
        <f>X58</f>
        <v>MN0</v>
      </c>
      <c r="C58" s="143"/>
      <c r="D58" s="103">
        <f>Y58</f>
        <v>1.46833677993131</v>
      </c>
      <c r="E58" s="103">
        <f t="shared" ref="E58" si="258">Z58</f>
        <v>1.38066765672123</v>
      </c>
      <c r="F58" s="103">
        <f t="shared" ref="F58" si="259">AA58</f>
        <v>1.22565974599912</v>
      </c>
      <c r="G58" s="103">
        <f t="shared" ref="G58" si="260">AB58</f>
        <v>1.16332970278173</v>
      </c>
      <c r="H58" s="103">
        <f t="shared" ref="H58" si="261">AC58</f>
        <v>1.15175009240405</v>
      </c>
      <c r="I58" s="103">
        <f t="shared" ref="I58" si="262">AD58</f>
        <v>1.95377277696872</v>
      </c>
      <c r="J58" s="103">
        <f t="shared" ref="J58" si="263">AE58</f>
        <v>1.19224886423466</v>
      </c>
      <c r="K58" s="103">
        <f t="shared" ref="K58" si="264">AF58</f>
        <v>1.21664092939238</v>
      </c>
      <c r="L58" s="143"/>
      <c r="M58" s="143" t="str">
        <f t="shared" ref="M58" si="265">AI58</f>
        <v>MN0</v>
      </c>
      <c r="N58" s="143"/>
      <c r="O58" s="103">
        <f>AJ58</f>
        <v>-1.45050038249726</v>
      </c>
      <c r="P58" s="103">
        <f t="shared" ref="P58" si="266">AK58</f>
        <v>-0.98429545856733</v>
      </c>
      <c r="Q58" s="103">
        <f t="shared" ref="Q58" si="267">AL58</f>
        <v>-1.43629922996067</v>
      </c>
      <c r="R58" s="103">
        <f t="shared" ref="R58" si="268">AM58</f>
        <v>-1.25232194195344</v>
      </c>
      <c r="S58" s="103">
        <f t="shared" ref="S58" si="269">AN58</f>
        <v>-1.25560356254367</v>
      </c>
      <c r="T58" s="103">
        <f t="shared" ref="T58" si="270">AO58</f>
        <v>-2.10085543424324</v>
      </c>
      <c r="U58" s="103">
        <f t="shared" ref="U58" si="271">AP58</f>
        <v>-1.31320507174203</v>
      </c>
      <c r="V58" s="103">
        <f t="shared" ref="V58" si="272">AQ58</f>
        <v>-1.0766413915987</v>
      </c>
      <c r="X58" s="144" t="s">
        <v>30</v>
      </c>
      <c r="Y58" s="145">
        <v>1.46833677993131</v>
      </c>
      <c r="Z58" s="145">
        <v>1.38066765672123</v>
      </c>
      <c r="AA58" s="145">
        <v>1.22565974599912</v>
      </c>
      <c r="AB58" s="145">
        <v>1.16332970278173</v>
      </c>
      <c r="AC58" s="145">
        <v>1.15175009240405</v>
      </c>
      <c r="AD58" s="145">
        <v>1.95377277696872</v>
      </c>
      <c r="AE58" s="145">
        <v>1.19224886423466</v>
      </c>
      <c r="AF58" s="145">
        <v>1.21664092939238</v>
      </c>
      <c r="AG58" s="148"/>
      <c r="AH58" s="148"/>
      <c r="AI58" s="144" t="s">
        <v>30</v>
      </c>
      <c r="AJ58" s="145">
        <v>-1.45050038249726</v>
      </c>
      <c r="AK58" s="145">
        <v>-0.98429545856733</v>
      </c>
      <c r="AL58" s="145">
        <v>-1.43629922996067</v>
      </c>
      <c r="AM58" s="145">
        <v>-1.25232194195344</v>
      </c>
      <c r="AN58" s="145">
        <v>-1.25560356254367</v>
      </c>
      <c r="AO58" s="145">
        <v>-2.10085543424324</v>
      </c>
      <c r="AP58" s="145">
        <v>-1.31320507174203</v>
      </c>
      <c r="AQ58" s="145">
        <v>-1.0766413915987</v>
      </c>
    </row>
    <row r="59" s="94" customFormat="1" ht="15.6" spans="1:1024 1025:16384">
      <c r="A59" s="96"/>
      <c r="B59" s="147" t="s">
        <v>30</v>
      </c>
      <c r="C59" s="147" t="s">
        <v>115</v>
      </c>
      <c r="D59" s="107">
        <v>1.01306638834786</v>
      </c>
      <c r="E59" s="107">
        <v>0.944666874864849</v>
      </c>
      <c r="F59" s="107">
        <v>1.19123226827512</v>
      </c>
      <c r="G59" s="107">
        <v>1.55868281881629</v>
      </c>
      <c r="H59" s="107">
        <v>1.33546273917066</v>
      </c>
      <c r="I59" s="107">
        <v>1.3439513786123</v>
      </c>
      <c r="J59" s="107">
        <v>1.32216236387132</v>
      </c>
      <c r="K59" s="107">
        <v>0.788996357091712</v>
      </c>
      <c r="M59" s="147" t="s">
        <v>30</v>
      </c>
      <c r="N59" s="147" t="s">
        <v>116</v>
      </c>
      <c r="O59" s="107">
        <v>-0.589746998731406</v>
      </c>
      <c r="P59" s="107">
        <v>-0.498201095342531</v>
      </c>
      <c r="Q59" s="107">
        <v>-1.00532589441529</v>
      </c>
      <c r="R59" s="107">
        <v>-1.62036149903744</v>
      </c>
      <c r="S59" s="107">
        <v>-1.33808954192932</v>
      </c>
      <c r="T59" s="107">
        <v>-1.34617981835977</v>
      </c>
      <c r="U59" s="107">
        <v>-1.2497854742522</v>
      </c>
      <c r="V59" s="107">
        <v>-0.277656458919964</v>
      </c>
      <c r="X59" s="144"/>
      <c r="Y59" s="145"/>
      <c r="Z59" s="145"/>
      <c r="AA59" s="145"/>
      <c r="AB59" s="145"/>
      <c r="AC59" s="145"/>
      <c r="AD59" s="145"/>
      <c r="AE59" s="145"/>
      <c r="AF59" s="145"/>
      <c r="AG59" s="148"/>
      <c r="AH59" s="148"/>
      <c r="AI59" s="144"/>
      <c r="AJ59" s="145"/>
      <c r="AK59" s="145"/>
      <c r="AL59" s="145"/>
      <c r="AM59" s="145"/>
      <c r="AN59" s="145"/>
      <c r="AO59" s="145"/>
      <c r="AP59" s="145"/>
      <c r="AQ59" s="145"/>
    </row>
    <row r="60" ht="15" customHeight="1" spans="1:1024 1025:16384">
      <c r="A60" s="101"/>
      <c r="B60" s="147" t="s">
        <v>30</v>
      </c>
      <c r="C60" s="147" t="s">
        <v>133</v>
      </c>
      <c r="D60" s="107">
        <v>0.800036321856502</v>
      </c>
      <c r="E60" s="107">
        <v>0.839172732756868</v>
      </c>
      <c r="F60" s="107">
        <v>0.740224086508912</v>
      </c>
      <c r="G60" s="107">
        <v>0.550496883966006</v>
      </c>
      <c r="H60" s="107">
        <v>-0.0169049251743554</v>
      </c>
      <c r="I60" s="107">
        <v>1.5942817254125</v>
      </c>
      <c r="J60" s="107">
        <v>0.735250551205615</v>
      </c>
      <c r="K60" s="107">
        <v>0.887003068766454</v>
      </c>
      <c r="M60" s="147" t="s">
        <v>30</v>
      </c>
      <c r="N60" s="147" t="s">
        <v>134</v>
      </c>
      <c r="O60" s="107">
        <v>73.6792922388998</v>
      </c>
      <c r="P60" s="107">
        <v>85.5632273159134</v>
      </c>
      <c r="Q60" s="107">
        <v>24.6137877532201</v>
      </c>
      <c r="R60" s="107">
        <v>-7.26384317373491</v>
      </c>
      <c r="S60" s="107">
        <v>-2.07854029338785</v>
      </c>
      <c r="T60" s="107">
        <v>-4.23910212851518</v>
      </c>
      <c r="U60" s="107">
        <v>16.685547805214</v>
      </c>
      <c r="V60" s="107">
        <v>107.237126599578</v>
      </c>
      <c r="X60" s="144"/>
      <c r="Y60" s="145"/>
      <c r="Z60" s="145"/>
      <c r="AA60" s="145"/>
      <c r="AB60" s="145"/>
      <c r="AC60" s="145"/>
      <c r="AD60" s="145"/>
      <c r="AE60" s="145"/>
      <c r="AF60" s="145"/>
      <c r="AG60" s="148"/>
      <c r="AH60" s="148"/>
      <c r="AI60" s="144"/>
      <c r="AJ60" s="145"/>
      <c r="AK60" s="145"/>
      <c r="AL60" s="145"/>
      <c r="AM60" s="145"/>
      <c r="AN60" s="145"/>
      <c r="AO60" s="145"/>
      <c r="AP60" s="145"/>
      <c r="AQ60" s="145"/>
    </row>
    <row r="61" ht="15.6" spans="1:1024 1025:16384">
      <c r="A61" s="101"/>
      <c r="B61" s="149" t="s">
        <v>30</v>
      </c>
      <c r="C61" s="147" t="s">
        <v>135</v>
      </c>
      <c r="D61" s="107">
        <v>1.73318791192084</v>
      </c>
      <c r="E61" s="107">
        <v>1.52901130029993</v>
      </c>
      <c r="F61" s="107">
        <v>0.928706461299885</v>
      </c>
      <c r="G61" s="107">
        <v>0.928897749709773</v>
      </c>
      <c r="H61" s="107">
        <v>1.0638850006224</v>
      </c>
      <c r="I61" s="107">
        <v>1.17427784335056</v>
      </c>
      <c r="J61" s="107">
        <v>1.31846585924667</v>
      </c>
      <c r="K61" s="107">
        <v>1.58134362898298</v>
      </c>
      <c r="M61" s="149" t="s">
        <v>30</v>
      </c>
      <c r="N61" s="147" t="s">
        <v>136</v>
      </c>
      <c r="O61" s="107">
        <v>-0.980770076434574</v>
      </c>
      <c r="P61" s="107">
        <v>-0.858038314417434</v>
      </c>
      <c r="Q61" s="107">
        <v>-0.328483009469354</v>
      </c>
      <c r="R61" s="107">
        <v>-1.04841274566421</v>
      </c>
      <c r="S61" s="107">
        <v>-1.09916973997012</v>
      </c>
      <c r="T61" s="107">
        <v>-1.21360014513817</v>
      </c>
      <c r="U61" s="107">
        <v>-1.1856692024513</v>
      </c>
      <c r="V61" s="107">
        <v>-0.774568837318534</v>
      </c>
      <c r="X61" s="144"/>
      <c r="Y61" s="145"/>
      <c r="Z61" s="145"/>
      <c r="AA61" s="145"/>
      <c r="AB61" s="145"/>
      <c r="AC61" s="145"/>
      <c r="AD61" s="145"/>
      <c r="AE61" s="145"/>
      <c r="AF61" s="145"/>
      <c r="AG61" s="148"/>
      <c r="AH61" s="148"/>
      <c r="AI61" s="144"/>
      <c r="AJ61" s="145"/>
      <c r="AK61" s="145"/>
      <c r="AL61" s="145"/>
      <c r="AM61" s="145"/>
      <c r="AN61" s="145"/>
      <c r="AO61" s="145"/>
      <c r="AP61" s="145"/>
      <c r="AQ61" s="145"/>
    </row>
    <row r="62" s="94" customFormat="1" ht="15.6" spans="1:1024 1025:16384">
      <c r="A62" s="101"/>
      <c r="B62" s="143" t="str">
        <f>X62</f>
        <v>OP0</v>
      </c>
      <c r="C62" s="143"/>
      <c r="D62" s="103">
        <f>Y62</f>
        <v>1.50073819233444</v>
      </c>
      <c r="E62" s="103">
        <f t="shared" ref="E62" si="273">Z62</f>
        <v>1.41129762565068</v>
      </c>
      <c r="F62" s="103">
        <f t="shared" ref="F62" si="274">AA62</f>
        <v>1.46665989921864</v>
      </c>
      <c r="G62" s="103">
        <f t="shared" ref="G62" si="275">AB62</f>
        <v>1.32020032593397</v>
      </c>
      <c r="H62" s="103">
        <f t="shared" ref="H62" si="276">AC62</f>
        <v>1.0095392400663</v>
      </c>
      <c r="I62" s="103">
        <f t="shared" ref="I62" si="277">AD62</f>
        <v>2.06595689232033</v>
      </c>
      <c r="J62" s="103">
        <f t="shared" ref="J62" si="278">AE62</f>
        <v>1.32389731884916</v>
      </c>
      <c r="K62" s="103">
        <f t="shared" ref="K62" si="279">AF62</f>
        <v>1.35295725949737</v>
      </c>
      <c r="L62" s="143"/>
      <c r="M62" s="143" t="str">
        <f t="shared" ref="M62" si="280">AI62</f>
        <v>OP0</v>
      </c>
      <c r="N62" s="143"/>
      <c r="O62" s="103">
        <f>AJ62</f>
        <v>-1.49794567358798</v>
      </c>
      <c r="P62" s="103">
        <f t="shared" ref="P62" si="281">AK62</f>
        <v>-1.38932991421235</v>
      </c>
      <c r="Q62" s="103">
        <f t="shared" ref="Q62" si="282">AL62</f>
        <v>-1.7355895142691</v>
      </c>
      <c r="R62" s="103">
        <f t="shared" ref="R62" si="283">AM62</f>
        <v>-1.43088254110276</v>
      </c>
      <c r="S62" s="103">
        <f t="shared" ref="S62" si="284">AN62</f>
        <v>-1.14494054362403</v>
      </c>
      <c r="T62" s="103">
        <f t="shared" ref="T62" si="285">AO62</f>
        <v>-1.23678709444123</v>
      </c>
      <c r="U62" s="103">
        <f t="shared" ref="U62" si="286">AP62</f>
        <v>-1.50151672693546</v>
      </c>
      <c r="V62" s="103">
        <f t="shared" ref="V62" si="287">AQ62</f>
        <v>-1.15467017266849</v>
      </c>
      <c r="X62" s="144" t="s">
        <v>31</v>
      </c>
      <c r="Y62" s="145">
        <v>1.50073819233444</v>
      </c>
      <c r="Z62" s="145">
        <v>1.41129762565068</v>
      </c>
      <c r="AA62" s="145">
        <v>1.46665989921864</v>
      </c>
      <c r="AB62" s="145">
        <v>1.32020032593397</v>
      </c>
      <c r="AC62" s="145">
        <v>1.0095392400663</v>
      </c>
      <c r="AD62" s="145">
        <v>2.06595689232033</v>
      </c>
      <c r="AE62" s="145">
        <v>1.32389731884916</v>
      </c>
      <c r="AF62" s="145">
        <v>1.35295725949737</v>
      </c>
      <c r="AG62" s="148"/>
      <c r="AH62" s="148"/>
      <c r="AI62" s="144" t="s">
        <v>31</v>
      </c>
      <c r="AJ62" s="145">
        <v>-1.49794567358798</v>
      </c>
      <c r="AK62" s="145">
        <v>-1.38932991421235</v>
      </c>
      <c r="AL62" s="145">
        <v>-1.7355895142691</v>
      </c>
      <c r="AM62" s="145">
        <v>-1.43088254110276</v>
      </c>
      <c r="AN62" s="145">
        <v>-1.14494054362403</v>
      </c>
      <c r="AO62" s="145">
        <v>-1.23678709444123</v>
      </c>
      <c r="AP62" s="145">
        <v>-1.50151672693546</v>
      </c>
      <c r="AQ62" s="145">
        <v>-1.15467017266849</v>
      </c>
    </row>
    <row r="63" s="94" customFormat="1" ht="15.6" spans="1:1024 1025:16384">
      <c r="A63" s="101"/>
      <c r="B63" s="147" t="s">
        <v>31</v>
      </c>
      <c r="C63" s="147" t="s">
        <v>129</v>
      </c>
      <c r="D63" s="107">
        <v>2.40832069305506</v>
      </c>
      <c r="E63" s="107">
        <v>1.99922841073925</v>
      </c>
      <c r="F63" s="107">
        <v>2.36914710173683</v>
      </c>
      <c r="G63" s="107">
        <v>1.65941455006647</v>
      </c>
      <c r="H63" s="107">
        <v>0.989816164012056</v>
      </c>
      <c r="I63" s="107">
        <v>2.0476095492734</v>
      </c>
      <c r="J63" s="107">
        <v>1.28887732611877</v>
      </c>
      <c r="K63" s="107">
        <v>1.63173379305019</v>
      </c>
      <c r="M63" s="147" t="s">
        <v>31</v>
      </c>
      <c r="N63" s="147" t="s">
        <v>130</v>
      </c>
      <c r="O63" s="107">
        <v>2.82794526545219</v>
      </c>
      <c r="P63" s="107">
        <v>2.40876879629265</v>
      </c>
      <c r="Q63" s="107">
        <v>6.33747876200505</v>
      </c>
      <c r="R63" s="107">
        <v>-6.62953941778774</v>
      </c>
      <c r="S63" s="107">
        <v>-1.82552946049349</v>
      </c>
      <c r="T63" s="107">
        <v>-2.58137196585593</v>
      </c>
      <c r="U63" s="107">
        <v>-0.0992431555550428</v>
      </c>
      <c r="V63" s="107">
        <v>2.64191619821766</v>
      </c>
      <c r="X63" s="144"/>
      <c r="Y63" s="145"/>
      <c r="Z63" s="145"/>
      <c r="AA63" s="145"/>
      <c r="AB63" s="145"/>
      <c r="AC63" s="145"/>
      <c r="AD63" s="145"/>
      <c r="AE63" s="145"/>
      <c r="AF63" s="145"/>
      <c r="AG63" s="148"/>
      <c r="AH63" s="148"/>
      <c r="AI63" s="144"/>
      <c r="AJ63" s="145"/>
      <c r="AK63" s="145"/>
      <c r="AL63" s="145"/>
      <c r="AM63" s="145"/>
      <c r="AN63" s="145"/>
      <c r="AO63" s="145"/>
      <c r="AP63" s="145"/>
      <c r="AQ63" s="145"/>
    </row>
    <row r="64" ht="15.6" spans="1:1024 1025:16384">
      <c r="A64" s="101"/>
      <c r="B64" s="147" t="s">
        <v>31</v>
      </c>
      <c r="C64" s="147" t="s">
        <v>131</v>
      </c>
      <c r="D64" s="107">
        <v>2.2584477134349</v>
      </c>
      <c r="E64" s="107">
        <v>2.13375075410475</v>
      </c>
      <c r="F64" s="107">
        <v>1.15171644735376</v>
      </c>
      <c r="G64" s="107">
        <v>1.86410995711229</v>
      </c>
      <c r="H64" s="107">
        <v>1.75629526254009</v>
      </c>
      <c r="I64" s="107">
        <v>2.39366470050598</v>
      </c>
      <c r="J64" s="107">
        <v>1.412388904922</v>
      </c>
      <c r="K64" s="107">
        <v>1.69617974197029</v>
      </c>
      <c r="M64" s="147" t="s">
        <v>31</v>
      </c>
      <c r="N64" s="147" t="s">
        <v>132</v>
      </c>
      <c r="O64" s="107">
        <v>1.67089736628838</v>
      </c>
      <c r="P64" s="107">
        <v>1.59165331618697</v>
      </c>
      <c r="Q64" s="107">
        <v>1.27393695707437</v>
      </c>
      <c r="R64" s="107">
        <v>-4.03062177056337</v>
      </c>
      <c r="S64" s="107">
        <v>-2.03769216553124</v>
      </c>
      <c r="T64" s="107">
        <v>-2.71038251046317</v>
      </c>
      <c r="U64" s="107">
        <v>-0.629363131674396</v>
      </c>
      <c r="V64" s="107">
        <v>1.82945099692439</v>
      </c>
      <c r="X64" s="144"/>
      <c r="Y64" s="145"/>
      <c r="Z64" s="145"/>
      <c r="AA64" s="145"/>
      <c r="AB64" s="145"/>
      <c r="AC64" s="145"/>
      <c r="AD64" s="145"/>
      <c r="AE64" s="145"/>
      <c r="AF64" s="145"/>
      <c r="AG64" s="148"/>
      <c r="AH64" s="148"/>
      <c r="AI64" s="144"/>
      <c r="AJ64" s="145"/>
      <c r="AK64" s="145"/>
      <c r="AL64" s="145"/>
      <c r="AM64" s="145"/>
      <c r="AN64" s="145"/>
      <c r="AO64" s="145"/>
      <c r="AP64" s="145"/>
      <c r="AQ64" s="145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  <c r="BM64" s="94"/>
      <c r="BN64" s="94"/>
      <c r="BO64" s="94"/>
      <c r="BP64" s="94"/>
      <c r="BQ64" s="94"/>
      <c r="BR64" s="94"/>
      <c r="BS64" s="94"/>
      <c r="BT64" s="94"/>
      <c r="BU64" s="94"/>
      <c r="BV64" s="94"/>
      <c r="BW64" s="94"/>
      <c r="BX64" s="94"/>
      <c r="BY64" s="94"/>
      <c r="BZ64" s="94"/>
      <c r="CA64" s="94"/>
      <c r="CB64" s="94"/>
      <c r="CC64" s="94"/>
      <c r="CD64" s="94"/>
      <c r="CE64" s="94"/>
      <c r="CF64" s="94"/>
      <c r="CG64" s="94"/>
      <c r="CH64" s="94"/>
      <c r="CI64" s="94"/>
      <c r="CJ64" s="94"/>
      <c r="CK64" s="94"/>
      <c r="CL64" s="94"/>
      <c r="CM64" s="94"/>
      <c r="CN64" s="94"/>
      <c r="CO64" s="94"/>
      <c r="CP64" s="94"/>
      <c r="CQ64" s="94"/>
      <c r="CR64" s="94"/>
      <c r="CS64" s="94"/>
      <c r="CT64" s="94"/>
      <c r="CU64" s="94"/>
      <c r="CV64" s="94"/>
      <c r="CW64" s="94"/>
      <c r="CX64" s="94"/>
      <c r="CY64" s="94"/>
      <c r="CZ64" s="94"/>
      <c r="DA64" s="94"/>
      <c r="DB64" s="94"/>
      <c r="DC64" s="94"/>
      <c r="DD64" s="94"/>
      <c r="DE64" s="94"/>
      <c r="DF64" s="94"/>
      <c r="DG64" s="94"/>
      <c r="DH64" s="94"/>
      <c r="DI64" s="94"/>
      <c r="DJ64" s="94"/>
      <c r="DK64" s="94"/>
      <c r="DL64" s="94"/>
      <c r="DM64" s="94"/>
      <c r="DN64" s="94"/>
      <c r="DO64" s="94"/>
      <c r="DP64" s="94"/>
      <c r="DQ64" s="94"/>
      <c r="DR64" s="94"/>
      <c r="DS64" s="94"/>
      <c r="DT64" s="94"/>
      <c r="DU64" s="94"/>
      <c r="DV64" s="94"/>
      <c r="DW64" s="94"/>
      <c r="DX64" s="94"/>
      <c r="DY64" s="94"/>
      <c r="DZ64" s="94"/>
      <c r="EA64" s="94"/>
      <c r="EB64" s="94"/>
      <c r="EC64" s="94"/>
      <c r="ED64" s="94"/>
      <c r="EE64" s="94"/>
      <c r="EF64" s="94"/>
      <c r="EG64" s="94"/>
      <c r="EH64" s="94"/>
      <c r="EI64" s="94"/>
      <c r="EJ64" s="94"/>
      <c r="EK64" s="94"/>
      <c r="EL64" s="94"/>
      <c r="EM64" s="94"/>
      <c r="EN64" s="94"/>
      <c r="EO64" s="94"/>
      <c r="EP64" s="94"/>
      <c r="EQ64" s="94"/>
      <c r="ER64" s="94"/>
      <c r="ES64" s="94"/>
      <c r="ET64" s="94"/>
      <c r="EU64" s="94"/>
      <c r="EV64" s="94"/>
      <c r="EW64" s="94"/>
      <c r="EX64" s="94"/>
      <c r="EY64" s="94"/>
      <c r="EZ64" s="94"/>
      <c r="FA64" s="94"/>
      <c r="FB64" s="94"/>
      <c r="FC64" s="94"/>
      <c r="FD64" s="94"/>
      <c r="FE64" s="94"/>
      <c r="FF64" s="94"/>
      <c r="FG64" s="94"/>
      <c r="FH64" s="94"/>
      <c r="FI64" s="94"/>
      <c r="FJ64" s="94"/>
      <c r="FK64" s="94"/>
      <c r="FL64" s="94"/>
      <c r="FM64" s="94"/>
      <c r="FN64" s="94"/>
      <c r="FO64" s="94"/>
      <c r="FP64" s="94"/>
      <c r="FQ64" s="94"/>
      <c r="FR64" s="94"/>
      <c r="FS64" s="94"/>
      <c r="FT64" s="94"/>
      <c r="FU64" s="94"/>
      <c r="FV64" s="94"/>
      <c r="FW64" s="94"/>
      <c r="FX64" s="94"/>
      <c r="FY64" s="94"/>
      <c r="FZ64" s="94"/>
      <c r="GA64" s="94"/>
      <c r="GB64" s="94"/>
      <c r="GC64" s="94"/>
      <c r="GD64" s="94"/>
      <c r="GE64" s="94"/>
      <c r="GF64" s="94"/>
      <c r="GG64" s="94"/>
      <c r="GH64" s="94"/>
      <c r="GI64" s="94"/>
      <c r="GJ64" s="94"/>
      <c r="GK64" s="94"/>
      <c r="GL64" s="94"/>
      <c r="GM64" s="94"/>
      <c r="GN64" s="94"/>
      <c r="GO64" s="94"/>
      <c r="GP64" s="94"/>
      <c r="GQ64" s="94"/>
      <c r="GR64" s="94"/>
      <c r="GS64" s="94"/>
      <c r="GT64" s="94"/>
      <c r="GU64" s="94"/>
      <c r="GV64" s="94"/>
      <c r="GW64" s="94"/>
      <c r="GX64" s="94"/>
      <c r="GY64" s="94"/>
      <c r="GZ64" s="94"/>
      <c r="HA64" s="94"/>
      <c r="HB64" s="94"/>
      <c r="HC64" s="94"/>
      <c r="HD64" s="94"/>
      <c r="HE64" s="94"/>
      <c r="HF64" s="94"/>
      <c r="HG64" s="94"/>
      <c r="HH64" s="94"/>
      <c r="HI64" s="94"/>
      <c r="HJ64" s="94"/>
      <c r="HK64" s="94"/>
      <c r="HL64" s="94"/>
      <c r="HM64" s="94"/>
      <c r="HN64" s="94"/>
      <c r="HO64" s="94"/>
      <c r="HP64" s="94"/>
      <c r="HQ64" s="94"/>
      <c r="HR64" s="94"/>
      <c r="HS64" s="94"/>
      <c r="HT64" s="94"/>
      <c r="HU64" s="94"/>
      <c r="HV64" s="94"/>
      <c r="HW64" s="94"/>
      <c r="HX64" s="94"/>
      <c r="HY64" s="94"/>
      <c r="HZ64" s="94"/>
      <c r="IA64" s="94"/>
      <c r="IB64" s="94"/>
      <c r="IC64" s="94"/>
      <c r="ID64" s="94"/>
      <c r="IE64" s="94"/>
      <c r="IF64" s="94"/>
      <c r="IG64" s="94"/>
      <c r="IH64" s="94"/>
      <c r="II64" s="94"/>
      <c r="IJ64" s="94"/>
      <c r="IK64" s="94"/>
      <c r="IL64" s="94"/>
      <c r="IM64" s="94"/>
      <c r="IN64" s="94"/>
      <c r="IO64" s="94"/>
      <c r="IP64" s="94"/>
      <c r="IQ64" s="94"/>
      <c r="IR64" s="94"/>
      <c r="IS64" s="94"/>
      <c r="IT64" s="94"/>
      <c r="IU64" s="94"/>
      <c r="IV64" s="94"/>
      <c r="IW64" s="94"/>
      <c r="IX64" s="94"/>
      <c r="IY64" s="94"/>
      <c r="IZ64" s="94"/>
      <c r="JA64" s="94"/>
      <c r="JB64" s="94"/>
      <c r="JC64" s="94"/>
      <c r="JD64" s="94"/>
      <c r="JE64" s="94"/>
      <c r="JF64" s="94"/>
      <c r="JG64" s="94"/>
      <c r="JH64" s="94"/>
      <c r="JI64" s="94"/>
      <c r="JJ64" s="94"/>
      <c r="JK64" s="94"/>
      <c r="JL64" s="94"/>
      <c r="JM64" s="94"/>
      <c r="JN64" s="94"/>
      <c r="JO64" s="94"/>
      <c r="JP64" s="94"/>
      <c r="JQ64" s="94"/>
      <c r="JR64" s="94"/>
      <c r="JS64" s="94"/>
      <c r="JT64" s="94"/>
      <c r="JU64" s="94"/>
      <c r="JV64" s="94"/>
      <c r="JW64" s="94"/>
      <c r="JX64" s="94"/>
      <c r="JY64" s="94"/>
      <c r="JZ64" s="94"/>
      <c r="KA64" s="94"/>
      <c r="KB64" s="94"/>
      <c r="KC64" s="94"/>
      <c r="KD64" s="94"/>
      <c r="KE64" s="94"/>
      <c r="KF64" s="94"/>
      <c r="KG64" s="94"/>
      <c r="KH64" s="94"/>
      <c r="KI64" s="94"/>
      <c r="KJ64" s="94"/>
      <c r="KK64" s="94"/>
      <c r="KL64" s="94"/>
      <c r="KM64" s="94"/>
      <c r="KN64" s="94"/>
      <c r="KO64" s="94"/>
      <c r="KP64" s="94"/>
      <c r="KQ64" s="94"/>
      <c r="KR64" s="94"/>
      <c r="KS64" s="94"/>
      <c r="KT64" s="94"/>
      <c r="KU64" s="94"/>
      <c r="KV64" s="94"/>
      <c r="KW64" s="94"/>
      <c r="KX64" s="94"/>
      <c r="KY64" s="94"/>
      <c r="KZ64" s="94"/>
      <c r="LA64" s="94"/>
      <c r="LB64" s="94"/>
      <c r="LC64" s="94"/>
      <c r="LD64" s="94"/>
      <c r="LE64" s="94"/>
      <c r="LF64" s="94"/>
      <c r="LG64" s="94"/>
      <c r="LH64" s="94"/>
      <c r="LI64" s="94"/>
      <c r="LJ64" s="94"/>
      <c r="LK64" s="94"/>
      <c r="LL64" s="94"/>
      <c r="LM64" s="94"/>
      <c r="LN64" s="94"/>
      <c r="LO64" s="94"/>
      <c r="LP64" s="94"/>
      <c r="LQ64" s="94"/>
      <c r="LR64" s="94"/>
      <c r="LS64" s="94"/>
      <c r="LT64" s="94"/>
      <c r="LU64" s="94"/>
      <c r="LV64" s="94"/>
      <c r="LW64" s="94"/>
      <c r="LX64" s="94"/>
      <c r="LY64" s="94"/>
      <c r="LZ64" s="94"/>
      <c r="MA64" s="94"/>
      <c r="MB64" s="94"/>
      <c r="MC64" s="94"/>
      <c r="MD64" s="94"/>
      <c r="ME64" s="94"/>
      <c r="MF64" s="94"/>
      <c r="MG64" s="94"/>
      <c r="MH64" s="94"/>
      <c r="MI64" s="94"/>
      <c r="MJ64" s="94"/>
      <c r="MK64" s="94"/>
      <c r="ML64" s="94"/>
      <c r="MM64" s="94"/>
      <c r="MN64" s="94"/>
      <c r="MO64" s="94"/>
      <c r="MP64" s="94"/>
      <c r="MQ64" s="94"/>
      <c r="MR64" s="94"/>
      <c r="MS64" s="94"/>
      <c r="MT64" s="94"/>
      <c r="MU64" s="94"/>
      <c r="MV64" s="94"/>
      <c r="MW64" s="94"/>
      <c r="MX64" s="94"/>
      <c r="MY64" s="94"/>
      <c r="MZ64" s="94"/>
      <c r="NA64" s="94"/>
      <c r="NB64" s="94"/>
      <c r="NC64" s="94"/>
      <c r="ND64" s="94"/>
      <c r="NE64" s="94"/>
      <c r="NF64" s="94"/>
      <c r="NG64" s="94"/>
      <c r="NH64" s="94"/>
      <c r="NI64" s="94"/>
      <c r="NJ64" s="94"/>
      <c r="NK64" s="94"/>
      <c r="NL64" s="94"/>
      <c r="NM64" s="94"/>
      <c r="NN64" s="94"/>
      <c r="NO64" s="94"/>
      <c r="NP64" s="94"/>
      <c r="NQ64" s="94"/>
      <c r="NR64" s="94"/>
      <c r="NS64" s="94"/>
      <c r="NT64" s="94"/>
      <c r="NU64" s="94"/>
      <c r="NV64" s="94"/>
      <c r="NW64" s="94"/>
      <c r="NX64" s="94"/>
      <c r="NY64" s="94"/>
      <c r="NZ64" s="94"/>
      <c r="OA64" s="94"/>
      <c r="OB64" s="94"/>
      <c r="OC64" s="94"/>
      <c r="OD64" s="94"/>
      <c r="OE64" s="94"/>
      <c r="OF64" s="94"/>
      <c r="OG64" s="94"/>
      <c r="OH64" s="94"/>
      <c r="OI64" s="94"/>
      <c r="OJ64" s="94"/>
      <c r="OK64" s="94"/>
      <c r="OL64" s="94"/>
      <c r="OM64" s="94"/>
      <c r="ON64" s="94"/>
      <c r="OO64" s="94"/>
      <c r="OP64" s="94"/>
      <c r="OQ64" s="94"/>
      <c r="OR64" s="94"/>
      <c r="OS64" s="94"/>
      <c r="OT64" s="94"/>
      <c r="OU64" s="94"/>
      <c r="OV64" s="94"/>
      <c r="OW64" s="94"/>
      <c r="OX64" s="94"/>
      <c r="OY64" s="94"/>
      <c r="OZ64" s="94"/>
      <c r="PA64" s="94"/>
      <c r="PB64" s="94"/>
      <c r="PC64" s="94"/>
      <c r="PD64" s="94"/>
      <c r="PE64" s="94"/>
      <c r="PF64" s="94"/>
      <c r="PG64" s="94"/>
      <c r="PH64" s="94"/>
      <c r="PI64" s="94"/>
      <c r="PJ64" s="94"/>
      <c r="PK64" s="94"/>
      <c r="PL64" s="94"/>
      <c r="PM64" s="94"/>
      <c r="PN64" s="94"/>
      <c r="PO64" s="94"/>
      <c r="PP64" s="94"/>
      <c r="PQ64" s="94"/>
      <c r="PR64" s="94"/>
      <c r="PS64" s="94"/>
      <c r="PT64" s="94"/>
      <c r="PU64" s="94"/>
      <c r="PV64" s="94"/>
      <c r="PW64" s="94"/>
      <c r="PX64" s="94"/>
      <c r="PY64" s="94"/>
      <c r="PZ64" s="94"/>
      <c r="QA64" s="94"/>
      <c r="QB64" s="94"/>
      <c r="QC64" s="94"/>
      <c r="QD64" s="94"/>
      <c r="QE64" s="94"/>
      <c r="QF64" s="94"/>
      <c r="QG64" s="94"/>
      <c r="QH64" s="94"/>
      <c r="QI64" s="94"/>
      <c r="QJ64" s="94"/>
      <c r="QK64" s="94"/>
      <c r="QL64" s="94"/>
      <c r="QM64" s="94"/>
      <c r="QN64" s="94"/>
      <c r="QO64" s="94"/>
      <c r="QP64" s="94"/>
      <c r="QQ64" s="94"/>
      <c r="QR64" s="94"/>
      <c r="QS64" s="94"/>
      <c r="QT64" s="94"/>
      <c r="QU64" s="94"/>
      <c r="QV64" s="94"/>
      <c r="QW64" s="94"/>
      <c r="QX64" s="94"/>
      <c r="QY64" s="94"/>
      <c r="QZ64" s="94"/>
      <c r="RA64" s="94"/>
      <c r="RB64" s="94"/>
      <c r="RC64" s="94"/>
      <c r="RD64" s="94"/>
      <c r="RE64" s="94"/>
      <c r="RF64" s="94"/>
      <c r="RG64" s="94"/>
      <c r="RH64" s="94"/>
      <c r="RI64" s="94"/>
      <c r="RJ64" s="94"/>
      <c r="RK64" s="94"/>
      <c r="RL64" s="94"/>
      <c r="RM64" s="94"/>
      <c r="RN64" s="94"/>
      <c r="RO64" s="94"/>
      <c r="RP64" s="94"/>
      <c r="RQ64" s="94"/>
      <c r="RR64" s="94"/>
      <c r="RS64" s="94"/>
      <c r="RT64" s="94"/>
      <c r="RU64" s="94"/>
      <c r="RV64" s="94"/>
      <c r="RW64" s="94"/>
      <c r="RX64" s="94"/>
      <c r="RY64" s="94"/>
      <c r="RZ64" s="94"/>
      <c r="SA64" s="94"/>
      <c r="SB64" s="94"/>
      <c r="SC64" s="94"/>
      <c r="SD64" s="94"/>
      <c r="SE64" s="94"/>
      <c r="SF64" s="94"/>
      <c r="SG64" s="94"/>
      <c r="SH64" s="94"/>
      <c r="SI64" s="94"/>
      <c r="SJ64" s="94"/>
      <c r="SK64" s="94"/>
      <c r="SL64" s="94"/>
      <c r="SM64" s="94"/>
      <c r="SN64" s="94"/>
      <c r="SO64" s="94"/>
      <c r="SP64" s="94"/>
      <c r="SQ64" s="94"/>
      <c r="SR64" s="94"/>
      <c r="SS64" s="94"/>
      <c r="ST64" s="94"/>
      <c r="SU64" s="94"/>
      <c r="SV64" s="94"/>
      <c r="SW64" s="94"/>
      <c r="SX64" s="94"/>
      <c r="SY64" s="94"/>
      <c r="SZ64" s="94"/>
      <c r="TA64" s="94"/>
      <c r="TB64" s="94"/>
      <c r="TC64" s="94"/>
      <c r="TD64" s="94"/>
      <c r="TE64" s="94"/>
      <c r="TF64" s="94"/>
      <c r="TG64" s="94"/>
      <c r="TH64" s="94"/>
      <c r="TI64" s="94"/>
      <c r="TJ64" s="94"/>
      <c r="TK64" s="94"/>
      <c r="TL64" s="94"/>
      <c r="TM64" s="94"/>
      <c r="TN64" s="94"/>
      <c r="TO64" s="94"/>
      <c r="TP64" s="94"/>
      <c r="TQ64" s="94"/>
      <c r="TR64" s="94"/>
      <c r="TS64" s="94"/>
      <c r="TT64" s="94"/>
      <c r="TU64" s="94"/>
      <c r="TV64" s="94"/>
      <c r="TW64" s="94"/>
      <c r="TX64" s="94"/>
      <c r="TY64" s="94"/>
      <c r="TZ64" s="94"/>
      <c r="UA64" s="94"/>
      <c r="UB64" s="94"/>
      <c r="UC64" s="94"/>
      <c r="UD64" s="94"/>
      <c r="UE64" s="94"/>
      <c r="UF64" s="94"/>
      <c r="UG64" s="94"/>
      <c r="UH64" s="94"/>
      <c r="UI64" s="94"/>
      <c r="UJ64" s="94"/>
      <c r="UK64" s="94"/>
      <c r="UL64" s="94"/>
      <c r="UM64" s="94"/>
      <c r="UN64" s="94"/>
      <c r="UO64" s="94"/>
      <c r="UP64" s="94"/>
      <c r="UQ64" s="94"/>
      <c r="UR64" s="94"/>
      <c r="US64" s="94"/>
      <c r="UT64" s="94"/>
      <c r="UU64" s="94"/>
      <c r="UV64" s="94"/>
      <c r="UW64" s="94"/>
      <c r="UX64" s="94"/>
      <c r="UY64" s="94"/>
      <c r="UZ64" s="94"/>
      <c r="VA64" s="94"/>
      <c r="VB64" s="94"/>
      <c r="VC64" s="94"/>
      <c r="VD64" s="94"/>
      <c r="VE64" s="94"/>
      <c r="VF64" s="94"/>
      <c r="VG64" s="94"/>
      <c r="VH64" s="94"/>
      <c r="VI64" s="94"/>
      <c r="VJ64" s="94"/>
      <c r="VK64" s="94"/>
      <c r="VL64" s="94"/>
      <c r="VM64" s="94"/>
      <c r="VN64" s="94"/>
      <c r="VO64" s="94"/>
      <c r="VP64" s="94"/>
      <c r="VQ64" s="94"/>
      <c r="VR64" s="94"/>
      <c r="VS64" s="94"/>
      <c r="VT64" s="94"/>
      <c r="VU64" s="94"/>
      <c r="VV64" s="94"/>
      <c r="VW64" s="94"/>
      <c r="VX64" s="94"/>
      <c r="VY64" s="94"/>
      <c r="VZ64" s="94"/>
      <c r="WA64" s="94"/>
      <c r="WB64" s="94"/>
      <c r="WC64" s="94"/>
      <c r="WD64" s="94"/>
      <c r="WE64" s="94"/>
      <c r="WF64" s="94"/>
      <c r="WG64" s="94"/>
      <c r="WH64" s="94"/>
      <c r="WI64" s="94"/>
      <c r="WJ64" s="94"/>
      <c r="WK64" s="94"/>
      <c r="WL64" s="94"/>
      <c r="WM64" s="94"/>
      <c r="WN64" s="94"/>
      <c r="WO64" s="94"/>
      <c r="WP64" s="94"/>
      <c r="WQ64" s="94"/>
      <c r="WR64" s="94"/>
      <c r="WS64" s="94"/>
      <c r="WT64" s="94"/>
      <c r="WU64" s="94"/>
      <c r="WV64" s="94"/>
      <c r="WW64" s="94"/>
      <c r="WX64" s="94"/>
      <c r="WY64" s="94"/>
      <c r="WZ64" s="94"/>
      <c r="XA64" s="94"/>
      <c r="XB64" s="94"/>
      <c r="XC64" s="94"/>
      <c r="XD64" s="94"/>
      <c r="XE64" s="94"/>
      <c r="XF64" s="94"/>
      <c r="XG64" s="94"/>
      <c r="XH64" s="94"/>
      <c r="XI64" s="94"/>
      <c r="XJ64" s="94"/>
      <c r="XK64" s="94"/>
      <c r="XL64" s="94"/>
      <c r="XM64" s="94"/>
      <c r="XN64" s="94"/>
      <c r="XO64" s="94"/>
      <c r="XP64" s="94"/>
      <c r="XQ64" s="94"/>
      <c r="XR64" s="94"/>
      <c r="XS64" s="94"/>
      <c r="XT64" s="94"/>
      <c r="XU64" s="94"/>
      <c r="XV64" s="94"/>
      <c r="XW64" s="94"/>
      <c r="XX64" s="94"/>
      <c r="XY64" s="94"/>
      <c r="XZ64" s="94"/>
      <c r="YA64" s="94"/>
      <c r="YB64" s="94"/>
      <c r="YC64" s="94"/>
      <c r="YD64" s="94"/>
      <c r="YE64" s="94"/>
      <c r="YF64" s="94"/>
      <c r="YG64" s="94"/>
      <c r="YH64" s="94"/>
      <c r="YI64" s="94"/>
      <c r="YJ64" s="94"/>
      <c r="YK64" s="94"/>
      <c r="YL64" s="94"/>
      <c r="YM64" s="94"/>
      <c r="YN64" s="94"/>
      <c r="YO64" s="94"/>
      <c r="YP64" s="94"/>
      <c r="YQ64" s="94"/>
      <c r="YR64" s="94"/>
      <c r="YS64" s="94"/>
      <c r="YT64" s="94"/>
      <c r="YU64" s="94"/>
      <c r="YV64" s="94"/>
      <c r="YW64" s="94"/>
      <c r="YX64" s="94"/>
      <c r="YY64" s="94"/>
      <c r="YZ64" s="94"/>
      <c r="ZA64" s="94"/>
      <c r="ZB64" s="94"/>
      <c r="ZC64" s="94"/>
      <c r="ZD64" s="94"/>
      <c r="ZE64" s="94"/>
      <c r="ZF64" s="94"/>
      <c r="ZG64" s="94"/>
      <c r="ZH64" s="94"/>
      <c r="ZI64" s="94"/>
      <c r="ZJ64" s="94"/>
      <c r="ZK64" s="94"/>
      <c r="ZL64" s="94"/>
      <c r="ZM64" s="94"/>
      <c r="ZN64" s="94"/>
      <c r="ZO64" s="94"/>
      <c r="ZP64" s="94"/>
      <c r="ZQ64" s="94"/>
      <c r="ZR64" s="94"/>
      <c r="ZS64" s="94"/>
      <c r="ZT64" s="94"/>
      <c r="ZU64" s="94"/>
      <c r="ZV64" s="94"/>
      <c r="ZW64" s="94"/>
      <c r="ZX64" s="94"/>
      <c r="ZY64" s="94"/>
      <c r="ZZ64" s="94"/>
      <c r="AAA64" s="94"/>
      <c r="AAB64" s="94"/>
      <c r="AAC64" s="94"/>
      <c r="AAD64" s="94"/>
      <c r="AAE64" s="94"/>
      <c r="AAF64" s="94"/>
      <c r="AAG64" s="94"/>
      <c r="AAH64" s="94"/>
      <c r="AAI64" s="94"/>
      <c r="AAJ64" s="94"/>
      <c r="AAK64" s="94"/>
      <c r="AAL64" s="94"/>
      <c r="AAM64" s="94"/>
      <c r="AAN64" s="94"/>
      <c r="AAO64" s="94"/>
      <c r="AAP64" s="94"/>
      <c r="AAQ64" s="94"/>
      <c r="AAR64" s="94"/>
      <c r="AAS64" s="94"/>
      <c r="AAT64" s="94"/>
      <c r="AAU64" s="94"/>
      <c r="AAV64" s="94"/>
      <c r="AAW64" s="94"/>
      <c r="AAX64" s="94"/>
      <c r="AAY64" s="94"/>
      <c r="AAZ64" s="94"/>
      <c r="ABA64" s="94"/>
      <c r="ABB64" s="94"/>
      <c r="ABC64" s="94"/>
      <c r="ABD64" s="94"/>
      <c r="ABE64" s="94"/>
      <c r="ABF64" s="94"/>
      <c r="ABG64" s="94"/>
      <c r="ABH64" s="94"/>
      <c r="ABI64" s="94"/>
      <c r="ABJ64" s="94"/>
      <c r="ABK64" s="94"/>
      <c r="ABL64" s="94"/>
      <c r="ABM64" s="94"/>
      <c r="ABN64" s="94"/>
      <c r="ABO64" s="94"/>
      <c r="ABP64" s="94"/>
      <c r="ABQ64" s="94"/>
      <c r="ABR64" s="94"/>
      <c r="ABS64" s="94"/>
      <c r="ABT64" s="94"/>
      <c r="ABU64" s="94"/>
      <c r="ABV64" s="94"/>
      <c r="ABW64" s="94"/>
      <c r="ABX64" s="94"/>
      <c r="ABY64" s="94"/>
      <c r="ABZ64" s="94"/>
      <c r="ACA64" s="94"/>
      <c r="ACB64" s="94"/>
      <c r="ACC64" s="94"/>
      <c r="ACD64" s="94"/>
      <c r="ACE64" s="94"/>
      <c r="ACF64" s="94"/>
      <c r="ACG64" s="94"/>
      <c r="ACH64" s="94"/>
      <c r="ACI64" s="94"/>
      <c r="ACJ64" s="94"/>
      <c r="ACK64" s="94"/>
      <c r="ACL64" s="94"/>
      <c r="ACM64" s="94"/>
      <c r="ACN64" s="94"/>
      <c r="ACO64" s="94"/>
      <c r="ACP64" s="94"/>
      <c r="ACQ64" s="94"/>
      <c r="ACR64" s="94"/>
      <c r="ACS64" s="94"/>
      <c r="ACT64" s="94"/>
      <c r="ACU64" s="94"/>
      <c r="ACV64" s="94"/>
      <c r="ACW64" s="94"/>
      <c r="ACX64" s="94"/>
      <c r="ACY64" s="94"/>
      <c r="ACZ64" s="94"/>
      <c r="ADA64" s="94"/>
      <c r="ADB64" s="94"/>
      <c r="ADC64" s="94"/>
      <c r="ADD64" s="94"/>
      <c r="ADE64" s="94"/>
      <c r="ADF64" s="94"/>
      <c r="ADG64" s="94"/>
      <c r="ADH64" s="94"/>
      <c r="ADI64" s="94"/>
      <c r="ADJ64" s="94"/>
      <c r="ADK64" s="94"/>
      <c r="ADL64" s="94"/>
      <c r="ADM64" s="94"/>
      <c r="ADN64" s="94"/>
      <c r="ADO64" s="94"/>
      <c r="ADP64" s="94"/>
      <c r="ADQ64" s="94"/>
      <c r="ADR64" s="94"/>
      <c r="ADS64" s="94"/>
      <c r="ADT64" s="94"/>
      <c r="ADU64" s="94"/>
      <c r="ADV64" s="94"/>
      <c r="ADW64" s="94"/>
      <c r="ADX64" s="94"/>
      <c r="ADY64" s="94"/>
      <c r="ADZ64" s="94"/>
      <c r="AEA64" s="94"/>
      <c r="AEB64" s="94"/>
      <c r="AEC64" s="94"/>
      <c r="AED64" s="94"/>
      <c r="AEE64" s="94"/>
      <c r="AEF64" s="94"/>
      <c r="AEG64" s="94"/>
      <c r="AEH64" s="94"/>
      <c r="AEI64" s="94"/>
      <c r="AEJ64" s="94"/>
      <c r="AEK64" s="94"/>
      <c r="AEL64" s="94"/>
      <c r="AEM64" s="94"/>
      <c r="AEN64" s="94"/>
      <c r="AEO64" s="94"/>
      <c r="AEP64" s="94"/>
      <c r="AEQ64" s="94"/>
      <c r="AER64" s="94"/>
      <c r="AES64" s="94"/>
      <c r="AET64" s="94"/>
      <c r="AEU64" s="94"/>
      <c r="AEV64" s="94"/>
      <c r="AEW64" s="94"/>
      <c r="AEX64" s="94"/>
      <c r="AEY64" s="94"/>
      <c r="AEZ64" s="94"/>
      <c r="AFA64" s="94"/>
      <c r="AFB64" s="94"/>
      <c r="AFC64" s="94"/>
      <c r="AFD64" s="94"/>
      <c r="AFE64" s="94"/>
      <c r="AFF64" s="94"/>
      <c r="AFG64" s="94"/>
      <c r="AFH64" s="94"/>
      <c r="AFI64" s="94"/>
      <c r="AFJ64" s="94"/>
      <c r="AFK64" s="94"/>
      <c r="AFL64" s="94"/>
      <c r="AFM64" s="94"/>
      <c r="AFN64" s="94"/>
      <c r="AFO64" s="94"/>
      <c r="AFP64" s="94"/>
      <c r="AFQ64" s="94"/>
      <c r="AFR64" s="94"/>
      <c r="AFS64" s="94"/>
      <c r="AFT64" s="94"/>
      <c r="AFU64" s="94"/>
      <c r="AFV64" s="94"/>
      <c r="AFW64" s="94"/>
      <c r="AFX64" s="94"/>
      <c r="AFY64" s="94"/>
      <c r="AFZ64" s="94"/>
      <c r="AGA64" s="94"/>
      <c r="AGB64" s="94"/>
      <c r="AGC64" s="94"/>
      <c r="AGD64" s="94"/>
      <c r="AGE64" s="94"/>
      <c r="AGF64" s="94"/>
      <c r="AGG64" s="94"/>
      <c r="AGH64" s="94"/>
      <c r="AGI64" s="94"/>
      <c r="AGJ64" s="94"/>
      <c r="AGK64" s="94"/>
      <c r="AGL64" s="94"/>
      <c r="AGM64" s="94"/>
      <c r="AGN64" s="94"/>
      <c r="AGO64" s="94"/>
      <c r="AGP64" s="94"/>
      <c r="AGQ64" s="94"/>
      <c r="AGR64" s="94"/>
      <c r="AGS64" s="94"/>
      <c r="AGT64" s="94"/>
      <c r="AGU64" s="94"/>
      <c r="AGV64" s="94"/>
      <c r="AGW64" s="94"/>
      <c r="AGX64" s="94"/>
      <c r="AGY64" s="94"/>
      <c r="AGZ64" s="94"/>
      <c r="AHA64" s="94"/>
      <c r="AHB64" s="94"/>
      <c r="AHC64" s="94"/>
      <c r="AHD64" s="94"/>
      <c r="AHE64" s="94"/>
      <c r="AHF64" s="94"/>
      <c r="AHG64" s="94"/>
      <c r="AHH64" s="94"/>
      <c r="AHI64" s="94"/>
      <c r="AHJ64" s="94"/>
      <c r="AHK64" s="94"/>
      <c r="AHL64" s="94"/>
      <c r="AHM64" s="94"/>
      <c r="AHN64" s="94"/>
      <c r="AHO64" s="94"/>
      <c r="AHP64" s="94"/>
      <c r="AHQ64" s="94"/>
      <c r="AHR64" s="94"/>
      <c r="AHS64" s="94"/>
      <c r="AHT64" s="94"/>
      <c r="AHU64" s="94"/>
      <c r="AHV64" s="94"/>
      <c r="AHW64" s="94"/>
      <c r="AHX64" s="94"/>
      <c r="AHY64" s="94"/>
      <c r="AHZ64" s="94"/>
      <c r="AIA64" s="94"/>
      <c r="AIB64" s="94"/>
      <c r="AIC64" s="94"/>
      <c r="AID64" s="94"/>
      <c r="AIE64" s="94"/>
      <c r="AIF64" s="94"/>
      <c r="AIG64" s="94"/>
      <c r="AIH64" s="94"/>
      <c r="AII64" s="94"/>
      <c r="AIJ64" s="94"/>
      <c r="AIK64" s="94"/>
      <c r="AIL64" s="94"/>
      <c r="AIM64" s="94"/>
      <c r="AIN64" s="94"/>
      <c r="AIO64" s="94"/>
      <c r="AIP64" s="94"/>
      <c r="AIQ64" s="94"/>
      <c r="AIR64" s="94"/>
      <c r="AIS64" s="94"/>
      <c r="AIT64" s="94"/>
      <c r="AIU64" s="94"/>
      <c r="AIV64" s="94"/>
      <c r="AIW64" s="94"/>
      <c r="AIX64" s="94"/>
      <c r="AIY64" s="94"/>
      <c r="AIZ64" s="94"/>
      <c r="AJA64" s="94"/>
      <c r="AJB64" s="94"/>
      <c r="AJC64" s="94"/>
      <c r="AJD64" s="94"/>
      <c r="AJE64" s="94"/>
      <c r="AJF64" s="94"/>
      <c r="AJG64" s="94"/>
      <c r="AJH64" s="94"/>
      <c r="AJI64" s="94"/>
      <c r="AJJ64" s="94"/>
      <c r="AJK64" s="94"/>
      <c r="AJL64" s="94"/>
      <c r="AJM64" s="94"/>
      <c r="AJN64" s="94"/>
      <c r="AJO64" s="94"/>
      <c r="AJP64" s="94"/>
      <c r="AJQ64" s="94"/>
      <c r="AJR64" s="94"/>
      <c r="AJS64" s="94"/>
      <c r="AJT64" s="94"/>
      <c r="AJU64" s="94"/>
      <c r="AJV64" s="94"/>
      <c r="AJW64" s="94"/>
      <c r="AJX64" s="94"/>
      <c r="AJY64" s="94"/>
      <c r="AJZ64" s="94"/>
      <c r="AKA64" s="94"/>
      <c r="AKB64" s="94"/>
      <c r="AKC64" s="94"/>
      <c r="AKD64" s="94"/>
      <c r="AKE64" s="94"/>
      <c r="AKF64" s="94"/>
      <c r="AKG64" s="94"/>
      <c r="AKH64" s="94"/>
      <c r="AKI64" s="94"/>
      <c r="AKJ64" s="94"/>
      <c r="AKK64" s="94"/>
      <c r="AKL64" s="94"/>
      <c r="AKM64" s="94"/>
      <c r="AKN64" s="94"/>
      <c r="AKO64" s="94"/>
      <c r="AKP64" s="94"/>
      <c r="AKQ64" s="94"/>
      <c r="AKR64" s="94"/>
      <c r="AKS64" s="94"/>
      <c r="AKT64" s="94"/>
      <c r="AKU64" s="94"/>
      <c r="AKV64" s="94"/>
      <c r="AKW64" s="94"/>
      <c r="AKX64" s="94"/>
      <c r="AKY64" s="94"/>
      <c r="AKZ64" s="94"/>
      <c r="ALA64" s="94"/>
      <c r="ALB64" s="94"/>
      <c r="ALC64" s="94"/>
      <c r="ALD64" s="94"/>
      <c r="ALE64" s="94"/>
      <c r="ALF64" s="94"/>
      <c r="ALG64" s="94"/>
      <c r="ALH64" s="94"/>
      <c r="ALI64" s="94"/>
      <c r="ALJ64" s="94"/>
      <c r="ALK64" s="94"/>
      <c r="ALL64" s="94"/>
      <c r="ALM64" s="94"/>
      <c r="ALN64" s="94"/>
      <c r="ALO64" s="94"/>
      <c r="ALP64" s="94"/>
      <c r="ALQ64" s="94"/>
      <c r="ALR64" s="94"/>
      <c r="ALS64" s="94"/>
      <c r="ALT64" s="94"/>
      <c r="ALU64" s="94"/>
      <c r="ALV64" s="94"/>
      <c r="ALW64" s="94"/>
      <c r="ALX64" s="94"/>
      <c r="ALY64" s="94"/>
      <c r="ALZ64" s="94"/>
      <c r="AMA64" s="94"/>
      <c r="AMB64" s="94"/>
      <c r="AMC64" s="94"/>
      <c r="AMD64" s="94"/>
      <c r="AME64" s="94"/>
      <c r="AMF64" s="94"/>
      <c r="AMG64" s="94"/>
      <c r="AMH64" s="94"/>
      <c r="AMI64" s="94"/>
      <c r="AMJ64" s="94"/>
      <c r="AMK64" s="94"/>
      <c r="AML64" s="94"/>
      <c r="AMM64" s="94"/>
      <c r="AMN64" s="94"/>
      <c r="AMO64" s="94"/>
      <c r="AMP64" s="94"/>
      <c r="AMQ64" s="94"/>
      <c r="AMR64" s="94"/>
      <c r="AMS64" s="94"/>
      <c r="AMT64" s="94"/>
      <c r="AMU64" s="94"/>
      <c r="AMV64" s="94"/>
      <c r="AMW64" s="94"/>
      <c r="AMX64" s="94"/>
      <c r="AMY64" s="94"/>
      <c r="AMZ64" s="94"/>
      <c r="ANA64" s="94"/>
      <c r="ANB64" s="94"/>
      <c r="ANC64" s="94"/>
      <c r="AND64" s="94"/>
      <c r="ANE64" s="94"/>
      <c r="ANF64" s="94"/>
      <c r="ANG64" s="94"/>
      <c r="ANH64" s="94"/>
      <c r="ANI64" s="94"/>
      <c r="ANJ64" s="94"/>
      <c r="ANK64" s="94"/>
      <c r="ANL64" s="94"/>
      <c r="ANM64" s="94"/>
      <c r="ANN64" s="94"/>
      <c r="ANO64" s="94"/>
      <c r="ANP64" s="94"/>
      <c r="ANQ64" s="94"/>
      <c r="ANR64" s="94"/>
      <c r="ANS64" s="94"/>
      <c r="ANT64" s="94"/>
      <c r="ANU64" s="94"/>
      <c r="ANV64" s="94"/>
      <c r="ANW64" s="94"/>
      <c r="ANX64" s="94"/>
      <c r="ANY64" s="94"/>
      <c r="ANZ64" s="94"/>
      <c r="AOA64" s="94"/>
      <c r="AOB64" s="94"/>
      <c r="AOC64" s="94"/>
      <c r="AOD64" s="94"/>
      <c r="AOE64" s="94"/>
      <c r="AOF64" s="94"/>
      <c r="AOG64" s="94"/>
      <c r="AOH64" s="94"/>
      <c r="AOI64" s="94"/>
      <c r="AOJ64" s="94"/>
      <c r="AOK64" s="94"/>
      <c r="AOL64" s="94"/>
      <c r="AOM64" s="94"/>
      <c r="AON64" s="94"/>
      <c r="AOO64" s="94"/>
      <c r="AOP64" s="94"/>
      <c r="AOQ64" s="94"/>
      <c r="AOR64" s="94"/>
      <c r="AOS64" s="94"/>
      <c r="AOT64" s="94"/>
      <c r="AOU64" s="94"/>
      <c r="AOV64" s="94"/>
      <c r="AOW64" s="94"/>
      <c r="AOX64" s="94"/>
      <c r="AOY64" s="94"/>
      <c r="AOZ64" s="94"/>
      <c r="APA64" s="94"/>
      <c r="APB64" s="94"/>
      <c r="APC64" s="94"/>
      <c r="APD64" s="94"/>
      <c r="APE64" s="94"/>
      <c r="APF64" s="94"/>
      <c r="APG64" s="94"/>
      <c r="APH64" s="94"/>
      <c r="API64" s="94"/>
      <c r="APJ64" s="94"/>
      <c r="APK64" s="94"/>
      <c r="APL64" s="94"/>
      <c r="APM64" s="94"/>
      <c r="APN64" s="94"/>
      <c r="APO64" s="94"/>
      <c r="APP64" s="94"/>
      <c r="APQ64" s="94"/>
      <c r="APR64" s="94"/>
      <c r="APS64" s="94"/>
      <c r="APT64" s="94"/>
      <c r="APU64" s="94"/>
      <c r="APV64" s="94"/>
      <c r="APW64" s="94"/>
      <c r="APX64" s="94"/>
      <c r="APY64" s="94"/>
      <c r="APZ64" s="94"/>
      <c r="AQA64" s="94"/>
      <c r="AQB64" s="94"/>
      <c r="AQC64" s="94"/>
      <c r="AQD64" s="94"/>
      <c r="AQE64" s="94"/>
      <c r="AQF64" s="94"/>
      <c r="AQG64" s="94"/>
      <c r="AQH64" s="94"/>
      <c r="AQI64" s="94"/>
      <c r="AQJ64" s="94"/>
      <c r="AQK64" s="94"/>
      <c r="AQL64" s="94"/>
      <c r="AQM64" s="94"/>
      <c r="AQN64" s="94"/>
      <c r="AQO64" s="94"/>
      <c r="AQP64" s="94"/>
      <c r="AQQ64" s="94"/>
      <c r="AQR64" s="94"/>
      <c r="AQS64" s="94"/>
      <c r="AQT64" s="94"/>
      <c r="AQU64" s="94"/>
      <c r="AQV64" s="94"/>
      <c r="AQW64" s="94"/>
      <c r="AQX64" s="94"/>
      <c r="AQY64" s="94"/>
      <c r="AQZ64" s="94"/>
      <c r="ARA64" s="94"/>
      <c r="ARB64" s="94"/>
      <c r="ARC64" s="94"/>
      <c r="ARD64" s="94"/>
      <c r="ARE64" s="94"/>
      <c r="ARF64" s="94"/>
      <c r="ARG64" s="94"/>
      <c r="ARH64" s="94"/>
      <c r="ARI64" s="94"/>
      <c r="ARJ64" s="94"/>
      <c r="ARK64" s="94"/>
      <c r="ARL64" s="94"/>
      <c r="ARM64" s="94"/>
      <c r="ARN64" s="94"/>
      <c r="ARO64" s="94"/>
      <c r="ARP64" s="94"/>
      <c r="ARQ64" s="94"/>
      <c r="ARR64" s="94"/>
      <c r="ARS64" s="94"/>
      <c r="ART64" s="94"/>
      <c r="ARU64" s="94"/>
      <c r="ARV64" s="94"/>
      <c r="ARW64" s="94"/>
      <c r="ARX64" s="94"/>
      <c r="ARY64" s="94"/>
      <c r="ARZ64" s="94"/>
      <c r="ASA64" s="94"/>
      <c r="ASB64" s="94"/>
      <c r="ASC64" s="94"/>
      <c r="ASD64" s="94"/>
      <c r="ASE64" s="94"/>
      <c r="ASF64" s="94"/>
      <c r="ASG64" s="94"/>
      <c r="ASH64" s="94"/>
      <c r="ASI64" s="94"/>
      <c r="ASJ64" s="94"/>
      <c r="ASK64" s="94"/>
      <c r="ASL64" s="94"/>
      <c r="ASM64" s="94"/>
      <c r="ASN64" s="94"/>
      <c r="ASO64" s="94"/>
      <c r="ASP64" s="94"/>
      <c r="ASQ64" s="94"/>
      <c r="ASR64" s="94"/>
      <c r="ASS64" s="94"/>
      <c r="AST64" s="94"/>
      <c r="ASU64" s="94"/>
      <c r="ASV64" s="94"/>
      <c r="ASW64" s="94"/>
      <c r="ASX64" s="94"/>
      <c r="ASY64" s="94"/>
      <c r="ASZ64" s="94"/>
      <c r="ATA64" s="94"/>
      <c r="ATB64" s="94"/>
      <c r="ATC64" s="94"/>
      <c r="ATD64" s="94"/>
      <c r="ATE64" s="94"/>
      <c r="ATF64" s="94"/>
      <c r="ATG64" s="94"/>
      <c r="ATH64" s="94"/>
      <c r="ATI64" s="94"/>
      <c r="ATJ64" s="94"/>
      <c r="ATK64" s="94"/>
      <c r="ATL64" s="94"/>
      <c r="ATM64" s="94"/>
      <c r="ATN64" s="94"/>
      <c r="ATO64" s="94"/>
      <c r="ATP64" s="94"/>
      <c r="ATQ64" s="94"/>
      <c r="ATR64" s="94"/>
      <c r="ATS64" s="94"/>
      <c r="ATT64" s="94"/>
      <c r="ATU64" s="94"/>
      <c r="ATV64" s="94"/>
      <c r="ATW64" s="94"/>
      <c r="ATX64" s="94"/>
      <c r="ATY64" s="94"/>
      <c r="ATZ64" s="94"/>
      <c r="AUA64" s="94"/>
      <c r="AUB64" s="94"/>
      <c r="AUC64" s="94"/>
      <c r="AUD64" s="94"/>
      <c r="AUE64" s="94"/>
      <c r="AUF64" s="94"/>
      <c r="AUG64" s="94"/>
      <c r="AUH64" s="94"/>
      <c r="AUI64" s="94"/>
      <c r="AUJ64" s="94"/>
      <c r="AUK64" s="94"/>
      <c r="AUL64" s="94"/>
      <c r="AUM64" s="94"/>
      <c r="AUN64" s="94"/>
      <c r="AUO64" s="94"/>
      <c r="AUP64" s="94"/>
      <c r="AUQ64" s="94"/>
      <c r="AUR64" s="94"/>
      <c r="AUS64" s="94"/>
      <c r="AUT64" s="94"/>
      <c r="AUU64" s="94"/>
      <c r="AUV64" s="94"/>
      <c r="AUW64" s="94"/>
      <c r="AUX64" s="94"/>
      <c r="AUY64" s="94"/>
      <c r="AUZ64" s="94"/>
      <c r="AVA64" s="94"/>
      <c r="AVB64" s="94"/>
      <c r="AVC64" s="94"/>
      <c r="AVD64" s="94"/>
      <c r="AVE64" s="94"/>
      <c r="AVF64" s="94"/>
      <c r="AVG64" s="94"/>
      <c r="AVH64" s="94"/>
      <c r="AVI64" s="94"/>
      <c r="AVJ64" s="94"/>
      <c r="AVK64" s="94"/>
      <c r="AVL64" s="94"/>
      <c r="AVM64" s="94"/>
      <c r="AVN64" s="94"/>
      <c r="AVO64" s="94"/>
      <c r="AVP64" s="94"/>
      <c r="AVQ64" s="94"/>
      <c r="AVR64" s="94"/>
      <c r="AVS64" s="94"/>
      <c r="AVT64" s="94"/>
      <c r="AVU64" s="94"/>
      <c r="AVV64" s="94"/>
      <c r="AVW64" s="94"/>
      <c r="AVX64" s="94"/>
      <c r="AVY64" s="94"/>
      <c r="AVZ64" s="94"/>
      <c r="AWA64" s="94"/>
      <c r="AWB64" s="94"/>
      <c r="AWC64" s="94"/>
      <c r="AWD64" s="94"/>
      <c r="AWE64" s="94"/>
      <c r="AWF64" s="94"/>
      <c r="AWG64" s="94"/>
      <c r="AWH64" s="94"/>
      <c r="AWI64" s="94"/>
      <c r="AWJ64" s="94"/>
      <c r="AWK64" s="94"/>
      <c r="AWL64" s="94"/>
      <c r="AWM64" s="94"/>
      <c r="AWN64" s="94"/>
      <c r="AWO64" s="94"/>
      <c r="AWP64" s="94"/>
      <c r="AWQ64" s="94"/>
      <c r="AWR64" s="94"/>
      <c r="AWS64" s="94"/>
      <c r="AWT64" s="94"/>
      <c r="AWU64" s="94"/>
      <c r="AWV64" s="94"/>
      <c r="AWW64" s="94"/>
      <c r="AWX64" s="94"/>
      <c r="AWY64" s="94"/>
      <c r="AWZ64" s="94"/>
      <c r="AXA64" s="94"/>
      <c r="AXB64" s="94"/>
      <c r="AXC64" s="94"/>
      <c r="AXD64" s="94"/>
      <c r="AXE64" s="94"/>
      <c r="AXF64" s="94"/>
      <c r="AXG64" s="94"/>
      <c r="AXH64" s="94"/>
      <c r="AXI64" s="94"/>
      <c r="AXJ64" s="94"/>
      <c r="AXK64" s="94"/>
      <c r="AXL64" s="94"/>
      <c r="AXM64" s="94"/>
      <c r="AXN64" s="94"/>
      <c r="AXO64" s="94"/>
      <c r="AXP64" s="94"/>
      <c r="AXQ64" s="94"/>
      <c r="AXR64" s="94"/>
      <c r="AXS64" s="94"/>
      <c r="AXT64" s="94"/>
      <c r="AXU64" s="94"/>
      <c r="AXV64" s="94"/>
      <c r="AXW64" s="94"/>
      <c r="AXX64" s="94"/>
      <c r="AXY64" s="94"/>
      <c r="AXZ64" s="94"/>
      <c r="AYA64" s="94"/>
      <c r="AYB64" s="94"/>
      <c r="AYC64" s="94"/>
      <c r="AYD64" s="94"/>
      <c r="AYE64" s="94"/>
      <c r="AYF64" s="94"/>
      <c r="AYG64" s="94"/>
      <c r="AYH64" s="94"/>
      <c r="AYI64" s="94"/>
      <c r="AYJ64" s="94"/>
      <c r="AYK64" s="94"/>
      <c r="AYL64" s="94"/>
      <c r="AYM64" s="94"/>
      <c r="AYN64" s="94"/>
      <c r="AYO64" s="94"/>
      <c r="AYP64" s="94"/>
      <c r="AYQ64" s="94"/>
      <c r="AYR64" s="94"/>
      <c r="AYS64" s="94"/>
      <c r="AYT64" s="94"/>
      <c r="AYU64" s="94"/>
      <c r="AYV64" s="94"/>
      <c r="AYW64" s="94"/>
      <c r="AYX64" s="94"/>
      <c r="AYY64" s="94"/>
      <c r="AYZ64" s="94"/>
      <c r="AZA64" s="94"/>
      <c r="AZB64" s="94"/>
      <c r="AZC64" s="94"/>
      <c r="AZD64" s="94"/>
      <c r="AZE64" s="94"/>
      <c r="AZF64" s="94"/>
      <c r="AZG64" s="94"/>
      <c r="AZH64" s="94"/>
      <c r="AZI64" s="94"/>
      <c r="AZJ64" s="94"/>
      <c r="AZK64" s="94"/>
      <c r="AZL64" s="94"/>
      <c r="AZM64" s="94"/>
      <c r="AZN64" s="94"/>
      <c r="AZO64" s="94"/>
      <c r="AZP64" s="94"/>
      <c r="AZQ64" s="94"/>
      <c r="AZR64" s="94"/>
      <c r="AZS64" s="94"/>
      <c r="AZT64" s="94"/>
      <c r="AZU64" s="94"/>
      <c r="AZV64" s="94"/>
      <c r="AZW64" s="94"/>
      <c r="AZX64" s="94"/>
      <c r="AZY64" s="94"/>
      <c r="AZZ64" s="94"/>
      <c r="BAA64" s="94"/>
      <c r="BAB64" s="94"/>
      <c r="BAC64" s="94"/>
      <c r="BAD64" s="94"/>
      <c r="BAE64" s="94"/>
      <c r="BAF64" s="94"/>
      <c r="BAG64" s="94"/>
      <c r="BAH64" s="94"/>
      <c r="BAI64" s="94"/>
      <c r="BAJ64" s="94"/>
      <c r="BAK64" s="94"/>
      <c r="BAL64" s="94"/>
      <c r="BAM64" s="94"/>
      <c r="BAN64" s="94"/>
      <c r="BAO64" s="94"/>
      <c r="BAP64" s="94"/>
      <c r="BAQ64" s="94"/>
      <c r="BAR64" s="94"/>
      <c r="BAS64" s="94"/>
      <c r="BAT64" s="94"/>
      <c r="BAU64" s="94"/>
      <c r="BAV64" s="94"/>
      <c r="BAW64" s="94"/>
      <c r="BAX64" s="94"/>
      <c r="BAY64" s="94"/>
      <c r="BAZ64" s="94"/>
      <c r="BBA64" s="94"/>
      <c r="BBB64" s="94"/>
      <c r="BBC64" s="94"/>
      <c r="BBD64" s="94"/>
      <c r="BBE64" s="94"/>
      <c r="BBF64" s="94"/>
      <c r="BBG64" s="94"/>
      <c r="BBH64" s="94"/>
      <c r="BBI64" s="94"/>
      <c r="BBJ64" s="94"/>
      <c r="BBK64" s="94"/>
      <c r="BBL64" s="94"/>
      <c r="BBM64" s="94"/>
      <c r="BBN64" s="94"/>
      <c r="BBO64" s="94"/>
      <c r="BBP64" s="94"/>
      <c r="BBQ64" s="94"/>
      <c r="BBR64" s="94"/>
      <c r="BBS64" s="94"/>
      <c r="BBT64" s="94"/>
      <c r="BBU64" s="94"/>
      <c r="BBV64" s="94"/>
      <c r="BBW64" s="94"/>
      <c r="BBX64" s="94"/>
      <c r="BBY64" s="94"/>
      <c r="BBZ64" s="94"/>
      <c r="BCA64" s="94"/>
      <c r="BCB64" s="94"/>
      <c r="BCC64" s="94"/>
      <c r="BCD64" s="94"/>
      <c r="BCE64" s="94"/>
      <c r="BCF64" s="94"/>
      <c r="BCG64" s="94"/>
      <c r="BCH64" s="94"/>
      <c r="BCI64" s="94"/>
      <c r="BCJ64" s="94"/>
      <c r="BCK64" s="94"/>
      <c r="BCL64" s="94"/>
      <c r="BCM64" s="94"/>
      <c r="BCN64" s="94"/>
      <c r="BCO64" s="94"/>
      <c r="BCP64" s="94"/>
      <c r="BCQ64" s="94"/>
      <c r="BCR64" s="94"/>
      <c r="BCS64" s="94"/>
      <c r="BCT64" s="94"/>
      <c r="BCU64" s="94"/>
      <c r="BCV64" s="94"/>
      <c r="BCW64" s="94"/>
      <c r="BCX64" s="94"/>
      <c r="BCY64" s="94"/>
      <c r="BCZ64" s="94"/>
      <c r="BDA64" s="94"/>
      <c r="BDB64" s="94"/>
      <c r="BDC64" s="94"/>
      <c r="BDD64" s="94"/>
      <c r="BDE64" s="94"/>
      <c r="BDF64" s="94"/>
      <c r="BDG64" s="94"/>
      <c r="BDH64" s="94"/>
      <c r="BDI64" s="94"/>
      <c r="BDJ64" s="94"/>
      <c r="BDK64" s="94"/>
      <c r="BDL64" s="94"/>
      <c r="BDM64" s="94"/>
      <c r="BDN64" s="94"/>
      <c r="BDO64" s="94"/>
      <c r="BDP64" s="94"/>
      <c r="BDQ64" s="94"/>
      <c r="BDR64" s="94"/>
      <c r="BDS64" s="94"/>
      <c r="BDT64" s="94"/>
      <c r="BDU64" s="94"/>
      <c r="BDV64" s="94"/>
      <c r="BDW64" s="94"/>
      <c r="BDX64" s="94"/>
      <c r="BDY64" s="94"/>
      <c r="BDZ64" s="94"/>
      <c r="BEA64" s="94"/>
      <c r="BEB64" s="94"/>
      <c r="BEC64" s="94"/>
      <c r="BED64" s="94"/>
      <c r="BEE64" s="94"/>
      <c r="BEF64" s="94"/>
      <c r="BEG64" s="94"/>
      <c r="BEH64" s="94"/>
      <c r="BEI64" s="94"/>
      <c r="BEJ64" s="94"/>
      <c r="BEK64" s="94"/>
      <c r="BEL64" s="94"/>
      <c r="BEM64" s="94"/>
      <c r="BEN64" s="94"/>
      <c r="BEO64" s="94"/>
      <c r="BEP64" s="94"/>
      <c r="BEQ64" s="94"/>
      <c r="BER64" s="94"/>
      <c r="BES64" s="94"/>
      <c r="BET64" s="94"/>
      <c r="BEU64" s="94"/>
      <c r="BEV64" s="94"/>
      <c r="BEW64" s="94"/>
      <c r="BEX64" s="94"/>
      <c r="BEY64" s="94"/>
      <c r="BEZ64" s="94"/>
      <c r="BFA64" s="94"/>
      <c r="BFB64" s="94"/>
      <c r="BFC64" s="94"/>
      <c r="BFD64" s="94"/>
      <c r="BFE64" s="94"/>
      <c r="BFF64" s="94"/>
      <c r="BFG64" s="94"/>
      <c r="BFH64" s="94"/>
      <c r="BFI64" s="94"/>
      <c r="BFJ64" s="94"/>
      <c r="BFK64" s="94"/>
      <c r="BFL64" s="94"/>
      <c r="BFM64" s="94"/>
      <c r="BFN64" s="94"/>
      <c r="BFO64" s="94"/>
      <c r="BFP64" s="94"/>
      <c r="BFQ64" s="94"/>
      <c r="BFR64" s="94"/>
      <c r="BFS64" s="94"/>
      <c r="BFT64" s="94"/>
      <c r="BFU64" s="94"/>
      <c r="BFV64" s="94"/>
      <c r="BFW64" s="94"/>
      <c r="BFX64" s="94"/>
      <c r="BFY64" s="94"/>
      <c r="BFZ64" s="94"/>
      <c r="BGA64" s="94"/>
      <c r="BGB64" s="94"/>
      <c r="BGC64" s="94"/>
      <c r="BGD64" s="94"/>
      <c r="BGE64" s="94"/>
      <c r="BGF64" s="94"/>
      <c r="BGG64" s="94"/>
      <c r="BGH64" s="94"/>
      <c r="BGI64" s="94"/>
      <c r="BGJ64" s="94"/>
      <c r="BGK64" s="94"/>
      <c r="BGL64" s="94"/>
      <c r="BGM64" s="94"/>
      <c r="BGN64" s="94"/>
      <c r="BGO64" s="94"/>
      <c r="BGP64" s="94"/>
      <c r="BGQ64" s="94"/>
      <c r="BGR64" s="94"/>
      <c r="BGS64" s="94"/>
      <c r="BGT64" s="94"/>
      <c r="BGU64" s="94"/>
      <c r="BGV64" s="94"/>
      <c r="BGW64" s="94"/>
      <c r="BGX64" s="94"/>
      <c r="BGY64" s="94"/>
      <c r="BGZ64" s="94"/>
      <c r="BHA64" s="94"/>
      <c r="BHB64" s="94"/>
      <c r="BHC64" s="94"/>
      <c r="BHD64" s="94"/>
      <c r="BHE64" s="94"/>
      <c r="BHF64" s="94"/>
      <c r="BHG64" s="94"/>
      <c r="BHH64" s="94"/>
      <c r="BHI64" s="94"/>
      <c r="BHJ64" s="94"/>
      <c r="BHK64" s="94"/>
      <c r="BHL64" s="94"/>
      <c r="BHM64" s="94"/>
      <c r="BHN64" s="94"/>
      <c r="BHO64" s="94"/>
      <c r="BHP64" s="94"/>
      <c r="BHQ64" s="94"/>
      <c r="BHR64" s="94"/>
      <c r="BHS64" s="94"/>
      <c r="BHT64" s="94"/>
      <c r="BHU64" s="94"/>
      <c r="BHV64" s="94"/>
      <c r="BHW64" s="94"/>
      <c r="BHX64" s="94"/>
      <c r="BHY64" s="94"/>
      <c r="BHZ64" s="94"/>
      <c r="BIA64" s="94"/>
      <c r="BIB64" s="94"/>
      <c r="BIC64" s="94"/>
      <c r="BID64" s="94"/>
      <c r="BIE64" s="94"/>
      <c r="BIF64" s="94"/>
      <c r="BIG64" s="94"/>
      <c r="BIH64" s="94"/>
      <c r="BII64" s="94"/>
      <c r="BIJ64" s="94"/>
      <c r="BIK64" s="94"/>
      <c r="BIL64" s="94"/>
      <c r="BIM64" s="94"/>
      <c r="BIN64" s="94"/>
      <c r="BIO64" s="94"/>
      <c r="BIP64" s="94"/>
      <c r="BIQ64" s="94"/>
      <c r="BIR64" s="94"/>
      <c r="BIS64" s="94"/>
      <c r="BIT64" s="94"/>
      <c r="BIU64" s="94"/>
      <c r="BIV64" s="94"/>
      <c r="BIW64" s="94"/>
      <c r="BIX64" s="94"/>
      <c r="BIY64" s="94"/>
      <c r="BIZ64" s="94"/>
      <c r="BJA64" s="94"/>
      <c r="BJB64" s="94"/>
      <c r="BJC64" s="94"/>
      <c r="BJD64" s="94"/>
      <c r="BJE64" s="94"/>
      <c r="BJF64" s="94"/>
      <c r="BJG64" s="94"/>
      <c r="BJH64" s="94"/>
      <c r="BJI64" s="94"/>
      <c r="BJJ64" s="94"/>
      <c r="BJK64" s="94"/>
      <c r="BJL64" s="94"/>
      <c r="BJM64" s="94"/>
      <c r="BJN64" s="94"/>
      <c r="BJO64" s="94"/>
      <c r="BJP64" s="94"/>
      <c r="BJQ64" s="94"/>
      <c r="BJR64" s="94"/>
      <c r="BJS64" s="94"/>
      <c r="BJT64" s="94"/>
      <c r="BJU64" s="94"/>
      <c r="BJV64" s="94"/>
      <c r="BJW64" s="94"/>
      <c r="BJX64" s="94"/>
      <c r="BJY64" s="94"/>
      <c r="BJZ64" s="94"/>
      <c r="BKA64" s="94"/>
      <c r="BKB64" s="94"/>
      <c r="BKC64" s="94"/>
      <c r="BKD64" s="94"/>
      <c r="BKE64" s="94"/>
      <c r="BKF64" s="94"/>
      <c r="BKG64" s="94"/>
      <c r="BKH64" s="94"/>
      <c r="BKI64" s="94"/>
      <c r="BKJ64" s="94"/>
      <c r="BKK64" s="94"/>
      <c r="BKL64" s="94"/>
      <c r="BKM64" s="94"/>
      <c r="BKN64" s="94"/>
      <c r="BKO64" s="94"/>
      <c r="BKP64" s="94"/>
      <c r="BKQ64" s="94"/>
      <c r="BKR64" s="94"/>
      <c r="BKS64" s="94"/>
      <c r="BKT64" s="94"/>
      <c r="BKU64" s="94"/>
      <c r="BKV64" s="94"/>
      <c r="BKW64" s="94"/>
      <c r="BKX64" s="94"/>
      <c r="BKY64" s="94"/>
      <c r="BKZ64" s="94"/>
      <c r="BLA64" s="94"/>
      <c r="BLB64" s="94"/>
      <c r="BLC64" s="94"/>
      <c r="BLD64" s="94"/>
      <c r="BLE64" s="94"/>
      <c r="BLF64" s="94"/>
      <c r="BLG64" s="94"/>
      <c r="BLH64" s="94"/>
      <c r="BLI64" s="94"/>
      <c r="BLJ64" s="94"/>
      <c r="BLK64" s="94"/>
      <c r="BLL64" s="94"/>
      <c r="BLM64" s="94"/>
      <c r="BLN64" s="94"/>
      <c r="BLO64" s="94"/>
      <c r="BLP64" s="94"/>
      <c r="BLQ64" s="94"/>
      <c r="BLR64" s="94"/>
      <c r="BLS64" s="94"/>
      <c r="BLT64" s="94"/>
      <c r="BLU64" s="94"/>
      <c r="BLV64" s="94"/>
      <c r="BLW64" s="94"/>
      <c r="BLX64" s="94"/>
      <c r="BLY64" s="94"/>
      <c r="BLZ64" s="94"/>
      <c r="BMA64" s="94"/>
      <c r="BMB64" s="94"/>
      <c r="BMC64" s="94"/>
      <c r="BMD64" s="94"/>
      <c r="BME64" s="94"/>
      <c r="BMF64" s="94"/>
      <c r="BMG64" s="94"/>
      <c r="BMH64" s="94"/>
      <c r="BMI64" s="94"/>
      <c r="BMJ64" s="94"/>
      <c r="BMK64" s="94"/>
      <c r="BML64" s="94"/>
      <c r="BMM64" s="94"/>
      <c r="BMN64" s="94"/>
      <c r="BMO64" s="94"/>
      <c r="BMP64" s="94"/>
      <c r="BMQ64" s="94"/>
      <c r="BMR64" s="94"/>
      <c r="BMS64" s="94"/>
      <c r="BMT64" s="94"/>
      <c r="BMU64" s="94"/>
      <c r="BMV64" s="94"/>
      <c r="BMW64" s="94"/>
      <c r="BMX64" s="94"/>
      <c r="BMY64" s="94"/>
      <c r="BMZ64" s="94"/>
      <c r="BNA64" s="94"/>
      <c r="BNB64" s="94"/>
      <c r="BNC64" s="94"/>
      <c r="BND64" s="94"/>
      <c r="BNE64" s="94"/>
      <c r="BNF64" s="94"/>
      <c r="BNG64" s="94"/>
      <c r="BNH64" s="94"/>
      <c r="BNI64" s="94"/>
      <c r="BNJ64" s="94"/>
      <c r="BNK64" s="94"/>
      <c r="BNL64" s="94"/>
      <c r="BNM64" s="94"/>
      <c r="BNN64" s="94"/>
      <c r="BNO64" s="94"/>
      <c r="BNP64" s="94"/>
      <c r="BNQ64" s="94"/>
      <c r="BNR64" s="94"/>
      <c r="BNS64" s="94"/>
      <c r="BNT64" s="94"/>
      <c r="BNU64" s="94"/>
      <c r="BNV64" s="94"/>
      <c r="BNW64" s="94"/>
      <c r="BNX64" s="94"/>
      <c r="BNY64" s="94"/>
      <c r="BNZ64" s="94"/>
      <c r="BOA64" s="94"/>
      <c r="BOB64" s="94"/>
      <c r="BOC64" s="94"/>
      <c r="BOD64" s="94"/>
      <c r="BOE64" s="94"/>
      <c r="BOF64" s="94"/>
      <c r="BOG64" s="94"/>
      <c r="BOH64" s="94"/>
      <c r="BOI64" s="94"/>
      <c r="BOJ64" s="94"/>
      <c r="BOK64" s="94"/>
      <c r="BOL64" s="94"/>
      <c r="BOM64" s="94"/>
      <c r="BON64" s="94"/>
      <c r="BOO64" s="94"/>
      <c r="BOP64" s="94"/>
      <c r="BOQ64" s="94"/>
      <c r="BOR64" s="94"/>
      <c r="BOS64" s="94"/>
      <c r="BOT64" s="94"/>
      <c r="BOU64" s="94"/>
      <c r="BOV64" s="94"/>
      <c r="BOW64" s="94"/>
      <c r="BOX64" s="94"/>
      <c r="BOY64" s="94"/>
      <c r="BOZ64" s="94"/>
      <c r="BPA64" s="94"/>
      <c r="BPB64" s="94"/>
      <c r="BPC64" s="94"/>
      <c r="BPD64" s="94"/>
      <c r="BPE64" s="94"/>
      <c r="BPF64" s="94"/>
      <c r="BPG64" s="94"/>
      <c r="BPH64" s="94"/>
      <c r="BPI64" s="94"/>
      <c r="BPJ64" s="94"/>
      <c r="BPK64" s="94"/>
      <c r="BPL64" s="94"/>
      <c r="BPM64" s="94"/>
      <c r="BPN64" s="94"/>
      <c r="BPO64" s="94"/>
      <c r="BPP64" s="94"/>
      <c r="BPQ64" s="94"/>
      <c r="BPR64" s="94"/>
      <c r="BPS64" s="94"/>
      <c r="BPT64" s="94"/>
      <c r="BPU64" s="94"/>
      <c r="BPV64" s="94"/>
      <c r="BPW64" s="94"/>
      <c r="BPX64" s="94"/>
      <c r="BPY64" s="94"/>
      <c r="BPZ64" s="94"/>
      <c r="BQA64" s="94"/>
      <c r="BQB64" s="94"/>
      <c r="BQC64" s="94"/>
      <c r="BQD64" s="94"/>
      <c r="BQE64" s="94"/>
      <c r="BQF64" s="94"/>
      <c r="BQG64" s="94"/>
      <c r="BQH64" s="94"/>
      <c r="BQI64" s="94"/>
      <c r="BQJ64" s="94"/>
      <c r="BQK64" s="94"/>
      <c r="BQL64" s="94"/>
      <c r="BQM64" s="94"/>
      <c r="BQN64" s="94"/>
      <c r="BQO64" s="94"/>
      <c r="BQP64" s="94"/>
      <c r="BQQ64" s="94"/>
      <c r="BQR64" s="94"/>
      <c r="BQS64" s="94"/>
      <c r="BQT64" s="94"/>
      <c r="BQU64" s="94"/>
      <c r="BQV64" s="94"/>
      <c r="BQW64" s="94"/>
      <c r="BQX64" s="94"/>
      <c r="BQY64" s="94"/>
      <c r="BQZ64" s="94"/>
      <c r="BRA64" s="94"/>
      <c r="BRB64" s="94"/>
      <c r="BRC64" s="94"/>
      <c r="BRD64" s="94"/>
      <c r="BRE64" s="94"/>
      <c r="BRF64" s="94"/>
      <c r="BRG64" s="94"/>
      <c r="BRH64" s="94"/>
      <c r="BRI64" s="94"/>
      <c r="BRJ64" s="94"/>
      <c r="BRK64" s="94"/>
      <c r="BRL64" s="94"/>
      <c r="BRM64" s="94"/>
      <c r="BRN64" s="94"/>
      <c r="BRO64" s="94"/>
      <c r="BRP64" s="94"/>
      <c r="BRQ64" s="94"/>
      <c r="BRR64" s="94"/>
      <c r="BRS64" s="94"/>
      <c r="BRT64" s="94"/>
      <c r="BRU64" s="94"/>
      <c r="BRV64" s="94"/>
      <c r="BRW64" s="94"/>
      <c r="BRX64" s="94"/>
      <c r="BRY64" s="94"/>
      <c r="BRZ64" s="94"/>
      <c r="BSA64" s="94"/>
      <c r="BSB64" s="94"/>
      <c r="BSC64" s="94"/>
      <c r="BSD64" s="94"/>
      <c r="BSE64" s="94"/>
      <c r="BSF64" s="94"/>
      <c r="BSG64" s="94"/>
      <c r="BSH64" s="94"/>
      <c r="BSI64" s="94"/>
      <c r="BSJ64" s="94"/>
      <c r="BSK64" s="94"/>
      <c r="BSL64" s="94"/>
      <c r="BSM64" s="94"/>
      <c r="BSN64" s="94"/>
      <c r="BSO64" s="94"/>
      <c r="BSP64" s="94"/>
      <c r="BSQ64" s="94"/>
      <c r="BSR64" s="94"/>
      <c r="BSS64" s="94"/>
      <c r="BST64" s="94"/>
      <c r="BSU64" s="94"/>
      <c r="BSV64" s="94"/>
      <c r="BSW64" s="94"/>
      <c r="BSX64" s="94"/>
      <c r="BSY64" s="94"/>
      <c r="BSZ64" s="94"/>
      <c r="BTA64" s="94"/>
      <c r="BTB64" s="94"/>
      <c r="BTC64" s="94"/>
      <c r="BTD64" s="94"/>
      <c r="BTE64" s="94"/>
      <c r="BTF64" s="94"/>
      <c r="BTG64" s="94"/>
      <c r="BTH64" s="94"/>
      <c r="BTI64" s="94"/>
      <c r="BTJ64" s="94"/>
      <c r="BTK64" s="94"/>
      <c r="BTL64" s="94"/>
      <c r="BTM64" s="94"/>
      <c r="BTN64" s="94"/>
      <c r="BTO64" s="94"/>
      <c r="BTP64" s="94"/>
      <c r="BTQ64" s="94"/>
      <c r="BTR64" s="94"/>
      <c r="BTS64" s="94"/>
      <c r="BTT64" s="94"/>
      <c r="BTU64" s="94"/>
      <c r="BTV64" s="94"/>
      <c r="BTW64" s="94"/>
      <c r="BTX64" s="94"/>
      <c r="BTY64" s="94"/>
      <c r="BTZ64" s="94"/>
      <c r="BUA64" s="94"/>
      <c r="BUB64" s="94"/>
      <c r="BUC64" s="94"/>
      <c r="BUD64" s="94"/>
      <c r="BUE64" s="94"/>
      <c r="BUF64" s="94"/>
      <c r="BUG64" s="94"/>
      <c r="BUH64" s="94"/>
      <c r="BUI64" s="94"/>
      <c r="BUJ64" s="94"/>
      <c r="BUK64" s="94"/>
      <c r="BUL64" s="94"/>
      <c r="BUM64" s="94"/>
      <c r="BUN64" s="94"/>
      <c r="BUO64" s="94"/>
      <c r="BUP64" s="94"/>
      <c r="BUQ64" s="94"/>
      <c r="BUR64" s="94"/>
      <c r="BUS64" s="94"/>
      <c r="BUT64" s="94"/>
      <c r="BUU64" s="94"/>
      <c r="BUV64" s="94"/>
      <c r="BUW64" s="94"/>
      <c r="BUX64" s="94"/>
      <c r="BUY64" s="94"/>
      <c r="BUZ64" s="94"/>
      <c r="BVA64" s="94"/>
      <c r="BVB64" s="94"/>
      <c r="BVC64" s="94"/>
      <c r="BVD64" s="94"/>
      <c r="BVE64" s="94"/>
      <c r="BVF64" s="94"/>
      <c r="BVG64" s="94"/>
      <c r="BVH64" s="94"/>
      <c r="BVI64" s="94"/>
      <c r="BVJ64" s="94"/>
      <c r="BVK64" s="94"/>
      <c r="BVL64" s="94"/>
      <c r="BVM64" s="94"/>
      <c r="BVN64" s="94"/>
      <c r="BVO64" s="94"/>
      <c r="BVP64" s="94"/>
      <c r="BVQ64" s="94"/>
      <c r="BVR64" s="94"/>
      <c r="BVS64" s="94"/>
      <c r="BVT64" s="94"/>
      <c r="BVU64" s="94"/>
      <c r="BVV64" s="94"/>
      <c r="BVW64" s="94"/>
      <c r="BVX64" s="94"/>
      <c r="BVY64" s="94"/>
      <c r="BVZ64" s="94"/>
      <c r="BWA64" s="94"/>
      <c r="BWB64" s="94"/>
      <c r="BWC64" s="94"/>
      <c r="BWD64" s="94"/>
      <c r="BWE64" s="94"/>
      <c r="BWF64" s="94"/>
      <c r="BWG64" s="94"/>
      <c r="BWH64" s="94"/>
      <c r="BWI64" s="94"/>
      <c r="BWJ64" s="94"/>
      <c r="BWK64" s="94"/>
      <c r="BWL64" s="94"/>
      <c r="BWM64" s="94"/>
      <c r="BWN64" s="94"/>
      <c r="BWO64" s="94"/>
      <c r="BWP64" s="94"/>
      <c r="BWQ64" s="94"/>
      <c r="BWR64" s="94"/>
      <c r="BWS64" s="94"/>
      <c r="BWT64" s="94"/>
      <c r="BWU64" s="94"/>
      <c r="BWV64" s="94"/>
      <c r="BWW64" s="94"/>
      <c r="BWX64" s="94"/>
      <c r="BWY64" s="94"/>
      <c r="BWZ64" s="94"/>
      <c r="BXA64" s="94"/>
      <c r="BXB64" s="94"/>
      <c r="BXC64" s="94"/>
      <c r="BXD64" s="94"/>
      <c r="BXE64" s="94"/>
      <c r="BXF64" s="94"/>
      <c r="BXG64" s="94"/>
      <c r="BXH64" s="94"/>
      <c r="BXI64" s="94"/>
      <c r="BXJ64" s="94"/>
      <c r="BXK64" s="94"/>
      <c r="BXL64" s="94"/>
      <c r="BXM64" s="94"/>
      <c r="BXN64" s="94"/>
      <c r="BXO64" s="94"/>
      <c r="BXP64" s="94"/>
      <c r="BXQ64" s="94"/>
      <c r="BXR64" s="94"/>
      <c r="BXS64" s="94"/>
      <c r="BXT64" s="94"/>
      <c r="BXU64" s="94"/>
      <c r="BXV64" s="94"/>
      <c r="BXW64" s="94"/>
      <c r="BXX64" s="94"/>
      <c r="BXY64" s="94"/>
      <c r="BXZ64" s="94"/>
      <c r="BYA64" s="94"/>
      <c r="BYB64" s="94"/>
      <c r="BYC64" s="94"/>
      <c r="BYD64" s="94"/>
      <c r="BYE64" s="94"/>
      <c r="BYF64" s="94"/>
      <c r="BYG64" s="94"/>
      <c r="BYH64" s="94"/>
      <c r="BYI64" s="94"/>
      <c r="BYJ64" s="94"/>
      <c r="BYK64" s="94"/>
      <c r="BYL64" s="94"/>
      <c r="BYM64" s="94"/>
      <c r="BYN64" s="94"/>
      <c r="BYO64" s="94"/>
      <c r="BYP64" s="94"/>
      <c r="BYQ64" s="94"/>
      <c r="BYR64" s="94"/>
      <c r="BYS64" s="94"/>
      <c r="BYT64" s="94"/>
      <c r="BYU64" s="94"/>
      <c r="BYV64" s="94"/>
      <c r="BYW64" s="94"/>
      <c r="BYX64" s="94"/>
      <c r="BYY64" s="94"/>
      <c r="BYZ64" s="94"/>
      <c r="BZA64" s="94"/>
      <c r="BZB64" s="94"/>
      <c r="BZC64" s="94"/>
      <c r="BZD64" s="94"/>
      <c r="BZE64" s="94"/>
      <c r="BZF64" s="94"/>
      <c r="BZG64" s="94"/>
      <c r="BZH64" s="94"/>
      <c r="BZI64" s="94"/>
      <c r="BZJ64" s="94"/>
      <c r="BZK64" s="94"/>
      <c r="BZL64" s="94"/>
      <c r="BZM64" s="94"/>
      <c r="BZN64" s="94"/>
      <c r="BZO64" s="94"/>
      <c r="BZP64" s="94"/>
      <c r="BZQ64" s="94"/>
      <c r="BZR64" s="94"/>
      <c r="BZS64" s="94"/>
      <c r="BZT64" s="94"/>
      <c r="BZU64" s="94"/>
      <c r="BZV64" s="94"/>
      <c r="BZW64" s="94"/>
      <c r="BZX64" s="94"/>
      <c r="BZY64" s="94"/>
      <c r="BZZ64" s="94"/>
      <c r="CAA64" s="94"/>
      <c r="CAB64" s="94"/>
      <c r="CAC64" s="94"/>
      <c r="CAD64" s="94"/>
      <c r="CAE64" s="94"/>
      <c r="CAF64" s="94"/>
      <c r="CAG64" s="94"/>
      <c r="CAH64" s="94"/>
      <c r="CAI64" s="94"/>
      <c r="CAJ64" s="94"/>
      <c r="CAK64" s="94"/>
      <c r="CAL64" s="94"/>
      <c r="CAM64" s="94"/>
      <c r="CAN64" s="94"/>
      <c r="CAO64" s="94"/>
      <c r="CAP64" s="94"/>
      <c r="CAQ64" s="94"/>
      <c r="CAR64" s="94"/>
      <c r="CAS64" s="94"/>
      <c r="CAT64" s="94"/>
      <c r="CAU64" s="94"/>
      <c r="CAV64" s="94"/>
      <c r="CAW64" s="94"/>
      <c r="CAX64" s="94"/>
      <c r="CAY64" s="94"/>
      <c r="CAZ64" s="94"/>
      <c r="CBA64" s="94"/>
      <c r="CBB64" s="94"/>
      <c r="CBC64" s="94"/>
      <c r="CBD64" s="94"/>
      <c r="CBE64" s="94"/>
      <c r="CBF64" s="94"/>
      <c r="CBG64" s="94"/>
      <c r="CBH64" s="94"/>
      <c r="CBI64" s="94"/>
      <c r="CBJ64" s="94"/>
      <c r="CBK64" s="94"/>
      <c r="CBL64" s="94"/>
      <c r="CBM64" s="94"/>
      <c r="CBN64" s="94"/>
      <c r="CBO64" s="94"/>
      <c r="CBP64" s="94"/>
      <c r="CBQ64" s="94"/>
      <c r="CBR64" s="94"/>
      <c r="CBS64" s="94"/>
      <c r="CBT64" s="94"/>
      <c r="CBU64" s="94"/>
      <c r="CBV64" s="94"/>
      <c r="CBW64" s="94"/>
      <c r="CBX64" s="94"/>
      <c r="CBY64" s="94"/>
      <c r="CBZ64" s="94"/>
      <c r="CCA64" s="94"/>
      <c r="CCB64" s="94"/>
      <c r="CCC64" s="94"/>
      <c r="CCD64" s="94"/>
      <c r="CCE64" s="94"/>
      <c r="CCF64" s="94"/>
      <c r="CCG64" s="94"/>
      <c r="CCH64" s="94"/>
      <c r="CCI64" s="94"/>
      <c r="CCJ64" s="94"/>
      <c r="CCK64" s="94"/>
      <c r="CCL64" s="94"/>
      <c r="CCM64" s="94"/>
      <c r="CCN64" s="94"/>
      <c r="CCO64" s="94"/>
      <c r="CCP64" s="94"/>
      <c r="CCQ64" s="94"/>
      <c r="CCR64" s="94"/>
      <c r="CCS64" s="94"/>
      <c r="CCT64" s="94"/>
      <c r="CCU64" s="94"/>
      <c r="CCV64" s="94"/>
      <c r="CCW64" s="94"/>
      <c r="CCX64" s="94"/>
      <c r="CCY64" s="94"/>
      <c r="CCZ64" s="94"/>
      <c r="CDA64" s="94"/>
      <c r="CDB64" s="94"/>
      <c r="CDC64" s="94"/>
      <c r="CDD64" s="94"/>
      <c r="CDE64" s="94"/>
      <c r="CDF64" s="94"/>
      <c r="CDG64" s="94"/>
      <c r="CDH64" s="94"/>
      <c r="CDI64" s="94"/>
      <c r="CDJ64" s="94"/>
      <c r="CDK64" s="94"/>
      <c r="CDL64" s="94"/>
      <c r="CDM64" s="94"/>
      <c r="CDN64" s="94"/>
      <c r="CDO64" s="94"/>
      <c r="CDP64" s="94"/>
      <c r="CDQ64" s="94"/>
      <c r="CDR64" s="94"/>
      <c r="CDS64" s="94"/>
      <c r="CDT64" s="94"/>
      <c r="CDU64" s="94"/>
      <c r="CDV64" s="94"/>
      <c r="CDW64" s="94"/>
      <c r="CDX64" s="94"/>
      <c r="CDY64" s="94"/>
      <c r="CDZ64" s="94"/>
      <c r="CEA64" s="94"/>
      <c r="CEB64" s="94"/>
      <c r="CEC64" s="94"/>
      <c r="CED64" s="94"/>
      <c r="CEE64" s="94"/>
      <c r="CEF64" s="94"/>
      <c r="CEG64" s="94"/>
      <c r="CEH64" s="94"/>
      <c r="CEI64" s="94"/>
      <c r="CEJ64" s="94"/>
      <c r="CEK64" s="94"/>
      <c r="CEL64" s="94"/>
      <c r="CEM64" s="94"/>
      <c r="CEN64" s="94"/>
      <c r="CEO64" s="94"/>
      <c r="CEP64" s="94"/>
      <c r="CEQ64" s="94"/>
      <c r="CER64" s="94"/>
      <c r="CES64" s="94"/>
      <c r="CET64" s="94"/>
      <c r="CEU64" s="94"/>
      <c r="CEV64" s="94"/>
      <c r="CEW64" s="94"/>
      <c r="CEX64" s="94"/>
      <c r="CEY64" s="94"/>
      <c r="CEZ64" s="94"/>
      <c r="CFA64" s="94"/>
      <c r="CFB64" s="94"/>
      <c r="CFC64" s="94"/>
      <c r="CFD64" s="94"/>
      <c r="CFE64" s="94"/>
      <c r="CFF64" s="94"/>
      <c r="CFG64" s="94"/>
      <c r="CFH64" s="94"/>
      <c r="CFI64" s="94"/>
      <c r="CFJ64" s="94"/>
      <c r="CFK64" s="94"/>
      <c r="CFL64" s="94"/>
      <c r="CFM64" s="94"/>
      <c r="CFN64" s="94"/>
      <c r="CFO64" s="94"/>
      <c r="CFP64" s="94"/>
      <c r="CFQ64" s="94"/>
      <c r="CFR64" s="94"/>
      <c r="CFS64" s="94"/>
      <c r="CFT64" s="94"/>
      <c r="CFU64" s="94"/>
      <c r="CFV64" s="94"/>
      <c r="CFW64" s="94"/>
      <c r="CFX64" s="94"/>
      <c r="CFY64" s="94"/>
      <c r="CFZ64" s="94"/>
      <c r="CGA64" s="94"/>
      <c r="CGB64" s="94"/>
      <c r="CGC64" s="94"/>
      <c r="CGD64" s="94"/>
      <c r="CGE64" s="94"/>
      <c r="CGF64" s="94"/>
      <c r="CGG64" s="94"/>
      <c r="CGH64" s="94"/>
      <c r="CGI64" s="94"/>
      <c r="CGJ64" s="94"/>
      <c r="CGK64" s="94"/>
      <c r="CGL64" s="94"/>
      <c r="CGM64" s="94"/>
      <c r="CGN64" s="94"/>
      <c r="CGO64" s="94"/>
      <c r="CGP64" s="94"/>
      <c r="CGQ64" s="94"/>
      <c r="CGR64" s="94"/>
      <c r="CGS64" s="94"/>
      <c r="CGT64" s="94"/>
      <c r="CGU64" s="94"/>
      <c r="CGV64" s="94"/>
      <c r="CGW64" s="94"/>
      <c r="CGX64" s="94"/>
      <c r="CGY64" s="94"/>
      <c r="CGZ64" s="94"/>
      <c r="CHA64" s="94"/>
      <c r="CHB64" s="94"/>
      <c r="CHC64" s="94"/>
      <c r="CHD64" s="94"/>
      <c r="CHE64" s="94"/>
      <c r="CHF64" s="94"/>
      <c r="CHG64" s="94"/>
      <c r="CHH64" s="94"/>
      <c r="CHI64" s="94"/>
      <c r="CHJ64" s="94"/>
      <c r="CHK64" s="94"/>
      <c r="CHL64" s="94"/>
      <c r="CHM64" s="94"/>
      <c r="CHN64" s="94"/>
      <c r="CHO64" s="94"/>
      <c r="CHP64" s="94"/>
      <c r="CHQ64" s="94"/>
      <c r="CHR64" s="94"/>
      <c r="CHS64" s="94"/>
      <c r="CHT64" s="94"/>
      <c r="CHU64" s="94"/>
      <c r="CHV64" s="94"/>
      <c r="CHW64" s="94"/>
      <c r="CHX64" s="94"/>
      <c r="CHY64" s="94"/>
      <c r="CHZ64" s="94"/>
      <c r="CIA64" s="94"/>
      <c r="CIB64" s="94"/>
      <c r="CIC64" s="94"/>
      <c r="CID64" s="94"/>
      <c r="CIE64" s="94"/>
      <c r="CIF64" s="94"/>
      <c r="CIG64" s="94"/>
      <c r="CIH64" s="94"/>
      <c r="CII64" s="94"/>
      <c r="CIJ64" s="94"/>
      <c r="CIK64" s="94"/>
      <c r="CIL64" s="94"/>
      <c r="CIM64" s="94"/>
      <c r="CIN64" s="94"/>
      <c r="CIO64" s="94"/>
      <c r="CIP64" s="94"/>
      <c r="CIQ64" s="94"/>
      <c r="CIR64" s="94"/>
      <c r="CIS64" s="94"/>
      <c r="CIT64" s="94"/>
      <c r="CIU64" s="94"/>
      <c r="CIV64" s="94"/>
      <c r="CIW64" s="94"/>
      <c r="CIX64" s="94"/>
      <c r="CIY64" s="94"/>
      <c r="CIZ64" s="94"/>
      <c r="CJA64" s="94"/>
      <c r="CJB64" s="94"/>
      <c r="CJC64" s="94"/>
      <c r="CJD64" s="94"/>
      <c r="CJE64" s="94"/>
      <c r="CJF64" s="94"/>
      <c r="CJG64" s="94"/>
      <c r="CJH64" s="94"/>
      <c r="CJI64" s="94"/>
      <c r="CJJ64" s="94"/>
      <c r="CJK64" s="94"/>
      <c r="CJL64" s="94"/>
      <c r="CJM64" s="94"/>
      <c r="CJN64" s="94"/>
      <c r="CJO64" s="94"/>
      <c r="CJP64" s="94"/>
      <c r="CJQ64" s="94"/>
      <c r="CJR64" s="94"/>
      <c r="CJS64" s="94"/>
      <c r="CJT64" s="94"/>
      <c r="CJU64" s="94"/>
      <c r="CJV64" s="94"/>
      <c r="CJW64" s="94"/>
      <c r="CJX64" s="94"/>
      <c r="CJY64" s="94"/>
      <c r="CJZ64" s="94"/>
      <c r="CKA64" s="94"/>
      <c r="CKB64" s="94"/>
      <c r="CKC64" s="94"/>
      <c r="CKD64" s="94"/>
      <c r="CKE64" s="94"/>
      <c r="CKF64" s="94"/>
      <c r="CKG64" s="94"/>
      <c r="CKH64" s="94"/>
      <c r="CKI64" s="94"/>
      <c r="CKJ64" s="94"/>
      <c r="CKK64" s="94"/>
      <c r="CKL64" s="94"/>
      <c r="CKM64" s="94"/>
      <c r="CKN64" s="94"/>
      <c r="CKO64" s="94"/>
      <c r="CKP64" s="94"/>
      <c r="CKQ64" s="94"/>
      <c r="CKR64" s="94"/>
      <c r="CKS64" s="94"/>
      <c r="CKT64" s="94"/>
      <c r="CKU64" s="94"/>
      <c r="CKV64" s="94"/>
      <c r="CKW64" s="94"/>
      <c r="CKX64" s="94"/>
      <c r="CKY64" s="94"/>
      <c r="CKZ64" s="94"/>
      <c r="CLA64" s="94"/>
      <c r="CLB64" s="94"/>
      <c r="CLC64" s="94"/>
      <c r="CLD64" s="94"/>
      <c r="CLE64" s="94"/>
      <c r="CLF64" s="94"/>
      <c r="CLG64" s="94"/>
      <c r="CLH64" s="94"/>
      <c r="CLI64" s="94"/>
      <c r="CLJ64" s="94"/>
      <c r="CLK64" s="94"/>
      <c r="CLL64" s="94"/>
      <c r="CLM64" s="94"/>
      <c r="CLN64" s="94"/>
      <c r="CLO64" s="94"/>
      <c r="CLP64" s="94"/>
      <c r="CLQ64" s="94"/>
      <c r="CLR64" s="94"/>
      <c r="CLS64" s="94"/>
      <c r="CLT64" s="94"/>
      <c r="CLU64" s="94"/>
      <c r="CLV64" s="94"/>
      <c r="CLW64" s="94"/>
      <c r="CLX64" s="94"/>
      <c r="CLY64" s="94"/>
      <c r="CLZ64" s="94"/>
      <c r="CMA64" s="94"/>
      <c r="CMB64" s="94"/>
      <c r="CMC64" s="94"/>
      <c r="CMD64" s="94"/>
      <c r="CME64" s="94"/>
      <c r="CMF64" s="94"/>
      <c r="CMG64" s="94"/>
      <c r="CMH64" s="94"/>
      <c r="CMI64" s="94"/>
      <c r="CMJ64" s="94"/>
      <c r="CMK64" s="94"/>
      <c r="CML64" s="94"/>
      <c r="CMM64" s="94"/>
      <c r="CMN64" s="94"/>
      <c r="CMO64" s="94"/>
      <c r="CMP64" s="94"/>
      <c r="CMQ64" s="94"/>
      <c r="CMR64" s="94"/>
      <c r="CMS64" s="94"/>
      <c r="CMT64" s="94"/>
      <c r="CMU64" s="94"/>
      <c r="CMV64" s="94"/>
      <c r="CMW64" s="94"/>
      <c r="CMX64" s="94"/>
      <c r="CMY64" s="94"/>
      <c r="CMZ64" s="94"/>
      <c r="CNA64" s="94"/>
      <c r="CNB64" s="94"/>
      <c r="CNC64" s="94"/>
      <c r="CND64" s="94"/>
      <c r="CNE64" s="94"/>
      <c r="CNF64" s="94"/>
      <c r="CNG64" s="94"/>
      <c r="CNH64" s="94"/>
      <c r="CNI64" s="94"/>
      <c r="CNJ64" s="94"/>
      <c r="CNK64" s="94"/>
      <c r="CNL64" s="94"/>
      <c r="CNM64" s="94"/>
      <c r="CNN64" s="94"/>
      <c r="CNO64" s="94"/>
      <c r="CNP64" s="94"/>
      <c r="CNQ64" s="94"/>
      <c r="CNR64" s="94"/>
      <c r="CNS64" s="94"/>
      <c r="CNT64" s="94"/>
      <c r="CNU64" s="94"/>
      <c r="CNV64" s="94"/>
      <c r="CNW64" s="94"/>
      <c r="CNX64" s="94"/>
      <c r="CNY64" s="94"/>
      <c r="CNZ64" s="94"/>
      <c r="COA64" s="94"/>
      <c r="COB64" s="94"/>
      <c r="COC64" s="94"/>
      <c r="COD64" s="94"/>
      <c r="COE64" s="94"/>
      <c r="COF64" s="94"/>
      <c r="COG64" s="94"/>
      <c r="COH64" s="94"/>
      <c r="COI64" s="94"/>
      <c r="COJ64" s="94"/>
      <c r="COK64" s="94"/>
      <c r="COL64" s="94"/>
      <c r="COM64" s="94"/>
      <c r="CON64" s="94"/>
      <c r="COO64" s="94"/>
      <c r="COP64" s="94"/>
      <c r="COQ64" s="94"/>
      <c r="COR64" s="94"/>
      <c r="COS64" s="94"/>
      <c r="COT64" s="94"/>
      <c r="COU64" s="94"/>
      <c r="COV64" s="94"/>
      <c r="COW64" s="94"/>
      <c r="COX64" s="94"/>
      <c r="COY64" s="94"/>
      <c r="COZ64" s="94"/>
      <c r="CPA64" s="94"/>
      <c r="CPB64" s="94"/>
      <c r="CPC64" s="94"/>
      <c r="CPD64" s="94"/>
      <c r="CPE64" s="94"/>
      <c r="CPF64" s="94"/>
      <c r="CPG64" s="94"/>
      <c r="CPH64" s="94"/>
      <c r="CPI64" s="94"/>
      <c r="CPJ64" s="94"/>
      <c r="CPK64" s="94"/>
      <c r="CPL64" s="94"/>
      <c r="CPM64" s="94"/>
      <c r="CPN64" s="94"/>
      <c r="CPO64" s="94"/>
      <c r="CPP64" s="94"/>
      <c r="CPQ64" s="94"/>
      <c r="CPR64" s="94"/>
      <c r="CPS64" s="94"/>
      <c r="CPT64" s="94"/>
      <c r="CPU64" s="94"/>
      <c r="CPV64" s="94"/>
      <c r="CPW64" s="94"/>
      <c r="CPX64" s="94"/>
      <c r="CPY64" s="94"/>
      <c r="CPZ64" s="94"/>
      <c r="CQA64" s="94"/>
      <c r="CQB64" s="94"/>
      <c r="CQC64" s="94"/>
      <c r="CQD64" s="94"/>
      <c r="CQE64" s="94"/>
      <c r="CQF64" s="94"/>
      <c r="CQG64" s="94"/>
      <c r="CQH64" s="94"/>
      <c r="CQI64" s="94"/>
      <c r="CQJ64" s="94"/>
      <c r="CQK64" s="94"/>
      <c r="CQL64" s="94"/>
      <c r="CQM64" s="94"/>
      <c r="CQN64" s="94"/>
      <c r="CQO64" s="94"/>
      <c r="CQP64" s="94"/>
      <c r="CQQ64" s="94"/>
      <c r="CQR64" s="94"/>
      <c r="CQS64" s="94"/>
      <c r="CQT64" s="94"/>
      <c r="CQU64" s="94"/>
      <c r="CQV64" s="94"/>
      <c r="CQW64" s="94"/>
      <c r="CQX64" s="94"/>
      <c r="CQY64" s="94"/>
      <c r="CQZ64" s="94"/>
      <c r="CRA64" s="94"/>
      <c r="CRB64" s="94"/>
      <c r="CRC64" s="94"/>
      <c r="CRD64" s="94"/>
      <c r="CRE64" s="94"/>
      <c r="CRF64" s="94"/>
      <c r="CRG64" s="94"/>
      <c r="CRH64" s="94"/>
      <c r="CRI64" s="94"/>
      <c r="CRJ64" s="94"/>
      <c r="CRK64" s="94"/>
      <c r="CRL64" s="94"/>
      <c r="CRM64" s="94"/>
      <c r="CRN64" s="94"/>
      <c r="CRO64" s="94"/>
      <c r="CRP64" s="94"/>
      <c r="CRQ64" s="94"/>
      <c r="CRR64" s="94"/>
      <c r="CRS64" s="94"/>
      <c r="CRT64" s="94"/>
      <c r="CRU64" s="94"/>
      <c r="CRV64" s="94"/>
      <c r="CRW64" s="94"/>
      <c r="CRX64" s="94"/>
      <c r="CRY64" s="94"/>
      <c r="CRZ64" s="94"/>
      <c r="CSA64" s="94"/>
      <c r="CSB64" s="94"/>
      <c r="CSC64" s="94"/>
      <c r="CSD64" s="94"/>
      <c r="CSE64" s="94"/>
      <c r="CSF64" s="94"/>
      <c r="CSG64" s="94"/>
      <c r="CSH64" s="94"/>
      <c r="CSI64" s="94"/>
      <c r="CSJ64" s="94"/>
      <c r="CSK64" s="94"/>
      <c r="CSL64" s="94"/>
      <c r="CSM64" s="94"/>
      <c r="CSN64" s="94"/>
      <c r="CSO64" s="94"/>
      <c r="CSP64" s="94"/>
      <c r="CSQ64" s="94"/>
      <c r="CSR64" s="94"/>
      <c r="CSS64" s="94"/>
      <c r="CST64" s="94"/>
      <c r="CSU64" s="94"/>
      <c r="CSV64" s="94"/>
      <c r="CSW64" s="94"/>
      <c r="CSX64" s="94"/>
      <c r="CSY64" s="94"/>
      <c r="CSZ64" s="94"/>
      <c r="CTA64" s="94"/>
      <c r="CTB64" s="94"/>
      <c r="CTC64" s="94"/>
      <c r="CTD64" s="94"/>
      <c r="CTE64" s="94"/>
      <c r="CTF64" s="94"/>
      <c r="CTG64" s="94"/>
      <c r="CTH64" s="94"/>
      <c r="CTI64" s="94"/>
      <c r="CTJ64" s="94"/>
      <c r="CTK64" s="94"/>
      <c r="CTL64" s="94"/>
      <c r="CTM64" s="94"/>
      <c r="CTN64" s="94"/>
      <c r="CTO64" s="94"/>
      <c r="CTP64" s="94"/>
      <c r="CTQ64" s="94"/>
      <c r="CTR64" s="94"/>
      <c r="CTS64" s="94"/>
      <c r="CTT64" s="94"/>
      <c r="CTU64" s="94"/>
      <c r="CTV64" s="94"/>
      <c r="CTW64" s="94"/>
      <c r="CTX64" s="94"/>
      <c r="CTY64" s="94"/>
      <c r="CTZ64" s="94"/>
      <c r="CUA64" s="94"/>
      <c r="CUB64" s="94"/>
      <c r="CUC64" s="94"/>
      <c r="CUD64" s="94"/>
      <c r="CUE64" s="94"/>
      <c r="CUF64" s="94"/>
      <c r="CUG64" s="94"/>
      <c r="CUH64" s="94"/>
      <c r="CUI64" s="94"/>
      <c r="CUJ64" s="94"/>
      <c r="CUK64" s="94"/>
      <c r="CUL64" s="94"/>
      <c r="CUM64" s="94"/>
      <c r="CUN64" s="94"/>
      <c r="CUO64" s="94"/>
      <c r="CUP64" s="94"/>
      <c r="CUQ64" s="94"/>
      <c r="CUR64" s="94"/>
      <c r="CUS64" s="94"/>
      <c r="CUT64" s="94"/>
      <c r="CUU64" s="94"/>
      <c r="CUV64" s="94"/>
      <c r="CUW64" s="94"/>
      <c r="CUX64" s="94"/>
      <c r="CUY64" s="94"/>
      <c r="CUZ64" s="94"/>
      <c r="CVA64" s="94"/>
      <c r="CVB64" s="94"/>
      <c r="CVC64" s="94"/>
      <c r="CVD64" s="94"/>
      <c r="CVE64" s="94"/>
      <c r="CVF64" s="94"/>
      <c r="CVG64" s="94"/>
      <c r="CVH64" s="94"/>
      <c r="CVI64" s="94"/>
      <c r="CVJ64" s="94"/>
      <c r="CVK64" s="94"/>
      <c r="CVL64" s="94"/>
      <c r="CVM64" s="94"/>
      <c r="CVN64" s="94"/>
      <c r="CVO64" s="94"/>
      <c r="CVP64" s="94"/>
      <c r="CVQ64" s="94"/>
      <c r="CVR64" s="94"/>
      <c r="CVS64" s="94"/>
      <c r="CVT64" s="94"/>
      <c r="CVU64" s="94"/>
      <c r="CVV64" s="94"/>
      <c r="CVW64" s="94"/>
      <c r="CVX64" s="94"/>
      <c r="CVY64" s="94"/>
      <c r="CVZ64" s="94"/>
      <c r="CWA64" s="94"/>
      <c r="CWB64" s="94"/>
      <c r="CWC64" s="94"/>
      <c r="CWD64" s="94"/>
      <c r="CWE64" s="94"/>
      <c r="CWF64" s="94"/>
      <c r="CWG64" s="94"/>
      <c r="CWH64" s="94"/>
      <c r="CWI64" s="94"/>
      <c r="CWJ64" s="94"/>
      <c r="CWK64" s="94"/>
      <c r="CWL64" s="94"/>
      <c r="CWM64" s="94"/>
      <c r="CWN64" s="94"/>
      <c r="CWO64" s="94"/>
      <c r="CWP64" s="94"/>
      <c r="CWQ64" s="94"/>
      <c r="CWR64" s="94"/>
      <c r="CWS64" s="94"/>
      <c r="CWT64" s="94"/>
      <c r="CWU64" s="94"/>
      <c r="CWV64" s="94"/>
      <c r="CWW64" s="94"/>
      <c r="CWX64" s="94"/>
      <c r="CWY64" s="94"/>
      <c r="CWZ64" s="94"/>
      <c r="CXA64" s="94"/>
      <c r="CXB64" s="94"/>
      <c r="CXC64" s="94"/>
      <c r="CXD64" s="94"/>
      <c r="CXE64" s="94"/>
      <c r="CXF64" s="94"/>
      <c r="CXG64" s="94"/>
      <c r="CXH64" s="94"/>
      <c r="CXI64" s="94"/>
      <c r="CXJ64" s="94"/>
      <c r="CXK64" s="94"/>
      <c r="CXL64" s="94"/>
      <c r="CXM64" s="94"/>
      <c r="CXN64" s="94"/>
      <c r="CXO64" s="94"/>
      <c r="CXP64" s="94"/>
      <c r="CXQ64" s="94"/>
      <c r="CXR64" s="94"/>
      <c r="CXS64" s="94"/>
      <c r="CXT64" s="94"/>
      <c r="CXU64" s="94"/>
      <c r="CXV64" s="94"/>
      <c r="CXW64" s="94"/>
      <c r="CXX64" s="94"/>
      <c r="CXY64" s="94"/>
      <c r="CXZ64" s="94"/>
      <c r="CYA64" s="94"/>
      <c r="CYB64" s="94"/>
      <c r="CYC64" s="94"/>
      <c r="CYD64" s="94"/>
      <c r="CYE64" s="94"/>
      <c r="CYF64" s="94"/>
      <c r="CYG64" s="94"/>
      <c r="CYH64" s="94"/>
      <c r="CYI64" s="94"/>
      <c r="CYJ64" s="94"/>
      <c r="CYK64" s="94"/>
      <c r="CYL64" s="94"/>
      <c r="CYM64" s="94"/>
      <c r="CYN64" s="94"/>
      <c r="CYO64" s="94"/>
      <c r="CYP64" s="94"/>
      <c r="CYQ64" s="94"/>
      <c r="CYR64" s="94"/>
      <c r="CYS64" s="94"/>
      <c r="CYT64" s="94"/>
      <c r="CYU64" s="94"/>
      <c r="CYV64" s="94"/>
      <c r="CYW64" s="94"/>
      <c r="CYX64" s="94"/>
      <c r="CYY64" s="94"/>
      <c r="CYZ64" s="94"/>
      <c r="CZA64" s="94"/>
      <c r="CZB64" s="94"/>
      <c r="CZC64" s="94"/>
      <c r="CZD64" s="94"/>
      <c r="CZE64" s="94"/>
      <c r="CZF64" s="94"/>
      <c r="CZG64" s="94"/>
      <c r="CZH64" s="94"/>
      <c r="CZI64" s="94"/>
      <c r="CZJ64" s="94"/>
      <c r="CZK64" s="94"/>
      <c r="CZL64" s="94"/>
      <c r="CZM64" s="94"/>
      <c r="CZN64" s="94"/>
      <c r="CZO64" s="94"/>
      <c r="CZP64" s="94"/>
      <c r="CZQ64" s="94"/>
      <c r="CZR64" s="94"/>
      <c r="CZS64" s="94"/>
      <c r="CZT64" s="94"/>
      <c r="CZU64" s="94"/>
      <c r="CZV64" s="94"/>
      <c r="CZW64" s="94"/>
      <c r="CZX64" s="94"/>
      <c r="CZY64" s="94"/>
      <c r="CZZ64" s="94"/>
      <c r="DAA64" s="94"/>
      <c r="DAB64" s="94"/>
      <c r="DAC64" s="94"/>
      <c r="DAD64" s="94"/>
      <c r="DAE64" s="94"/>
      <c r="DAF64" s="94"/>
      <c r="DAG64" s="94"/>
      <c r="DAH64" s="94"/>
      <c r="DAI64" s="94"/>
      <c r="DAJ64" s="94"/>
      <c r="DAK64" s="94"/>
      <c r="DAL64" s="94"/>
      <c r="DAM64" s="94"/>
      <c r="DAN64" s="94"/>
      <c r="DAO64" s="94"/>
      <c r="DAP64" s="94"/>
      <c r="DAQ64" s="94"/>
      <c r="DAR64" s="94"/>
      <c r="DAS64" s="94"/>
      <c r="DAT64" s="94"/>
      <c r="DAU64" s="94"/>
      <c r="DAV64" s="94"/>
      <c r="DAW64" s="94"/>
      <c r="DAX64" s="94"/>
      <c r="DAY64" s="94"/>
      <c r="DAZ64" s="94"/>
      <c r="DBA64" s="94"/>
      <c r="DBB64" s="94"/>
      <c r="DBC64" s="94"/>
      <c r="DBD64" s="94"/>
      <c r="DBE64" s="94"/>
      <c r="DBF64" s="94"/>
      <c r="DBG64" s="94"/>
      <c r="DBH64" s="94"/>
      <c r="DBI64" s="94"/>
      <c r="DBJ64" s="94"/>
      <c r="DBK64" s="94"/>
      <c r="DBL64" s="94"/>
      <c r="DBM64" s="94"/>
      <c r="DBN64" s="94"/>
      <c r="DBO64" s="94"/>
      <c r="DBP64" s="94"/>
      <c r="DBQ64" s="94"/>
      <c r="DBR64" s="94"/>
      <c r="DBS64" s="94"/>
      <c r="DBT64" s="94"/>
      <c r="DBU64" s="94"/>
      <c r="DBV64" s="94"/>
      <c r="DBW64" s="94"/>
      <c r="DBX64" s="94"/>
      <c r="DBY64" s="94"/>
      <c r="DBZ64" s="94"/>
      <c r="DCA64" s="94"/>
      <c r="DCB64" s="94"/>
      <c r="DCC64" s="94"/>
      <c r="DCD64" s="94"/>
      <c r="DCE64" s="94"/>
      <c r="DCF64" s="94"/>
      <c r="DCG64" s="94"/>
      <c r="DCH64" s="94"/>
      <c r="DCI64" s="94"/>
      <c r="DCJ64" s="94"/>
      <c r="DCK64" s="94"/>
      <c r="DCL64" s="94"/>
      <c r="DCM64" s="94"/>
      <c r="DCN64" s="94"/>
      <c r="DCO64" s="94"/>
      <c r="DCP64" s="94"/>
      <c r="DCQ64" s="94"/>
      <c r="DCR64" s="94"/>
      <c r="DCS64" s="94"/>
      <c r="DCT64" s="94"/>
      <c r="DCU64" s="94"/>
      <c r="DCV64" s="94"/>
      <c r="DCW64" s="94"/>
      <c r="DCX64" s="94"/>
      <c r="DCY64" s="94"/>
      <c r="DCZ64" s="94"/>
      <c r="DDA64" s="94"/>
      <c r="DDB64" s="94"/>
      <c r="DDC64" s="94"/>
      <c r="DDD64" s="94"/>
      <c r="DDE64" s="94"/>
      <c r="DDF64" s="94"/>
      <c r="DDG64" s="94"/>
      <c r="DDH64" s="94"/>
      <c r="DDI64" s="94"/>
      <c r="DDJ64" s="94"/>
      <c r="DDK64" s="94"/>
      <c r="DDL64" s="94"/>
      <c r="DDM64" s="94"/>
      <c r="DDN64" s="94"/>
      <c r="DDO64" s="94"/>
      <c r="DDP64" s="94"/>
      <c r="DDQ64" s="94"/>
      <c r="DDR64" s="94"/>
      <c r="DDS64" s="94"/>
      <c r="DDT64" s="94"/>
      <c r="DDU64" s="94"/>
      <c r="DDV64" s="94"/>
      <c r="DDW64" s="94"/>
      <c r="DDX64" s="94"/>
      <c r="DDY64" s="94"/>
      <c r="DDZ64" s="94"/>
      <c r="DEA64" s="94"/>
      <c r="DEB64" s="94"/>
      <c r="DEC64" s="94"/>
      <c r="DED64" s="94"/>
      <c r="DEE64" s="94"/>
      <c r="DEF64" s="94"/>
      <c r="DEG64" s="94"/>
      <c r="DEH64" s="94"/>
      <c r="DEI64" s="94"/>
      <c r="DEJ64" s="94"/>
      <c r="DEK64" s="94"/>
      <c r="DEL64" s="94"/>
      <c r="DEM64" s="94"/>
      <c r="DEN64" s="94"/>
      <c r="DEO64" s="94"/>
      <c r="DEP64" s="94"/>
      <c r="DEQ64" s="94"/>
      <c r="DER64" s="94"/>
      <c r="DES64" s="94"/>
      <c r="DET64" s="94"/>
      <c r="DEU64" s="94"/>
      <c r="DEV64" s="94"/>
      <c r="DEW64" s="94"/>
      <c r="DEX64" s="94"/>
      <c r="DEY64" s="94"/>
      <c r="DEZ64" s="94"/>
      <c r="DFA64" s="94"/>
      <c r="DFB64" s="94"/>
      <c r="DFC64" s="94"/>
      <c r="DFD64" s="94"/>
      <c r="DFE64" s="94"/>
      <c r="DFF64" s="94"/>
      <c r="DFG64" s="94"/>
      <c r="DFH64" s="94"/>
      <c r="DFI64" s="94"/>
      <c r="DFJ64" s="94"/>
      <c r="DFK64" s="94"/>
      <c r="DFL64" s="94"/>
      <c r="DFM64" s="94"/>
      <c r="DFN64" s="94"/>
      <c r="DFO64" s="94"/>
      <c r="DFP64" s="94"/>
      <c r="DFQ64" s="94"/>
      <c r="DFR64" s="94"/>
      <c r="DFS64" s="94"/>
      <c r="DFT64" s="94"/>
      <c r="DFU64" s="94"/>
      <c r="DFV64" s="94"/>
      <c r="DFW64" s="94"/>
      <c r="DFX64" s="94"/>
      <c r="DFY64" s="94"/>
      <c r="DFZ64" s="94"/>
      <c r="DGA64" s="94"/>
      <c r="DGB64" s="94"/>
      <c r="DGC64" s="94"/>
      <c r="DGD64" s="94"/>
      <c r="DGE64" s="94"/>
      <c r="DGF64" s="94"/>
      <c r="DGG64" s="94"/>
      <c r="DGH64" s="94"/>
      <c r="DGI64" s="94"/>
      <c r="DGJ64" s="94"/>
      <c r="DGK64" s="94"/>
      <c r="DGL64" s="94"/>
      <c r="DGM64" s="94"/>
      <c r="DGN64" s="94"/>
      <c r="DGO64" s="94"/>
      <c r="DGP64" s="94"/>
      <c r="DGQ64" s="94"/>
      <c r="DGR64" s="94"/>
      <c r="DGS64" s="94"/>
      <c r="DGT64" s="94"/>
      <c r="DGU64" s="94"/>
      <c r="DGV64" s="94"/>
      <c r="DGW64" s="94"/>
      <c r="DGX64" s="94"/>
      <c r="DGY64" s="94"/>
      <c r="DGZ64" s="94"/>
      <c r="DHA64" s="94"/>
      <c r="DHB64" s="94"/>
      <c r="DHC64" s="94"/>
      <c r="DHD64" s="94"/>
      <c r="DHE64" s="94"/>
      <c r="DHF64" s="94"/>
      <c r="DHG64" s="94"/>
      <c r="DHH64" s="94"/>
      <c r="DHI64" s="94"/>
      <c r="DHJ64" s="94"/>
      <c r="DHK64" s="94"/>
      <c r="DHL64" s="94"/>
      <c r="DHM64" s="94"/>
      <c r="DHN64" s="94"/>
      <c r="DHO64" s="94"/>
      <c r="DHP64" s="94"/>
      <c r="DHQ64" s="94"/>
      <c r="DHR64" s="94"/>
      <c r="DHS64" s="94"/>
      <c r="DHT64" s="94"/>
      <c r="DHU64" s="94"/>
      <c r="DHV64" s="94"/>
      <c r="DHW64" s="94"/>
      <c r="DHX64" s="94"/>
      <c r="DHY64" s="94"/>
      <c r="DHZ64" s="94"/>
      <c r="DIA64" s="94"/>
      <c r="DIB64" s="94"/>
      <c r="DIC64" s="94"/>
      <c r="DID64" s="94"/>
      <c r="DIE64" s="94"/>
      <c r="DIF64" s="94"/>
      <c r="DIG64" s="94"/>
      <c r="DIH64" s="94"/>
      <c r="DII64" s="94"/>
      <c r="DIJ64" s="94"/>
      <c r="DIK64" s="94"/>
      <c r="DIL64" s="94"/>
      <c r="DIM64" s="94"/>
      <c r="DIN64" s="94"/>
      <c r="DIO64" s="94"/>
      <c r="DIP64" s="94"/>
      <c r="DIQ64" s="94"/>
      <c r="DIR64" s="94"/>
      <c r="DIS64" s="94"/>
      <c r="DIT64" s="94"/>
      <c r="DIU64" s="94"/>
      <c r="DIV64" s="94"/>
      <c r="DIW64" s="94"/>
      <c r="DIX64" s="94"/>
      <c r="DIY64" s="94"/>
      <c r="DIZ64" s="94"/>
      <c r="DJA64" s="94"/>
      <c r="DJB64" s="94"/>
      <c r="DJC64" s="94"/>
      <c r="DJD64" s="94"/>
      <c r="DJE64" s="94"/>
      <c r="DJF64" s="94"/>
      <c r="DJG64" s="94"/>
      <c r="DJH64" s="94"/>
      <c r="DJI64" s="94"/>
      <c r="DJJ64" s="94"/>
      <c r="DJK64" s="94"/>
      <c r="DJL64" s="94"/>
      <c r="DJM64" s="94"/>
      <c r="DJN64" s="94"/>
      <c r="DJO64" s="94"/>
      <c r="DJP64" s="94"/>
      <c r="DJQ64" s="94"/>
      <c r="DJR64" s="94"/>
      <c r="DJS64" s="94"/>
      <c r="DJT64" s="94"/>
      <c r="DJU64" s="94"/>
      <c r="DJV64" s="94"/>
      <c r="DJW64" s="94"/>
      <c r="DJX64" s="94"/>
      <c r="DJY64" s="94"/>
      <c r="DJZ64" s="94"/>
      <c r="DKA64" s="94"/>
      <c r="DKB64" s="94"/>
      <c r="DKC64" s="94"/>
      <c r="DKD64" s="94"/>
      <c r="DKE64" s="94"/>
      <c r="DKF64" s="94"/>
      <c r="DKG64" s="94"/>
      <c r="DKH64" s="94"/>
      <c r="DKI64" s="94"/>
      <c r="DKJ64" s="94"/>
      <c r="DKK64" s="94"/>
      <c r="DKL64" s="94"/>
      <c r="DKM64" s="94"/>
      <c r="DKN64" s="94"/>
      <c r="DKO64" s="94"/>
      <c r="DKP64" s="94"/>
      <c r="DKQ64" s="94"/>
      <c r="DKR64" s="94"/>
      <c r="DKS64" s="94"/>
      <c r="DKT64" s="94"/>
      <c r="DKU64" s="94"/>
      <c r="DKV64" s="94"/>
      <c r="DKW64" s="94"/>
      <c r="DKX64" s="94"/>
      <c r="DKY64" s="94"/>
      <c r="DKZ64" s="94"/>
      <c r="DLA64" s="94"/>
      <c r="DLB64" s="94"/>
      <c r="DLC64" s="94"/>
      <c r="DLD64" s="94"/>
      <c r="DLE64" s="94"/>
      <c r="DLF64" s="94"/>
      <c r="DLG64" s="94"/>
      <c r="DLH64" s="94"/>
      <c r="DLI64" s="94"/>
      <c r="DLJ64" s="94"/>
      <c r="DLK64" s="94"/>
      <c r="DLL64" s="94"/>
      <c r="DLM64" s="94"/>
      <c r="DLN64" s="94"/>
      <c r="DLO64" s="94"/>
      <c r="DLP64" s="94"/>
      <c r="DLQ64" s="94"/>
      <c r="DLR64" s="94"/>
      <c r="DLS64" s="94"/>
      <c r="DLT64" s="94"/>
      <c r="DLU64" s="94"/>
      <c r="DLV64" s="94"/>
      <c r="DLW64" s="94"/>
      <c r="DLX64" s="94"/>
      <c r="DLY64" s="94"/>
      <c r="DLZ64" s="94"/>
      <c r="DMA64" s="94"/>
      <c r="DMB64" s="94"/>
      <c r="DMC64" s="94"/>
      <c r="DMD64" s="94"/>
      <c r="DME64" s="94"/>
      <c r="DMF64" s="94"/>
      <c r="DMG64" s="94"/>
      <c r="DMH64" s="94"/>
      <c r="DMI64" s="94"/>
      <c r="DMJ64" s="94"/>
      <c r="DMK64" s="94"/>
      <c r="DML64" s="94"/>
      <c r="DMM64" s="94"/>
      <c r="DMN64" s="94"/>
      <c r="DMO64" s="94"/>
      <c r="DMP64" s="94"/>
      <c r="DMQ64" s="94"/>
      <c r="DMR64" s="94"/>
      <c r="DMS64" s="94"/>
      <c r="DMT64" s="94"/>
      <c r="DMU64" s="94"/>
      <c r="DMV64" s="94"/>
      <c r="DMW64" s="94"/>
      <c r="DMX64" s="94"/>
      <c r="DMY64" s="94"/>
      <c r="DMZ64" s="94"/>
      <c r="DNA64" s="94"/>
      <c r="DNB64" s="94"/>
      <c r="DNC64" s="94"/>
      <c r="DND64" s="94"/>
      <c r="DNE64" s="94"/>
      <c r="DNF64" s="94"/>
      <c r="DNG64" s="94"/>
      <c r="DNH64" s="94"/>
      <c r="DNI64" s="94"/>
      <c r="DNJ64" s="94"/>
      <c r="DNK64" s="94"/>
      <c r="DNL64" s="94"/>
      <c r="DNM64" s="94"/>
      <c r="DNN64" s="94"/>
      <c r="DNO64" s="94"/>
      <c r="DNP64" s="94"/>
      <c r="DNQ64" s="94"/>
      <c r="DNR64" s="94"/>
      <c r="DNS64" s="94"/>
      <c r="DNT64" s="94"/>
      <c r="DNU64" s="94"/>
      <c r="DNV64" s="94"/>
      <c r="DNW64" s="94"/>
      <c r="DNX64" s="94"/>
      <c r="DNY64" s="94"/>
      <c r="DNZ64" s="94"/>
      <c r="DOA64" s="94"/>
      <c r="DOB64" s="94"/>
      <c r="DOC64" s="94"/>
      <c r="DOD64" s="94"/>
      <c r="DOE64" s="94"/>
      <c r="DOF64" s="94"/>
      <c r="DOG64" s="94"/>
      <c r="DOH64" s="94"/>
      <c r="DOI64" s="94"/>
      <c r="DOJ64" s="94"/>
      <c r="DOK64" s="94"/>
      <c r="DOL64" s="94"/>
      <c r="DOM64" s="94"/>
      <c r="DON64" s="94"/>
      <c r="DOO64" s="94"/>
      <c r="DOP64" s="94"/>
      <c r="DOQ64" s="94"/>
      <c r="DOR64" s="94"/>
      <c r="DOS64" s="94"/>
      <c r="DOT64" s="94"/>
      <c r="DOU64" s="94"/>
      <c r="DOV64" s="94"/>
      <c r="DOW64" s="94"/>
      <c r="DOX64" s="94"/>
      <c r="DOY64" s="94"/>
      <c r="DOZ64" s="94"/>
      <c r="DPA64" s="94"/>
      <c r="DPB64" s="94"/>
      <c r="DPC64" s="94"/>
      <c r="DPD64" s="94"/>
      <c r="DPE64" s="94"/>
      <c r="DPF64" s="94"/>
      <c r="DPG64" s="94"/>
      <c r="DPH64" s="94"/>
      <c r="DPI64" s="94"/>
      <c r="DPJ64" s="94"/>
      <c r="DPK64" s="94"/>
      <c r="DPL64" s="94"/>
      <c r="DPM64" s="94"/>
      <c r="DPN64" s="94"/>
      <c r="DPO64" s="94"/>
      <c r="DPP64" s="94"/>
      <c r="DPQ64" s="94"/>
      <c r="DPR64" s="94"/>
      <c r="DPS64" s="94"/>
      <c r="DPT64" s="94"/>
      <c r="DPU64" s="94"/>
      <c r="DPV64" s="94"/>
      <c r="DPW64" s="94"/>
      <c r="DPX64" s="94"/>
      <c r="DPY64" s="94"/>
      <c r="DPZ64" s="94"/>
      <c r="DQA64" s="94"/>
      <c r="DQB64" s="94"/>
      <c r="DQC64" s="94"/>
      <c r="DQD64" s="94"/>
      <c r="DQE64" s="94"/>
      <c r="DQF64" s="94"/>
      <c r="DQG64" s="94"/>
      <c r="DQH64" s="94"/>
      <c r="DQI64" s="94"/>
      <c r="DQJ64" s="94"/>
      <c r="DQK64" s="94"/>
      <c r="DQL64" s="94"/>
      <c r="DQM64" s="94"/>
      <c r="DQN64" s="94"/>
      <c r="DQO64" s="94"/>
      <c r="DQP64" s="94"/>
      <c r="DQQ64" s="94"/>
      <c r="DQR64" s="94"/>
      <c r="DQS64" s="94"/>
      <c r="DQT64" s="94"/>
      <c r="DQU64" s="94"/>
      <c r="DQV64" s="94"/>
      <c r="DQW64" s="94"/>
      <c r="DQX64" s="94"/>
      <c r="DQY64" s="94"/>
      <c r="DQZ64" s="94"/>
      <c r="DRA64" s="94"/>
      <c r="DRB64" s="94"/>
      <c r="DRC64" s="94"/>
      <c r="DRD64" s="94"/>
      <c r="DRE64" s="94"/>
      <c r="DRF64" s="94"/>
      <c r="DRG64" s="94"/>
      <c r="DRH64" s="94"/>
      <c r="DRI64" s="94"/>
      <c r="DRJ64" s="94"/>
      <c r="DRK64" s="94"/>
      <c r="DRL64" s="94"/>
      <c r="DRM64" s="94"/>
      <c r="DRN64" s="94"/>
      <c r="DRO64" s="94"/>
      <c r="DRP64" s="94"/>
      <c r="DRQ64" s="94"/>
      <c r="DRR64" s="94"/>
      <c r="DRS64" s="94"/>
      <c r="DRT64" s="94"/>
      <c r="DRU64" s="94"/>
      <c r="DRV64" s="94"/>
      <c r="DRW64" s="94"/>
      <c r="DRX64" s="94"/>
      <c r="DRY64" s="94"/>
      <c r="DRZ64" s="94"/>
      <c r="DSA64" s="94"/>
      <c r="DSB64" s="94"/>
      <c r="DSC64" s="94"/>
      <c r="DSD64" s="94"/>
      <c r="DSE64" s="94"/>
      <c r="DSF64" s="94"/>
      <c r="DSG64" s="94"/>
      <c r="DSH64" s="94"/>
      <c r="DSI64" s="94"/>
      <c r="DSJ64" s="94"/>
      <c r="DSK64" s="94"/>
      <c r="DSL64" s="94"/>
      <c r="DSM64" s="94"/>
      <c r="DSN64" s="94"/>
      <c r="DSO64" s="94"/>
      <c r="DSP64" s="94"/>
      <c r="DSQ64" s="94"/>
      <c r="DSR64" s="94"/>
      <c r="DSS64" s="94"/>
      <c r="DST64" s="94"/>
      <c r="DSU64" s="94"/>
      <c r="DSV64" s="94"/>
      <c r="DSW64" s="94"/>
      <c r="DSX64" s="94"/>
      <c r="DSY64" s="94"/>
      <c r="DSZ64" s="94"/>
      <c r="DTA64" s="94"/>
      <c r="DTB64" s="94"/>
      <c r="DTC64" s="94"/>
      <c r="DTD64" s="94"/>
      <c r="DTE64" s="94"/>
      <c r="DTF64" s="94"/>
      <c r="DTG64" s="94"/>
      <c r="DTH64" s="94"/>
      <c r="DTI64" s="94"/>
      <c r="DTJ64" s="94"/>
      <c r="DTK64" s="94"/>
      <c r="DTL64" s="94"/>
      <c r="DTM64" s="94"/>
      <c r="DTN64" s="94"/>
      <c r="DTO64" s="94"/>
      <c r="DTP64" s="94"/>
      <c r="DTQ64" s="94"/>
      <c r="DTR64" s="94"/>
      <c r="DTS64" s="94"/>
      <c r="DTT64" s="94"/>
      <c r="DTU64" s="94"/>
      <c r="DTV64" s="94"/>
      <c r="DTW64" s="94"/>
      <c r="DTX64" s="94"/>
      <c r="DTY64" s="94"/>
      <c r="DTZ64" s="94"/>
      <c r="DUA64" s="94"/>
      <c r="DUB64" s="94"/>
      <c r="DUC64" s="94"/>
      <c r="DUD64" s="94"/>
      <c r="DUE64" s="94"/>
      <c r="DUF64" s="94"/>
      <c r="DUG64" s="94"/>
      <c r="DUH64" s="94"/>
      <c r="DUI64" s="94"/>
      <c r="DUJ64" s="94"/>
      <c r="DUK64" s="94"/>
      <c r="DUL64" s="94"/>
      <c r="DUM64" s="94"/>
      <c r="DUN64" s="94"/>
      <c r="DUO64" s="94"/>
      <c r="DUP64" s="94"/>
      <c r="DUQ64" s="94"/>
      <c r="DUR64" s="94"/>
      <c r="DUS64" s="94"/>
      <c r="DUT64" s="94"/>
      <c r="DUU64" s="94"/>
      <c r="DUV64" s="94"/>
      <c r="DUW64" s="94"/>
      <c r="DUX64" s="94"/>
      <c r="DUY64" s="94"/>
      <c r="DUZ64" s="94"/>
      <c r="DVA64" s="94"/>
      <c r="DVB64" s="94"/>
      <c r="DVC64" s="94"/>
      <c r="DVD64" s="94"/>
      <c r="DVE64" s="94"/>
      <c r="DVF64" s="94"/>
      <c r="DVG64" s="94"/>
      <c r="DVH64" s="94"/>
      <c r="DVI64" s="94"/>
      <c r="DVJ64" s="94"/>
      <c r="DVK64" s="94"/>
      <c r="DVL64" s="94"/>
      <c r="DVM64" s="94"/>
      <c r="DVN64" s="94"/>
      <c r="DVO64" s="94"/>
      <c r="DVP64" s="94"/>
      <c r="DVQ64" s="94"/>
      <c r="DVR64" s="94"/>
      <c r="DVS64" s="94"/>
      <c r="DVT64" s="94"/>
      <c r="DVU64" s="94"/>
      <c r="DVV64" s="94"/>
      <c r="DVW64" s="94"/>
      <c r="DVX64" s="94"/>
      <c r="DVY64" s="94"/>
      <c r="DVZ64" s="94"/>
      <c r="DWA64" s="94"/>
      <c r="DWB64" s="94"/>
      <c r="DWC64" s="94"/>
      <c r="DWD64" s="94"/>
      <c r="DWE64" s="94"/>
      <c r="DWF64" s="94"/>
      <c r="DWG64" s="94"/>
      <c r="DWH64" s="94"/>
      <c r="DWI64" s="94"/>
      <c r="DWJ64" s="94"/>
      <c r="DWK64" s="94"/>
      <c r="DWL64" s="94"/>
      <c r="DWM64" s="94"/>
      <c r="DWN64" s="94"/>
      <c r="DWO64" s="94"/>
      <c r="DWP64" s="94"/>
      <c r="DWQ64" s="94"/>
      <c r="DWR64" s="94"/>
      <c r="DWS64" s="94"/>
      <c r="DWT64" s="94"/>
      <c r="DWU64" s="94"/>
      <c r="DWV64" s="94"/>
      <c r="DWW64" s="94"/>
      <c r="DWX64" s="94"/>
      <c r="DWY64" s="94"/>
      <c r="DWZ64" s="94"/>
      <c r="DXA64" s="94"/>
      <c r="DXB64" s="94"/>
      <c r="DXC64" s="94"/>
      <c r="DXD64" s="94"/>
      <c r="DXE64" s="94"/>
      <c r="DXF64" s="94"/>
      <c r="DXG64" s="94"/>
      <c r="DXH64" s="94"/>
      <c r="DXI64" s="94"/>
      <c r="DXJ64" s="94"/>
      <c r="DXK64" s="94"/>
      <c r="DXL64" s="94"/>
      <c r="DXM64" s="94"/>
      <c r="DXN64" s="94"/>
      <c r="DXO64" s="94"/>
      <c r="DXP64" s="94"/>
      <c r="DXQ64" s="94"/>
      <c r="DXR64" s="94"/>
      <c r="DXS64" s="94"/>
      <c r="DXT64" s="94"/>
      <c r="DXU64" s="94"/>
      <c r="DXV64" s="94"/>
      <c r="DXW64" s="94"/>
      <c r="DXX64" s="94"/>
      <c r="DXY64" s="94"/>
      <c r="DXZ64" s="94"/>
      <c r="DYA64" s="94"/>
      <c r="DYB64" s="94"/>
      <c r="DYC64" s="94"/>
      <c r="DYD64" s="94"/>
      <c r="DYE64" s="94"/>
      <c r="DYF64" s="94"/>
      <c r="DYG64" s="94"/>
      <c r="DYH64" s="94"/>
      <c r="DYI64" s="94"/>
      <c r="DYJ64" s="94"/>
      <c r="DYK64" s="94"/>
      <c r="DYL64" s="94"/>
      <c r="DYM64" s="94"/>
      <c r="DYN64" s="94"/>
      <c r="DYO64" s="94"/>
      <c r="DYP64" s="94"/>
      <c r="DYQ64" s="94"/>
      <c r="DYR64" s="94"/>
      <c r="DYS64" s="94"/>
      <c r="DYT64" s="94"/>
      <c r="DYU64" s="94"/>
      <c r="DYV64" s="94"/>
      <c r="DYW64" s="94"/>
      <c r="DYX64" s="94"/>
      <c r="DYY64" s="94"/>
      <c r="DYZ64" s="94"/>
      <c r="DZA64" s="94"/>
      <c r="DZB64" s="94"/>
      <c r="DZC64" s="94"/>
      <c r="DZD64" s="94"/>
      <c r="DZE64" s="94"/>
      <c r="DZF64" s="94"/>
      <c r="DZG64" s="94"/>
      <c r="DZH64" s="94"/>
      <c r="DZI64" s="94"/>
      <c r="DZJ64" s="94"/>
      <c r="DZK64" s="94"/>
      <c r="DZL64" s="94"/>
      <c r="DZM64" s="94"/>
      <c r="DZN64" s="94"/>
      <c r="DZO64" s="94"/>
      <c r="DZP64" s="94"/>
      <c r="DZQ64" s="94"/>
      <c r="DZR64" s="94"/>
      <c r="DZS64" s="94"/>
      <c r="DZT64" s="94"/>
      <c r="DZU64" s="94"/>
      <c r="DZV64" s="94"/>
      <c r="DZW64" s="94"/>
      <c r="DZX64" s="94"/>
      <c r="DZY64" s="94"/>
      <c r="DZZ64" s="94"/>
      <c r="EAA64" s="94"/>
      <c r="EAB64" s="94"/>
      <c r="EAC64" s="94"/>
      <c r="EAD64" s="94"/>
      <c r="EAE64" s="94"/>
      <c r="EAF64" s="94"/>
      <c r="EAG64" s="94"/>
      <c r="EAH64" s="94"/>
      <c r="EAI64" s="94"/>
      <c r="EAJ64" s="94"/>
      <c r="EAK64" s="94"/>
      <c r="EAL64" s="94"/>
      <c r="EAM64" s="94"/>
      <c r="EAN64" s="94"/>
      <c r="EAO64" s="94"/>
      <c r="EAP64" s="94"/>
      <c r="EAQ64" s="94"/>
      <c r="EAR64" s="94"/>
      <c r="EAS64" s="94"/>
      <c r="EAT64" s="94"/>
      <c r="EAU64" s="94"/>
      <c r="EAV64" s="94"/>
      <c r="EAW64" s="94"/>
      <c r="EAX64" s="94"/>
      <c r="EAY64" s="94"/>
      <c r="EAZ64" s="94"/>
      <c r="EBA64" s="94"/>
      <c r="EBB64" s="94"/>
      <c r="EBC64" s="94"/>
      <c r="EBD64" s="94"/>
      <c r="EBE64" s="94"/>
      <c r="EBF64" s="94"/>
      <c r="EBG64" s="94"/>
      <c r="EBH64" s="94"/>
      <c r="EBI64" s="94"/>
      <c r="EBJ64" s="94"/>
      <c r="EBK64" s="94"/>
      <c r="EBL64" s="94"/>
      <c r="EBM64" s="94"/>
      <c r="EBN64" s="94"/>
      <c r="EBO64" s="94"/>
      <c r="EBP64" s="94"/>
      <c r="EBQ64" s="94"/>
      <c r="EBR64" s="94"/>
      <c r="EBS64" s="94"/>
      <c r="EBT64" s="94"/>
      <c r="EBU64" s="94"/>
      <c r="EBV64" s="94"/>
      <c r="EBW64" s="94"/>
      <c r="EBX64" s="94"/>
      <c r="EBY64" s="94"/>
      <c r="EBZ64" s="94"/>
      <c r="ECA64" s="94"/>
      <c r="ECB64" s="94"/>
      <c r="ECC64" s="94"/>
      <c r="ECD64" s="94"/>
      <c r="ECE64" s="94"/>
      <c r="ECF64" s="94"/>
      <c r="ECG64" s="94"/>
      <c r="ECH64" s="94"/>
      <c r="ECI64" s="94"/>
      <c r="ECJ64" s="94"/>
      <c r="ECK64" s="94"/>
      <c r="ECL64" s="94"/>
      <c r="ECM64" s="94"/>
      <c r="ECN64" s="94"/>
      <c r="ECO64" s="94"/>
      <c r="ECP64" s="94"/>
      <c r="ECQ64" s="94"/>
      <c r="ECR64" s="94"/>
      <c r="ECS64" s="94"/>
      <c r="ECT64" s="94"/>
      <c r="ECU64" s="94"/>
      <c r="ECV64" s="94"/>
      <c r="ECW64" s="94"/>
      <c r="ECX64" s="94"/>
      <c r="ECY64" s="94"/>
      <c r="ECZ64" s="94"/>
      <c r="EDA64" s="94"/>
      <c r="EDB64" s="94"/>
      <c r="EDC64" s="94"/>
      <c r="EDD64" s="94"/>
      <c r="EDE64" s="94"/>
      <c r="EDF64" s="94"/>
      <c r="EDG64" s="94"/>
      <c r="EDH64" s="94"/>
      <c r="EDI64" s="94"/>
      <c r="EDJ64" s="94"/>
      <c r="EDK64" s="94"/>
      <c r="EDL64" s="94"/>
      <c r="EDM64" s="94"/>
      <c r="EDN64" s="94"/>
      <c r="EDO64" s="94"/>
      <c r="EDP64" s="94"/>
      <c r="EDQ64" s="94"/>
      <c r="EDR64" s="94"/>
      <c r="EDS64" s="94"/>
      <c r="EDT64" s="94"/>
      <c r="EDU64" s="94"/>
      <c r="EDV64" s="94"/>
      <c r="EDW64" s="94"/>
      <c r="EDX64" s="94"/>
      <c r="EDY64" s="94"/>
      <c r="EDZ64" s="94"/>
      <c r="EEA64" s="94"/>
      <c r="EEB64" s="94"/>
      <c r="EEC64" s="94"/>
      <c r="EED64" s="94"/>
      <c r="EEE64" s="94"/>
      <c r="EEF64" s="94"/>
      <c r="EEG64" s="94"/>
      <c r="EEH64" s="94"/>
      <c r="EEI64" s="94"/>
      <c r="EEJ64" s="94"/>
      <c r="EEK64" s="94"/>
      <c r="EEL64" s="94"/>
      <c r="EEM64" s="94"/>
      <c r="EEN64" s="94"/>
      <c r="EEO64" s="94"/>
      <c r="EEP64" s="94"/>
      <c r="EEQ64" s="94"/>
      <c r="EER64" s="94"/>
      <c r="EES64" s="94"/>
      <c r="EET64" s="94"/>
      <c r="EEU64" s="94"/>
      <c r="EEV64" s="94"/>
      <c r="EEW64" s="94"/>
      <c r="EEX64" s="94"/>
      <c r="EEY64" s="94"/>
      <c r="EEZ64" s="94"/>
      <c r="EFA64" s="94"/>
      <c r="EFB64" s="94"/>
      <c r="EFC64" s="94"/>
      <c r="EFD64" s="94"/>
      <c r="EFE64" s="94"/>
      <c r="EFF64" s="94"/>
      <c r="EFG64" s="94"/>
      <c r="EFH64" s="94"/>
      <c r="EFI64" s="94"/>
      <c r="EFJ64" s="94"/>
      <c r="EFK64" s="94"/>
      <c r="EFL64" s="94"/>
      <c r="EFM64" s="94"/>
      <c r="EFN64" s="94"/>
      <c r="EFO64" s="94"/>
      <c r="EFP64" s="94"/>
      <c r="EFQ64" s="94"/>
      <c r="EFR64" s="94"/>
      <c r="EFS64" s="94"/>
      <c r="EFT64" s="94"/>
      <c r="EFU64" s="94"/>
      <c r="EFV64" s="94"/>
      <c r="EFW64" s="94"/>
      <c r="EFX64" s="94"/>
      <c r="EFY64" s="94"/>
      <c r="EFZ64" s="94"/>
      <c r="EGA64" s="94"/>
      <c r="EGB64" s="94"/>
      <c r="EGC64" s="94"/>
      <c r="EGD64" s="94"/>
      <c r="EGE64" s="94"/>
      <c r="EGF64" s="94"/>
      <c r="EGG64" s="94"/>
      <c r="EGH64" s="94"/>
      <c r="EGI64" s="94"/>
      <c r="EGJ64" s="94"/>
      <c r="EGK64" s="94"/>
      <c r="EGL64" s="94"/>
      <c r="EGM64" s="94"/>
      <c r="EGN64" s="94"/>
      <c r="EGO64" s="94"/>
      <c r="EGP64" s="94"/>
      <c r="EGQ64" s="94"/>
      <c r="EGR64" s="94"/>
      <c r="EGS64" s="94"/>
      <c r="EGT64" s="94"/>
      <c r="EGU64" s="94"/>
      <c r="EGV64" s="94"/>
      <c r="EGW64" s="94"/>
      <c r="EGX64" s="94"/>
      <c r="EGY64" s="94"/>
      <c r="EGZ64" s="94"/>
      <c r="EHA64" s="94"/>
      <c r="EHB64" s="94"/>
      <c r="EHC64" s="94"/>
      <c r="EHD64" s="94"/>
      <c r="EHE64" s="94"/>
      <c r="EHF64" s="94"/>
      <c r="EHG64" s="94"/>
      <c r="EHH64" s="94"/>
      <c r="EHI64" s="94"/>
      <c r="EHJ64" s="94"/>
      <c r="EHK64" s="94"/>
      <c r="EHL64" s="94"/>
      <c r="EHM64" s="94"/>
      <c r="EHN64" s="94"/>
      <c r="EHO64" s="94"/>
      <c r="EHP64" s="94"/>
      <c r="EHQ64" s="94"/>
      <c r="EHR64" s="94"/>
      <c r="EHS64" s="94"/>
      <c r="EHT64" s="94"/>
      <c r="EHU64" s="94"/>
      <c r="EHV64" s="94"/>
      <c r="EHW64" s="94"/>
      <c r="EHX64" s="94"/>
      <c r="EHY64" s="94"/>
      <c r="EHZ64" s="94"/>
      <c r="EIA64" s="94"/>
      <c r="EIB64" s="94"/>
      <c r="EIC64" s="94"/>
      <c r="EID64" s="94"/>
      <c r="EIE64" s="94"/>
      <c r="EIF64" s="94"/>
      <c r="EIG64" s="94"/>
      <c r="EIH64" s="94"/>
      <c r="EII64" s="94"/>
      <c r="EIJ64" s="94"/>
      <c r="EIK64" s="94"/>
      <c r="EIL64" s="94"/>
      <c r="EIM64" s="94"/>
      <c r="EIN64" s="94"/>
      <c r="EIO64" s="94"/>
      <c r="EIP64" s="94"/>
      <c r="EIQ64" s="94"/>
      <c r="EIR64" s="94"/>
      <c r="EIS64" s="94"/>
      <c r="EIT64" s="94"/>
      <c r="EIU64" s="94"/>
      <c r="EIV64" s="94"/>
      <c r="EIW64" s="94"/>
      <c r="EIX64" s="94"/>
      <c r="EIY64" s="94"/>
      <c r="EIZ64" s="94"/>
      <c r="EJA64" s="94"/>
      <c r="EJB64" s="94"/>
      <c r="EJC64" s="94"/>
      <c r="EJD64" s="94"/>
      <c r="EJE64" s="94"/>
      <c r="EJF64" s="94"/>
      <c r="EJG64" s="94"/>
      <c r="EJH64" s="94"/>
      <c r="EJI64" s="94"/>
      <c r="EJJ64" s="94"/>
      <c r="EJK64" s="94"/>
      <c r="EJL64" s="94"/>
      <c r="EJM64" s="94"/>
      <c r="EJN64" s="94"/>
      <c r="EJO64" s="94"/>
      <c r="EJP64" s="94"/>
      <c r="EJQ64" s="94"/>
      <c r="EJR64" s="94"/>
      <c r="EJS64" s="94"/>
      <c r="EJT64" s="94"/>
      <c r="EJU64" s="94"/>
      <c r="EJV64" s="94"/>
      <c r="EJW64" s="94"/>
      <c r="EJX64" s="94"/>
      <c r="EJY64" s="94"/>
      <c r="EJZ64" s="94"/>
      <c r="EKA64" s="94"/>
      <c r="EKB64" s="94"/>
      <c r="EKC64" s="94"/>
      <c r="EKD64" s="94"/>
      <c r="EKE64" s="94"/>
      <c r="EKF64" s="94"/>
      <c r="EKG64" s="94"/>
      <c r="EKH64" s="94"/>
      <c r="EKI64" s="94"/>
      <c r="EKJ64" s="94"/>
      <c r="EKK64" s="94"/>
      <c r="EKL64" s="94"/>
      <c r="EKM64" s="94"/>
      <c r="EKN64" s="94"/>
      <c r="EKO64" s="94"/>
      <c r="EKP64" s="94"/>
      <c r="EKQ64" s="94"/>
      <c r="EKR64" s="94"/>
      <c r="EKS64" s="94"/>
      <c r="EKT64" s="94"/>
      <c r="EKU64" s="94"/>
      <c r="EKV64" s="94"/>
      <c r="EKW64" s="94"/>
      <c r="EKX64" s="94"/>
      <c r="EKY64" s="94"/>
      <c r="EKZ64" s="94"/>
      <c r="ELA64" s="94"/>
      <c r="ELB64" s="94"/>
      <c r="ELC64" s="94"/>
      <c r="ELD64" s="94"/>
      <c r="ELE64" s="94"/>
      <c r="ELF64" s="94"/>
      <c r="ELG64" s="94"/>
      <c r="ELH64" s="94"/>
      <c r="ELI64" s="94"/>
      <c r="ELJ64" s="94"/>
      <c r="ELK64" s="94"/>
      <c r="ELL64" s="94"/>
      <c r="ELM64" s="94"/>
      <c r="ELN64" s="94"/>
      <c r="ELO64" s="94"/>
      <c r="ELP64" s="94"/>
      <c r="ELQ64" s="94"/>
      <c r="ELR64" s="94"/>
      <c r="ELS64" s="94"/>
      <c r="ELT64" s="94"/>
      <c r="ELU64" s="94"/>
      <c r="ELV64" s="94"/>
      <c r="ELW64" s="94"/>
      <c r="ELX64" s="94"/>
      <c r="ELY64" s="94"/>
      <c r="ELZ64" s="94"/>
      <c r="EMA64" s="94"/>
      <c r="EMB64" s="94"/>
      <c r="EMC64" s="94"/>
      <c r="EMD64" s="94"/>
      <c r="EME64" s="94"/>
      <c r="EMF64" s="94"/>
      <c r="EMG64" s="94"/>
      <c r="EMH64" s="94"/>
      <c r="EMI64" s="94"/>
      <c r="EMJ64" s="94"/>
      <c r="EMK64" s="94"/>
      <c r="EML64" s="94"/>
      <c r="EMM64" s="94"/>
      <c r="EMN64" s="94"/>
      <c r="EMO64" s="94"/>
      <c r="EMP64" s="94"/>
      <c r="EMQ64" s="94"/>
      <c r="EMR64" s="94"/>
      <c r="EMS64" s="94"/>
      <c r="EMT64" s="94"/>
      <c r="EMU64" s="94"/>
      <c r="EMV64" s="94"/>
      <c r="EMW64" s="94"/>
      <c r="EMX64" s="94"/>
      <c r="EMY64" s="94"/>
      <c r="EMZ64" s="94"/>
      <c r="ENA64" s="94"/>
      <c r="ENB64" s="94"/>
      <c r="ENC64" s="94"/>
      <c r="END64" s="94"/>
      <c r="ENE64" s="94"/>
      <c r="ENF64" s="94"/>
      <c r="ENG64" s="94"/>
      <c r="ENH64" s="94"/>
      <c r="ENI64" s="94"/>
      <c r="ENJ64" s="94"/>
      <c r="ENK64" s="94"/>
      <c r="ENL64" s="94"/>
      <c r="ENM64" s="94"/>
      <c r="ENN64" s="94"/>
      <c r="ENO64" s="94"/>
      <c r="ENP64" s="94"/>
      <c r="ENQ64" s="94"/>
      <c r="ENR64" s="94"/>
      <c r="ENS64" s="94"/>
      <c r="ENT64" s="94"/>
      <c r="ENU64" s="94"/>
      <c r="ENV64" s="94"/>
      <c r="ENW64" s="94"/>
      <c r="ENX64" s="94"/>
      <c r="ENY64" s="94"/>
      <c r="ENZ64" s="94"/>
      <c r="EOA64" s="94"/>
      <c r="EOB64" s="94"/>
      <c r="EOC64" s="94"/>
      <c r="EOD64" s="94"/>
      <c r="EOE64" s="94"/>
      <c r="EOF64" s="94"/>
      <c r="EOG64" s="94"/>
      <c r="EOH64" s="94"/>
      <c r="EOI64" s="94"/>
      <c r="EOJ64" s="94"/>
      <c r="EOK64" s="94"/>
      <c r="EOL64" s="94"/>
      <c r="EOM64" s="94"/>
      <c r="EON64" s="94"/>
      <c r="EOO64" s="94"/>
      <c r="EOP64" s="94"/>
      <c r="EOQ64" s="94"/>
      <c r="EOR64" s="94"/>
      <c r="EOS64" s="94"/>
      <c r="EOT64" s="94"/>
      <c r="EOU64" s="94"/>
      <c r="EOV64" s="94"/>
      <c r="EOW64" s="94"/>
      <c r="EOX64" s="94"/>
      <c r="EOY64" s="94"/>
      <c r="EOZ64" s="94"/>
      <c r="EPA64" s="94"/>
      <c r="EPB64" s="94"/>
      <c r="EPC64" s="94"/>
      <c r="EPD64" s="94"/>
      <c r="EPE64" s="94"/>
      <c r="EPF64" s="94"/>
      <c r="EPG64" s="94"/>
      <c r="EPH64" s="94"/>
      <c r="EPI64" s="94"/>
      <c r="EPJ64" s="94"/>
      <c r="EPK64" s="94"/>
      <c r="EPL64" s="94"/>
      <c r="EPM64" s="94"/>
      <c r="EPN64" s="94"/>
      <c r="EPO64" s="94"/>
      <c r="EPP64" s="94"/>
      <c r="EPQ64" s="94"/>
      <c r="EPR64" s="94"/>
      <c r="EPS64" s="94"/>
      <c r="EPT64" s="94"/>
      <c r="EPU64" s="94"/>
      <c r="EPV64" s="94"/>
      <c r="EPW64" s="94"/>
      <c r="EPX64" s="94"/>
      <c r="EPY64" s="94"/>
      <c r="EPZ64" s="94"/>
      <c r="EQA64" s="94"/>
      <c r="EQB64" s="94"/>
      <c r="EQC64" s="94"/>
      <c r="EQD64" s="94"/>
      <c r="EQE64" s="94"/>
      <c r="EQF64" s="94"/>
      <c r="EQG64" s="94"/>
      <c r="EQH64" s="94"/>
      <c r="EQI64" s="94"/>
      <c r="EQJ64" s="94"/>
      <c r="EQK64" s="94"/>
      <c r="EQL64" s="94"/>
      <c r="EQM64" s="94"/>
      <c r="EQN64" s="94"/>
      <c r="EQO64" s="94"/>
      <c r="EQP64" s="94"/>
      <c r="EQQ64" s="94"/>
      <c r="EQR64" s="94"/>
      <c r="EQS64" s="94"/>
      <c r="EQT64" s="94"/>
      <c r="EQU64" s="94"/>
      <c r="EQV64" s="94"/>
      <c r="EQW64" s="94"/>
      <c r="EQX64" s="94"/>
      <c r="EQY64" s="94"/>
      <c r="EQZ64" s="94"/>
      <c r="ERA64" s="94"/>
      <c r="ERB64" s="94"/>
      <c r="ERC64" s="94"/>
      <c r="ERD64" s="94"/>
      <c r="ERE64" s="94"/>
      <c r="ERF64" s="94"/>
      <c r="ERG64" s="94"/>
      <c r="ERH64" s="94"/>
      <c r="ERI64" s="94"/>
      <c r="ERJ64" s="94"/>
      <c r="ERK64" s="94"/>
      <c r="ERL64" s="94"/>
      <c r="ERM64" s="94"/>
      <c r="ERN64" s="94"/>
      <c r="ERO64" s="94"/>
      <c r="ERP64" s="94"/>
      <c r="ERQ64" s="94"/>
      <c r="ERR64" s="94"/>
      <c r="ERS64" s="94"/>
      <c r="ERT64" s="94"/>
      <c r="ERU64" s="94"/>
      <c r="ERV64" s="94"/>
      <c r="ERW64" s="94"/>
      <c r="ERX64" s="94"/>
      <c r="ERY64" s="94"/>
      <c r="ERZ64" s="94"/>
      <c r="ESA64" s="94"/>
      <c r="ESB64" s="94"/>
      <c r="ESC64" s="94"/>
      <c r="ESD64" s="94"/>
      <c r="ESE64" s="94"/>
      <c r="ESF64" s="94"/>
      <c r="ESG64" s="94"/>
      <c r="ESH64" s="94"/>
      <c r="ESI64" s="94"/>
      <c r="ESJ64" s="94"/>
      <c r="ESK64" s="94"/>
      <c r="ESL64" s="94"/>
      <c r="ESM64" s="94"/>
      <c r="ESN64" s="94"/>
      <c r="ESO64" s="94"/>
      <c r="ESP64" s="94"/>
      <c r="ESQ64" s="94"/>
      <c r="ESR64" s="94"/>
      <c r="ESS64" s="94"/>
      <c r="EST64" s="94"/>
      <c r="ESU64" s="94"/>
      <c r="ESV64" s="94"/>
      <c r="ESW64" s="94"/>
      <c r="ESX64" s="94"/>
      <c r="ESY64" s="94"/>
      <c r="ESZ64" s="94"/>
      <c r="ETA64" s="94"/>
      <c r="ETB64" s="94"/>
      <c r="ETC64" s="94"/>
      <c r="ETD64" s="94"/>
      <c r="ETE64" s="94"/>
      <c r="ETF64" s="94"/>
      <c r="ETG64" s="94"/>
      <c r="ETH64" s="94"/>
      <c r="ETI64" s="94"/>
      <c r="ETJ64" s="94"/>
      <c r="ETK64" s="94"/>
      <c r="ETL64" s="94"/>
      <c r="ETM64" s="94"/>
      <c r="ETN64" s="94"/>
      <c r="ETO64" s="94"/>
      <c r="ETP64" s="94"/>
      <c r="ETQ64" s="94"/>
      <c r="ETR64" s="94"/>
      <c r="ETS64" s="94"/>
      <c r="ETT64" s="94"/>
      <c r="ETU64" s="94"/>
      <c r="ETV64" s="94"/>
      <c r="ETW64" s="94"/>
      <c r="ETX64" s="94"/>
      <c r="ETY64" s="94"/>
      <c r="ETZ64" s="94"/>
      <c r="EUA64" s="94"/>
      <c r="EUB64" s="94"/>
      <c r="EUC64" s="94"/>
      <c r="EUD64" s="94"/>
      <c r="EUE64" s="94"/>
      <c r="EUF64" s="94"/>
      <c r="EUG64" s="94"/>
      <c r="EUH64" s="94"/>
      <c r="EUI64" s="94"/>
      <c r="EUJ64" s="94"/>
      <c r="EUK64" s="94"/>
      <c r="EUL64" s="94"/>
      <c r="EUM64" s="94"/>
      <c r="EUN64" s="94"/>
      <c r="EUO64" s="94"/>
      <c r="EUP64" s="94"/>
      <c r="EUQ64" s="94"/>
      <c r="EUR64" s="94"/>
      <c r="EUS64" s="94"/>
      <c r="EUT64" s="94"/>
      <c r="EUU64" s="94"/>
      <c r="EUV64" s="94"/>
      <c r="EUW64" s="94"/>
      <c r="EUX64" s="94"/>
      <c r="EUY64" s="94"/>
      <c r="EUZ64" s="94"/>
      <c r="EVA64" s="94"/>
      <c r="EVB64" s="94"/>
      <c r="EVC64" s="94"/>
      <c r="EVD64" s="94"/>
      <c r="EVE64" s="94"/>
      <c r="EVF64" s="94"/>
      <c r="EVG64" s="94"/>
      <c r="EVH64" s="94"/>
      <c r="EVI64" s="94"/>
      <c r="EVJ64" s="94"/>
      <c r="EVK64" s="94"/>
      <c r="EVL64" s="94"/>
      <c r="EVM64" s="94"/>
      <c r="EVN64" s="94"/>
      <c r="EVO64" s="94"/>
      <c r="EVP64" s="94"/>
      <c r="EVQ64" s="94"/>
      <c r="EVR64" s="94"/>
      <c r="EVS64" s="94"/>
      <c r="EVT64" s="94"/>
      <c r="EVU64" s="94"/>
      <c r="EVV64" s="94"/>
      <c r="EVW64" s="94"/>
      <c r="EVX64" s="94"/>
      <c r="EVY64" s="94"/>
      <c r="EVZ64" s="94"/>
      <c r="EWA64" s="94"/>
      <c r="EWB64" s="94"/>
      <c r="EWC64" s="94"/>
      <c r="EWD64" s="94"/>
      <c r="EWE64" s="94"/>
      <c r="EWF64" s="94"/>
      <c r="EWG64" s="94"/>
      <c r="EWH64" s="94"/>
      <c r="EWI64" s="94"/>
      <c r="EWJ64" s="94"/>
      <c r="EWK64" s="94"/>
      <c r="EWL64" s="94"/>
      <c r="EWM64" s="94"/>
      <c r="EWN64" s="94"/>
      <c r="EWO64" s="94"/>
      <c r="EWP64" s="94"/>
      <c r="EWQ64" s="94"/>
      <c r="EWR64" s="94"/>
      <c r="EWS64" s="94"/>
      <c r="EWT64" s="94"/>
      <c r="EWU64" s="94"/>
      <c r="EWV64" s="94"/>
      <c r="EWW64" s="94"/>
      <c r="EWX64" s="94"/>
      <c r="EWY64" s="94"/>
      <c r="EWZ64" s="94"/>
      <c r="EXA64" s="94"/>
      <c r="EXB64" s="94"/>
      <c r="EXC64" s="94"/>
      <c r="EXD64" s="94"/>
      <c r="EXE64" s="94"/>
      <c r="EXF64" s="94"/>
      <c r="EXG64" s="94"/>
      <c r="EXH64" s="94"/>
      <c r="EXI64" s="94"/>
      <c r="EXJ64" s="94"/>
      <c r="EXK64" s="94"/>
      <c r="EXL64" s="94"/>
      <c r="EXM64" s="94"/>
      <c r="EXN64" s="94"/>
      <c r="EXO64" s="94"/>
      <c r="EXP64" s="94"/>
      <c r="EXQ64" s="94"/>
      <c r="EXR64" s="94"/>
      <c r="EXS64" s="94"/>
      <c r="EXT64" s="94"/>
      <c r="EXU64" s="94"/>
      <c r="EXV64" s="94"/>
      <c r="EXW64" s="94"/>
      <c r="EXX64" s="94"/>
      <c r="EXY64" s="94"/>
      <c r="EXZ64" s="94"/>
      <c r="EYA64" s="94"/>
      <c r="EYB64" s="94"/>
      <c r="EYC64" s="94"/>
      <c r="EYD64" s="94"/>
      <c r="EYE64" s="94"/>
      <c r="EYF64" s="94"/>
      <c r="EYG64" s="94"/>
      <c r="EYH64" s="94"/>
      <c r="EYI64" s="94"/>
      <c r="EYJ64" s="94"/>
      <c r="EYK64" s="94"/>
      <c r="EYL64" s="94"/>
      <c r="EYM64" s="94"/>
      <c r="EYN64" s="94"/>
      <c r="EYO64" s="94"/>
      <c r="EYP64" s="94"/>
      <c r="EYQ64" s="94"/>
      <c r="EYR64" s="94"/>
      <c r="EYS64" s="94"/>
      <c r="EYT64" s="94"/>
      <c r="EYU64" s="94"/>
      <c r="EYV64" s="94"/>
      <c r="EYW64" s="94"/>
      <c r="EYX64" s="94"/>
      <c r="EYY64" s="94"/>
      <c r="EYZ64" s="94"/>
      <c r="EZA64" s="94"/>
      <c r="EZB64" s="94"/>
      <c r="EZC64" s="94"/>
      <c r="EZD64" s="94"/>
      <c r="EZE64" s="94"/>
      <c r="EZF64" s="94"/>
      <c r="EZG64" s="94"/>
      <c r="EZH64" s="94"/>
      <c r="EZI64" s="94"/>
      <c r="EZJ64" s="94"/>
      <c r="EZK64" s="94"/>
      <c r="EZL64" s="94"/>
      <c r="EZM64" s="94"/>
      <c r="EZN64" s="94"/>
      <c r="EZO64" s="94"/>
      <c r="EZP64" s="94"/>
      <c r="EZQ64" s="94"/>
      <c r="EZR64" s="94"/>
      <c r="EZS64" s="94"/>
      <c r="EZT64" s="94"/>
      <c r="EZU64" s="94"/>
      <c r="EZV64" s="94"/>
      <c r="EZW64" s="94"/>
      <c r="EZX64" s="94"/>
      <c r="EZY64" s="94"/>
      <c r="EZZ64" s="94"/>
      <c r="FAA64" s="94"/>
      <c r="FAB64" s="94"/>
      <c r="FAC64" s="94"/>
      <c r="FAD64" s="94"/>
      <c r="FAE64" s="94"/>
      <c r="FAF64" s="94"/>
      <c r="FAG64" s="94"/>
      <c r="FAH64" s="94"/>
      <c r="FAI64" s="94"/>
      <c r="FAJ64" s="94"/>
      <c r="FAK64" s="94"/>
      <c r="FAL64" s="94"/>
      <c r="FAM64" s="94"/>
      <c r="FAN64" s="94"/>
      <c r="FAO64" s="94"/>
      <c r="FAP64" s="94"/>
      <c r="FAQ64" s="94"/>
      <c r="FAR64" s="94"/>
      <c r="FAS64" s="94"/>
      <c r="FAT64" s="94"/>
      <c r="FAU64" s="94"/>
      <c r="FAV64" s="94"/>
      <c r="FAW64" s="94"/>
      <c r="FAX64" s="94"/>
      <c r="FAY64" s="94"/>
      <c r="FAZ64" s="94"/>
      <c r="FBA64" s="94"/>
      <c r="FBB64" s="94"/>
      <c r="FBC64" s="94"/>
      <c r="FBD64" s="94"/>
      <c r="FBE64" s="94"/>
      <c r="FBF64" s="94"/>
      <c r="FBG64" s="94"/>
      <c r="FBH64" s="94"/>
      <c r="FBI64" s="94"/>
      <c r="FBJ64" s="94"/>
      <c r="FBK64" s="94"/>
      <c r="FBL64" s="94"/>
      <c r="FBM64" s="94"/>
      <c r="FBN64" s="94"/>
      <c r="FBO64" s="94"/>
      <c r="FBP64" s="94"/>
      <c r="FBQ64" s="94"/>
      <c r="FBR64" s="94"/>
      <c r="FBS64" s="94"/>
      <c r="FBT64" s="94"/>
      <c r="FBU64" s="94"/>
      <c r="FBV64" s="94"/>
      <c r="FBW64" s="94"/>
      <c r="FBX64" s="94"/>
      <c r="FBY64" s="94"/>
      <c r="FBZ64" s="94"/>
      <c r="FCA64" s="94"/>
      <c r="FCB64" s="94"/>
      <c r="FCC64" s="94"/>
      <c r="FCD64" s="94"/>
      <c r="FCE64" s="94"/>
      <c r="FCF64" s="94"/>
      <c r="FCG64" s="94"/>
      <c r="FCH64" s="94"/>
      <c r="FCI64" s="94"/>
      <c r="FCJ64" s="94"/>
      <c r="FCK64" s="94"/>
      <c r="FCL64" s="94"/>
      <c r="FCM64" s="94"/>
      <c r="FCN64" s="94"/>
      <c r="FCO64" s="94"/>
      <c r="FCP64" s="94"/>
      <c r="FCQ64" s="94"/>
      <c r="FCR64" s="94"/>
      <c r="FCS64" s="94"/>
      <c r="FCT64" s="94"/>
      <c r="FCU64" s="94"/>
      <c r="FCV64" s="94"/>
      <c r="FCW64" s="94"/>
      <c r="FCX64" s="94"/>
      <c r="FCY64" s="94"/>
      <c r="FCZ64" s="94"/>
      <c r="FDA64" s="94"/>
      <c r="FDB64" s="94"/>
      <c r="FDC64" s="94"/>
      <c r="FDD64" s="94"/>
      <c r="FDE64" s="94"/>
      <c r="FDF64" s="94"/>
      <c r="FDG64" s="94"/>
      <c r="FDH64" s="94"/>
      <c r="FDI64" s="94"/>
      <c r="FDJ64" s="94"/>
      <c r="FDK64" s="94"/>
      <c r="FDL64" s="94"/>
      <c r="FDM64" s="94"/>
      <c r="FDN64" s="94"/>
      <c r="FDO64" s="94"/>
      <c r="FDP64" s="94"/>
      <c r="FDQ64" s="94"/>
      <c r="FDR64" s="94"/>
      <c r="FDS64" s="94"/>
      <c r="FDT64" s="94"/>
      <c r="FDU64" s="94"/>
      <c r="FDV64" s="94"/>
      <c r="FDW64" s="94"/>
      <c r="FDX64" s="94"/>
      <c r="FDY64" s="94"/>
      <c r="FDZ64" s="94"/>
      <c r="FEA64" s="94"/>
      <c r="FEB64" s="94"/>
      <c r="FEC64" s="94"/>
      <c r="FED64" s="94"/>
      <c r="FEE64" s="94"/>
      <c r="FEF64" s="94"/>
      <c r="FEG64" s="94"/>
      <c r="FEH64" s="94"/>
      <c r="FEI64" s="94"/>
      <c r="FEJ64" s="94"/>
      <c r="FEK64" s="94"/>
      <c r="FEL64" s="94"/>
      <c r="FEM64" s="94"/>
      <c r="FEN64" s="94"/>
      <c r="FEO64" s="94"/>
      <c r="FEP64" s="94"/>
      <c r="FEQ64" s="94"/>
      <c r="FER64" s="94"/>
      <c r="FES64" s="94"/>
      <c r="FET64" s="94"/>
      <c r="FEU64" s="94"/>
      <c r="FEV64" s="94"/>
      <c r="FEW64" s="94"/>
      <c r="FEX64" s="94"/>
      <c r="FEY64" s="94"/>
      <c r="FEZ64" s="94"/>
      <c r="FFA64" s="94"/>
      <c r="FFB64" s="94"/>
      <c r="FFC64" s="94"/>
      <c r="FFD64" s="94"/>
      <c r="FFE64" s="94"/>
      <c r="FFF64" s="94"/>
      <c r="FFG64" s="94"/>
      <c r="FFH64" s="94"/>
      <c r="FFI64" s="94"/>
      <c r="FFJ64" s="94"/>
      <c r="FFK64" s="94"/>
      <c r="FFL64" s="94"/>
      <c r="FFM64" s="94"/>
      <c r="FFN64" s="94"/>
      <c r="FFO64" s="94"/>
      <c r="FFP64" s="94"/>
      <c r="FFQ64" s="94"/>
      <c r="FFR64" s="94"/>
      <c r="FFS64" s="94"/>
      <c r="FFT64" s="94"/>
      <c r="FFU64" s="94"/>
      <c r="FFV64" s="94"/>
      <c r="FFW64" s="94"/>
      <c r="FFX64" s="94"/>
      <c r="FFY64" s="94"/>
      <c r="FFZ64" s="94"/>
      <c r="FGA64" s="94"/>
      <c r="FGB64" s="94"/>
      <c r="FGC64" s="94"/>
      <c r="FGD64" s="94"/>
      <c r="FGE64" s="94"/>
      <c r="FGF64" s="94"/>
      <c r="FGG64" s="94"/>
      <c r="FGH64" s="94"/>
      <c r="FGI64" s="94"/>
      <c r="FGJ64" s="94"/>
      <c r="FGK64" s="94"/>
      <c r="FGL64" s="94"/>
      <c r="FGM64" s="94"/>
      <c r="FGN64" s="94"/>
      <c r="FGO64" s="94"/>
      <c r="FGP64" s="94"/>
      <c r="FGQ64" s="94"/>
      <c r="FGR64" s="94"/>
      <c r="FGS64" s="94"/>
      <c r="FGT64" s="94"/>
      <c r="FGU64" s="94"/>
      <c r="FGV64" s="94"/>
      <c r="FGW64" s="94"/>
      <c r="FGX64" s="94"/>
      <c r="FGY64" s="94"/>
      <c r="FGZ64" s="94"/>
      <c r="FHA64" s="94"/>
      <c r="FHB64" s="94"/>
      <c r="FHC64" s="94"/>
      <c r="FHD64" s="94"/>
      <c r="FHE64" s="94"/>
      <c r="FHF64" s="94"/>
      <c r="FHG64" s="94"/>
      <c r="FHH64" s="94"/>
      <c r="FHI64" s="94"/>
      <c r="FHJ64" s="94"/>
      <c r="FHK64" s="94"/>
      <c r="FHL64" s="94"/>
      <c r="FHM64" s="94"/>
      <c r="FHN64" s="94"/>
      <c r="FHO64" s="94"/>
      <c r="FHP64" s="94"/>
      <c r="FHQ64" s="94"/>
      <c r="FHR64" s="94"/>
      <c r="FHS64" s="94"/>
      <c r="FHT64" s="94"/>
      <c r="FHU64" s="94"/>
      <c r="FHV64" s="94"/>
      <c r="FHW64" s="94"/>
      <c r="FHX64" s="94"/>
      <c r="FHY64" s="94"/>
      <c r="FHZ64" s="94"/>
      <c r="FIA64" s="94"/>
      <c r="FIB64" s="94"/>
      <c r="FIC64" s="94"/>
      <c r="FID64" s="94"/>
      <c r="FIE64" s="94"/>
      <c r="FIF64" s="94"/>
      <c r="FIG64" s="94"/>
      <c r="FIH64" s="94"/>
      <c r="FII64" s="94"/>
      <c r="FIJ64" s="94"/>
      <c r="FIK64" s="94"/>
      <c r="FIL64" s="94"/>
      <c r="FIM64" s="94"/>
      <c r="FIN64" s="94"/>
      <c r="FIO64" s="94"/>
      <c r="FIP64" s="94"/>
      <c r="FIQ64" s="94"/>
      <c r="FIR64" s="94"/>
      <c r="FIS64" s="94"/>
      <c r="FIT64" s="94"/>
      <c r="FIU64" s="94"/>
      <c r="FIV64" s="94"/>
      <c r="FIW64" s="94"/>
      <c r="FIX64" s="94"/>
      <c r="FIY64" s="94"/>
      <c r="FIZ64" s="94"/>
      <c r="FJA64" s="94"/>
      <c r="FJB64" s="94"/>
      <c r="FJC64" s="94"/>
      <c r="FJD64" s="94"/>
      <c r="FJE64" s="94"/>
      <c r="FJF64" s="94"/>
      <c r="FJG64" s="94"/>
      <c r="FJH64" s="94"/>
      <c r="FJI64" s="94"/>
      <c r="FJJ64" s="94"/>
      <c r="FJK64" s="94"/>
      <c r="FJL64" s="94"/>
      <c r="FJM64" s="94"/>
      <c r="FJN64" s="94"/>
      <c r="FJO64" s="94"/>
      <c r="FJP64" s="94"/>
      <c r="FJQ64" s="94"/>
      <c r="FJR64" s="94"/>
      <c r="FJS64" s="94"/>
      <c r="FJT64" s="94"/>
      <c r="FJU64" s="94"/>
      <c r="FJV64" s="94"/>
      <c r="FJW64" s="94"/>
      <c r="FJX64" s="94"/>
      <c r="FJY64" s="94"/>
      <c r="FJZ64" s="94"/>
      <c r="FKA64" s="94"/>
      <c r="FKB64" s="94"/>
      <c r="FKC64" s="94"/>
      <c r="FKD64" s="94"/>
      <c r="FKE64" s="94"/>
      <c r="FKF64" s="94"/>
      <c r="FKG64" s="94"/>
      <c r="FKH64" s="94"/>
      <c r="FKI64" s="94"/>
      <c r="FKJ64" s="94"/>
      <c r="FKK64" s="94"/>
      <c r="FKL64" s="94"/>
      <c r="FKM64" s="94"/>
      <c r="FKN64" s="94"/>
      <c r="FKO64" s="94"/>
      <c r="FKP64" s="94"/>
      <c r="FKQ64" s="94"/>
      <c r="FKR64" s="94"/>
      <c r="FKS64" s="94"/>
      <c r="FKT64" s="94"/>
      <c r="FKU64" s="94"/>
      <c r="FKV64" s="94"/>
      <c r="FKW64" s="94"/>
      <c r="FKX64" s="94"/>
      <c r="FKY64" s="94"/>
      <c r="FKZ64" s="94"/>
      <c r="FLA64" s="94"/>
      <c r="FLB64" s="94"/>
      <c r="FLC64" s="94"/>
      <c r="FLD64" s="94"/>
      <c r="FLE64" s="94"/>
      <c r="FLF64" s="94"/>
      <c r="FLG64" s="94"/>
      <c r="FLH64" s="94"/>
      <c r="FLI64" s="94"/>
      <c r="FLJ64" s="94"/>
      <c r="FLK64" s="94"/>
      <c r="FLL64" s="94"/>
      <c r="FLM64" s="94"/>
      <c r="FLN64" s="94"/>
      <c r="FLO64" s="94"/>
      <c r="FLP64" s="94"/>
      <c r="FLQ64" s="94"/>
      <c r="FLR64" s="94"/>
      <c r="FLS64" s="94"/>
      <c r="FLT64" s="94"/>
      <c r="FLU64" s="94"/>
      <c r="FLV64" s="94"/>
      <c r="FLW64" s="94"/>
      <c r="FLX64" s="94"/>
      <c r="FLY64" s="94"/>
      <c r="FLZ64" s="94"/>
      <c r="FMA64" s="94"/>
      <c r="FMB64" s="94"/>
      <c r="FMC64" s="94"/>
      <c r="FMD64" s="94"/>
      <c r="FME64" s="94"/>
      <c r="FMF64" s="94"/>
      <c r="FMG64" s="94"/>
      <c r="FMH64" s="94"/>
      <c r="FMI64" s="94"/>
      <c r="FMJ64" s="94"/>
      <c r="FMK64" s="94"/>
      <c r="FML64" s="94"/>
      <c r="FMM64" s="94"/>
      <c r="FMN64" s="94"/>
      <c r="FMO64" s="94"/>
      <c r="FMP64" s="94"/>
      <c r="FMQ64" s="94"/>
      <c r="FMR64" s="94"/>
      <c r="FMS64" s="94"/>
      <c r="FMT64" s="94"/>
      <c r="FMU64" s="94"/>
      <c r="FMV64" s="94"/>
      <c r="FMW64" s="94"/>
      <c r="FMX64" s="94"/>
      <c r="FMY64" s="94"/>
      <c r="FMZ64" s="94"/>
      <c r="FNA64" s="94"/>
      <c r="FNB64" s="94"/>
      <c r="FNC64" s="94"/>
      <c r="FND64" s="94"/>
      <c r="FNE64" s="94"/>
      <c r="FNF64" s="94"/>
      <c r="FNG64" s="94"/>
      <c r="FNH64" s="94"/>
      <c r="FNI64" s="94"/>
      <c r="FNJ64" s="94"/>
      <c r="FNK64" s="94"/>
      <c r="FNL64" s="94"/>
      <c r="FNM64" s="94"/>
      <c r="FNN64" s="94"/>
      <c r="FNO64" s="94"/>
      <c r="FNP64" s="94"/>
      <c r="FNQ64" s="94"/>
      <c r="FNR64" s="94"/>
      <c r="FNS64" s="94"/>
      <c r="FNT64" s="94"/>
      <c r="FNU64" s="94"/>
      <c r="FNV64" s="94"/>
      <c r="FNW64" s="94"/>
      <c r="FNX64" s="94"/>
      <c r="FNY64" s="94"/>
      <c r="FNZ64" s="94"/>
      <c r="FOA64" s="94"/>
      <c r="FOB64" s="94"/>
      <c r="FOC64" s="94"/>
      <c r="FOD64" s="94"/>
      <c r="FOE64" s="94"/>
      <c r="FOF64" s="94"/>
      <c r="FOG64" s="94"/>
      <c r="FOH64" s="94"/>
      <c r="FOI64" s="94"/>
      <c r="FOJ64" s="94"/>
      <c r="FOK64" s="94"/>
      <c r="FOL64" s="94"/>
      <c r="FOM64" s="94"/>
      <c r="FON64" s="94"/>
      <c r="FOO64" s="94"/>
      <c r="FOP64" s="94"/>
      <c r="FOQ64" s="94"/>
      <c r="FOR64" s="94"/>
      <c r="FOS64" s="94"/>
      <c r="FOT64" s="94"/>
      <c r="FOU64" s="94"/>
      <c r="FOV64" s="94"/>
      <c r="FOW64" s="94"/>
      <c r="FOX64" s="94"/>
      <c r="FOY64" s="94"/>
      <c r="FOZ64" s="94"/>
      <c r="FPA64" s="94"/>
      <c r="FPB64" s="94"/>
      <c r="FPC64" s="94"/>
      <c r="FPD64" s="94"/>
      <c r="FPE64" s="94"/>
      <c r="FPF64" s="94"/>
      <c r="FPG64" s="94"/>
      <c r="FPH64" s="94"/>
      <c r="FPI64" s="94"/>
      <c r="FPJ64" s="94"/>
      <c r="FPK64" s="94"/>
      <c r="FPL64" s="94"/>
      <c r="FPM64" s="94"/>
      <c r="FPN64" s="94"/>
      <c r="FPO64" s="94"/>
      <c r="FPP64" s="94"/>
      <c r="FPQ64" s="94"/>
      <c r="FPR64" s="94"/>
      <c r="FPS64" s="94"/>
      <c r="FPT64" s="94"/>
      <c r="FPU64" s="94"/>
      <c r="FPV64" s="94"/>
      <c r="FPW64" s="94"/>
      <c r="FPX64" s="94"/>
      <c r="FPY64" s="94"/>
      <c r="FPZ64" s="94"/>
      <c r="FQA64" s="94"/>
      <c r="FQB64" s="94"/>
      <c r="FQC64" s="94"/>
      <c r="FQD64" s="94"/>
      <c r="FQE64" s="94"/>
      <c r="FQF64" s="94"/>
      <c r="FQG64" s="94"/>
      <c r="FQH64" s="94"/>
      <c r="FQI64" s="94"/>
      <c r="FQJ64" s="94"/>
      <c r="FQK64" s="94"/>
      <c r="FQL64" s="94"/>
      <c r="FQM64" s="94"/>
      <c r="FQN64" s="94"/>
      <c r="FQO64" s="94"/>
      <c r="FQP64" s="94"/>
      <c r="FQQ64" s="94"/>
      <c r="FQR64" s="94"/>
      <c r="FQS64" s="94"/>
      <c r="FQT64" s="94"/>
      <c r="FQU64" s="94"/>
      <c r="FQV64" s="94"/>
      <c r="FQW64" s="94"/>
      <c r="FQX64" s="94"/>
      <c r="FQY64" s="94"/>
      <c r="FQZ64" s="94"/>
      <c r="FRA64" s="94"/>
      <c r="FRB64" s="94"/>
      <c r="FRC64" s="94"/>
      <c r="FRD64" s="94"/>
      <c r="FRE64" s="94"/>
      <c r="FRF64" s="94"/>
      <c r="FRG64" s="94"/>
      <c r="FRH64" s="94"/>
      <c r="FRI64" s="94"/>
      <c r="FRJ64" s="94"/>
      <c r="FRK64" s="94"/>
      <c r="FRL64" s="94"/>
      <c r="FRM64" s="94"/>
      <c r="FRN64" s="94"/>
      <c r="FRO64" s="94"/>
      <c r="FRP64" s="94"/>
      <c r="FRQ64" s="94"/>
      <c r="FRR64" s="94"/>
      <c r="FRS64" s="94"/>
      <c r="FRT64" s="94"/>
      <c r="FRU64" s="94"/>
      <c r="FRV64" s="94"/>
      <c r="FRW64" s="94"/>
      <c r="FRX64" s="94"/>
      <c r="FRY64" s="94"/>
      <c r="FRZ64" s="94"/>
      <c r="FSA64" s="94"/>
      <c r="FSB64" s="94"/>
      <c r="FSC64" s="94"/>
      <c r="FSD64" s="94"/>
      <c r="FSE64" s="94"/>
      <c r="FSF64" s="94"/>
      <c r="FSG64" s="94"/>
      <c r="FSH64" s="94"/>
      <c r="FSI64" s="94"/>
      <c r="FSJ64" s="94"/>
      <c r="FSK64" s="94"/>
      <c r="FSL64" s="94"/>
      <c r="FSM64" s="94"/>
      <c r="FSN64" s="94"/>
      <c r="FSO64" s="94"/>
      <c r="FSP64" s="94"/>
      <c r="FSQ64" s="94"/>
      <c r="FSR64" s="94"/>
      <c r="FSS64" s="94"/>
      <c r="FST64" s="94"/>
      <c r="FSU64" s="94"/>
      <c r="FSV64" s="94"/>
      <c r="FSW64" s="94"/>
      <c r="FSX64" s="94"/>
      <c r="FSY64" s="94"/>
      <c r="FSZ64" s="94"/>
      <c r="FTA64" s="94"/>
      <c r="FTB64" s="94"/>
      <c r="FTC64" s="94"/>
      <c r="FTD64" s="94"/>
      <c r="FTE64" s="94"/>
      <c r="FTF64" s="94"/>
      <c r="FTG64" s="94"/>
      <c r="FTH64" s="94"/>
      <c r="FTI64" s="94"/>
      <c r="FTJ64" s="94"/>
      <c r="FTK64" s="94"/>
      <c r="FTL64" s="94"/>
      <c r="FTM64" s="94"/>
      <c r="FTN64" s="94"/>
      <c r="FTO64" s="94"/>
      <c r="FTP64" s="94"/>
      <c r="FTQ64" s="94"/>
      <c r="FTR64" s="94"/>
      <c r="FTS64" s="94"/>
      <c r="FTT64" s="94"/>
      <c r="FTU64" s="94"/>
      <c r="FTV64" s="94"/>
      <c r="FTW64" s="94"/>
      <c r="FTX64" s="94"/>
      <c r="FTY64" s="94"/>
      <c r="FTZ64" s="94"/>
      <c r="FUA64" s="94"/>
      <c r="FUB64" s="94"/>
      <c r="FUC64" s="94"/>
      <c r="FUD64" s="94"/>
      <c r="FUE64" s="94"/>
      <c r="FUF64" s="94"/>
      <c r="FUG64" s="94"/>
      <c r="FUH64" s="94"/>
      <c r="FUI64" s="94"/>
      <c r="FUJ64" s="94"/>
      <c r="FUK64" s="94"/>
      <c r="FUL64" s="94"/>
      <c r="FUM64" s="94"/>
      <c r="FUN64" s="94"/>
      <c r="FUO64" s="94"/>
      <c r="FUP64" s="94"/>
      <c r="FUQ64" s="94"/>
      <c r="FUR64" s="94"/>
      <c r="FUS64" s="94"/>
      <c r="FUT64" s="94"/>
      <c r="FUU64" s="94"/>
      <c r="FUV64" s="94"/>
      <c r="FUW64" s="94"/>
      <c r="FUX64" s="94"/>
      <c r="FUY64" s="94"/>
      <c r="FUZ64" s="94"/>
      <c r="FVA64" s="94"/>
      <c r="FVB64" s="94"/>
      <c r="FVC64" s="94"/>
      <c r="FVD64" s="94"/>
      <c r="FVE64" s="94"/>
      <c r="FVF64" s="94"/>
      <c r="FVG64" s="94"/>
      <c r="FVH64" s="94"/>
      <c r="FVI64" s="94"/>
      <c r="FVJ64" s="94"/>
      <c r="FVK64" s="94"/>
      <c r="FVL64" s="94"/>
      <c r="FVM64" s="94"/>
      <c r="FVN64" s="94"/>
      <c r="FVO64" s="94"/>
      <c r="FVP64" s="94"/>
      <c r="FVQ64" s="94"/>
      <c r="FVR64" s="94"/>
      <c r="FVS64" s="94"/>
      <c r="FVT64" s="94"/>
      <c r="FVU64" s="94"/>
      <c r="FVV64" s="94"/>
      <c r="FVW64" s="94"/>
      <c r="FVX64" s="94"/>
      <c r="FVY64" s="94"/>
      <c r="FVZ64" s="94"/>
      <c r="FWA64" s="94"/>
      <c r="FWB64" s="94"/>
      <c r="FWC64" s="94"/>
      <c r="FWD64" s="94"/>
      <c r="FWE64" s="94"/>
      <c r="FWF64" s="94"/>
      <c r="FWG64" s="94"/>
      <c r="FWH64" s="94"/>
      <c r="FWI64" s="94"/>
      <c r="FWJ64" s="94"/>
      <c r="FWK64" s="94"/>
      <c r="FWL64" s="94"/>
      <c r="FWM64" s="94"/>
      <c r="FWN64" s="94"/>
      <c r="FWO64" s="94"/>
      <c r="FWP64" s="94"/>
      <c r="FWQ64" s="94"/>
      <c r="FWR64" s="94"/>
      <c r="FWS64" s="94"/>
      <c r="FWT64" s="94"/>
      <c r="FWU64" s="94"/>
      <c r="FWV64" s="94"/>
      <c r="FWW64" s="94"/>
      <c r="FWX64" s="94"/>
      <c r="FWY64" s="94"/>
      <c r="FWZ64" s="94"/>
      <c r="FXA64" s="94"/>
      <c r="FXB64" s="94"/>
      <c r="FXC64" s="94"/>
      <c r="FXD64" s="94"/>
      <c r="FXE64" s="94"/>
      <c r="FXF64" s="94"/>
      <c r="FXG64" s="94"/>
      <c r="FXH64" s="94"/>
      <c r="FXI64" s="94"/>
      <c r="FXJ64" s="94"/>
      <c r="FXK64" s="94"/>
      <c r="FXL64" s="94"/>
      <c r="FXM64" s="94"/>
      <c r="FXN64" s="94"/>
      <c r="FXO64" s="94"/>
      <c r="FXP64" s="94"/>
      <c r="FXQ64" s="94"/>
      <c r="FXR64" s="94"/>
      <c r="FXS64" s="94"/>
      <c r="FXT64" s="94"/>
      <c r="FXU64" s="94"/>
      <c r="FXV64" s="94"/>
      <c r="FXW64" s="94"/>
      <c r="FXX64" s="94"/>
      <c r="FXY64" s="94"/>
      <c r="FXZ64" s="94"/>
      <c r="FYA64" s="94"/>
      <c r="FYB64" s="94"/>
      <c r="FYC64" s="94"/>
      <c r="FYD64" s="94"/>
      <c r="FYE64" s="94"/>
      <c r="FYF64" s="94"/>
      <c r="FYG64" s="94"/>
      <c r="FYH64" s="94"/>
      <c r="FYI64" s="94"/>
      <c r="FYJ64" s="94"/>
      <c r="FYK64" s="94"/>
      <c r="FYL64" s="94"/>
      <c r="FYM64" s="94"/>
      <c r="FYN64" s="94"/>
      <c r="FYO64" s="94"/>
      <c r="FYP64" s="94"/>
      <c r="FYQ64" s="94"/>
      <c r="FYR64" s="94"/>
      <c r="FYS64" s="94"/>
      <c r="FYT64" s="94"/>
      <c r="FYU64" s="94"/>
      <c r="FYV64" s="94"/>
      <c r="FYW64" s="94"/>
      <c r="FYX64" s="94"/>
      <c r="FYY64" s="94"/>
      <c r="FYZ64" s="94"/>
      <c r="FZA64" s="94"/>
      <c r="FZB64" s="94"/>
      <c r="FZC64" s="94"/>
      <c r="FZD64" s="94"/>
      <c r="FZE64" s="94"/>
      <c r="FZF64" s="94"/>
      <c r="FZG64" s="94"/>
      <c r="FZH64" s="94"/>
      <c r="FZI64" s="94"/>
      <c r="FZJ64" s="94"/>
      <c r="FZK64" s="94"/>
      <c r="FZL64" s="94"/>
      <c r="FZM64" s="94"/>
      <c r="FZN64" s="94"/>
      <c r="FZO64" s="94"/>
      <c r="FZP64" s="94"/>
      <c r="FZQ64" s="94"/>
      <c r="FZR64" s="94"/>
      <c r="FZS64" s="94"/>
      <c r="FZT64" s="94"/>
      <c r="FZU64" s="94"/>
      <c r="FZV64" s="94"/>
      <c r="FZW64" s="94"/>
      <c r="FZX64" s="94"/>
      <c r="FZY64" s="94"/>
      <c r="FZZ64" s="94"/>
      <c r="GAA64" s="94"/>
      <c r="GAB64" s="94"/>
      <c r="GAC64" s="94"/>
      <c r="GAD64" s="94"/>
      <c r="GAE64" s="94"/>
      <c r="GAF64" s="94"/>
      <c r="GAG64" s="94"/>
      <c r="GAH64" s="94"/>
      <c r="GAI64" s="94"/>
      <c r="GAJ64" s="94"/>
      <c r="GAK64" s="94"/>
      <c r="GAL64" s="94"/>
      <c r="GAM64" s="94"/>
      <c r="GAN64" s="94"/>
      <c r="GAO64" s="94"/>
      <c r="GAP64" s="94"/>
      <c r="GAQ64" s="94"/>
      <c r="GAR64" s="94"/>
      <c r="GAS64" s="94"/>
      <c r="GAT64" s="94"/>
      <c r="GAU64" s="94"/>
      <c r="GAV64" s="94"/>
      <c r="GAW64" s="94"/>
      <c r="GAX64" s="94"/>
      <c r="GAY64" s="94"/>
      <c r="GAZ64" s="94"/>
      <c r="GBA64" s="94"/>
      <c r="GBB64" s="94"/>
      <c r="GBC64" s="94"/>
      <c r="GBD64" s="94"/>
      <c r="GBE64" s="94"/>
      <c r="GBF64" s="94"/>
      <c r="GBG64" s="94"/>
      <c r="GBH64" s="94"/>
      <c r="GBI64" s="94"/>
      <c r="GBJ64" s="94"/>
      <c r="GBK64" s="94"/>
      <c r="GBL64" s="94"/>
      <c r="GBM64" s="94"/>
      <c r="GBN64" s="94"/>
      <c r="GBO64" s="94"/>
      <c r="GBP64" s="94"/>
      <c r="GBQ64" s="94"/>
      <c r="GBR64" s="94"/>
      <c r="GBS64" s="94"/>
      <c r="GBT64" s="94"/>
      <c r="GBU64" s="94"/>
      <c r="GBV64" s="94"/>
      <c r="GBW64" s="94"/>
      <c r="GBX64" s="94"/>
      <c r="GBY64" s="94"/>
      <c r="GBZ64" s="94"/>
      <c r="GCA64" s="94"/>
      <c r="GCB64" s="94"/>
      <c r="GCC64" s="94"/>
      <c r="GCD64" s="94"/>
      <c r="GCE64" s="94"/>
      <c r="GCF64" s="94"/>
      <c r="GCG64" s="94"/>
      <c r="GCH64" s="94"/>
      <c r="GCI64" s="94"/>
      <c r="GCJ64" s="94"/>
      <c r="GCK64" s="94"/>
      <c r="GCL64" s="94"/>
      <c r="GCM64" s="94"/>
      <c r="GCN64" s="94"/>
      <c r="GCO64" s="94"/>
      <c r="GCP64" s="94"/>
      <c r="GCQ64" s="94"/>
      <c r="GCR64" s="94"/>
      <c r="GCS64" s="94"/>
      <c r="GCT64" s="94"/>
      <c r="GCU64" s="94"/>
      <c r="GCV64" s="94"/>
      <c r="GCW64" s="94"/>
      <c r="GCX64" s="94"/>
      <c r="GCY64" s="94"/>
      <c r="GCZ64" s="94"/>
      <c r="GDA64" s="94"/>
      <c r="GDB64" s="94"/>
      <c r="GDC64" s="94"/>
      <c r="GDD64" s="94"/>
      <c r="GDE64" s="94"/>
      <c r="GDF64" s="94"/>
      <c r="GDG64" s="94"/>
      <c r="GDH64" s="94"/>
      <c r="GDI64" s="94"/>
      <c r="GDJ64" s="94"/>
      <c r="GDK64" s="94"/>
      <c r="GDL64" s="94"/>
      <c r="GDM64" s="94"/>
      <c r="GDN64" s="94"/>
      <c r="GDO64" s="94"/>
      <c r="GDP64" s="94"/>
      <c r="GDQ64" s="94"/>
      <c r="GDR64" s="94"/>
      <c r="GDS64" s="94"/>
      <c r="GDT64" s="94"/>
      <c r="GDU64" s="94"/>
      <c r="GDV64" s="94"/>
      <c r="GDW64" s="94"/>
      <c r="GDX64" s="94"/>
      <c r="GDY64" s="94"/>
      <c r="GDZ64" s="94"/>
      <c r="GEA64" s="94"/>
      <c r="GEB64" s="94"/>
      <c r="GEC64" s="94"/>
      <c r="GED64" s="94"/>
      <c r="GEE64" s="94"/>
      <c r="GEF64" s="94"/>
      <c r="GEG64" s="94"/>
      <c r="GEH64" s="94"/>
      <c r="GEI64" s="94"/>
      <c r="GEJ64" s="94"/>
      <c r="GEK64" s="94"/>
      <c r="GEL64" s="94"/>
      <c r="GEM64" s="94"/>
      <c r="GEN64" s="94"/>
      <c r="GEO64" s="94"/>
      <c r="GEP64" s="94"/>
      <c r="GEQ64" s="94"/>
      <c r="GER64" s="94"/>
      <c r="GES64" s="94"/>
      <c r="GET64" s="94"/>
      <c r="GEU64" s="94"/>
      <c r="GEV64" s="94"/>
      <c r="GEW64" s="94"/>
      <c r="GEX64" s="94"/>
      <c r="GEY64" s="94"/>
      <c r="GEZ64" s="94"/>
      <c r="GFA64" s="94"/>
      <c r="GFB64" s="94"/>
      <c r="GFC64" s="94"/>
      <c r="GFD64" s="94"/>
      <c r="GFE64" s="94"/>
      <c r="GFF64" s="94"/>
      <c r="GFG64" s="94"/>
      <c r="GFH64" s="94"/>
      <c r="GFI64" s="94"/>
      <c r="GFJ64" s="94"/>
      <c r="GFK64" s="94"/>
      <c r="GFL64" s="94"/>
      <c r="GFM64" s="94"/>
      <c r="GFN64" s="94"/>
      <c r="GFO64" s="94"/>
      <c r="GFP64" s="94"/>
      <c r="GFQ64" s="94"/>
      <c r="GFR64" s="94"/>
      <c r="GFS64" s="94"/>
      <c r="GFT64" s="94"/>
      <c r="GFU64" s="94"/>
      <c r="GFV64" s="94"/>
      <c r="GFW64" s="94"/>
      <c r="GFX64" s="94"/>
      <c r="GFY64" s="94"/>
      <c r="GFZ64" s="94"/>
      <c r="GGA64" s="94"/>
      <c r="GGB64" s="94"/>
      <c r="GGC64" s="94"/>
      <c r="GGD64" s="94"/>
      <c r="GGE64" s="94"/>
      <c r="GGF64" s="94"/>
      <c r="GGG64" s="94"/>
      <c r="GGH64" s="94"/>
      <c r="GGI64" s="94"/>
      <c r="GGJ64" s="94"/>
      <c r="GGK64" s="94"/>
      <c r="GGL64" s="94"/>
      <c r="GGM64" s="94"/>
      <c r="GGN64" s="94"/>
      <c r="GGO64" s="94"/>
      <c r="GGP64" s="94"/>
      <c r="GGQ64" s="94"/>
      <c r="GGR64" s="94"/>
      <c r="GGS64" s="94"/>
      <c r="GGT64" s="94"/>
      <c r="GGU64" s="94"/>
      <c r="GGV64" s="94"/>
      <c r="GGW64" s="94"/>
      <c r="GGX64" s="94"/>
      <c r="GGY64" s="94"/>
      <c r="GGZ64" s="94"/>
      <c r="GHA64" s="94"/>
      <c r="GHB64" s="94"/>
      <c r="GHC64" s="94"/>
      <c r="GHD64" s="94"/>
      <c r="GHE64" s="94"/>
      <c r="GHF64" s="94"/>
      <c r="GHG64" s="94"/>
      <c r="GHH64" s="94"/>
      <c r="GHI64" s="94"/>
      <c r="GHJ64" s="94"/>
      <c r="GHK64" s="94"/>
      <c r="GHL64" s="94"/>
      <c r="GHM64" s="94"/>
      <c r="GHN64" s="94"/>
      <c r="GHO64" s="94"/>
      <c r="GHP64" s="94"/>
      <c r="GHQ64" s="94"/>
      <c r="GHR64" s="94"/>
      <c r="GHS64" s="94"/>
      <c r="GHT64" s="94"/>
      <c r="GHU64" s="94"/>
      <c r="GHV64" s="94"/>
      <c r="GHW64" s="94"/>
      <c r="GHX64" s="94"/>
      <c r="GHY64" s="94"/>
      <c r="GHZ64" s="94"/>
      <c r="GIA64" s="94"/>
      <c r="GIB64" s="94"/>
      <c r="GIC64" s="94"/>
      <c r="GID64" s="94"/>
      <c r="GIE64" s="94"/>
      <c r="GIF64" s="94"/>
      <c r="GIG64" s="94"/>
      <c r="GIH64" s="94"/>
      <c r="GII64" s="94"/>
      <c r="GIJ64" s="94"/>
      <c r="GIK64" s="94"/>
      <c r="GIL64" s="94"/>
      <c r="GIM64" s="94"/>
      <c r="GIN64" s="94"/>
      <c r="GIO64" s="94"/>
      <c r="GIP64" s="94"/>
      <c r="GIQ64" s="94"/>
      <c r="GIR64" s="94"/>
      <c r="GIS64" s="94"/>
      <c r="GIT64" s="94"/>
      <c r="GIU64" s="94"/>
      <c r="GIV64" s="94"/>
      <c r="GIW64" s="94"/>
      <c r="GIX64" s="94"/>
      <c r="GIY64" s="94"/>
      <c r="GIZ64" s="94"/>
      <c r="GJA64" s="94"/>
      <c r="GJB64" s="94"/>
      <c r="GJC64" s="94"/>
      <c r="GJD64" s="94"/>
      <c r="GJE64" s="94"/>
      <c r="GJF64" s="94"/>
      <c r="GJG64" s="94"/>
      <c r="GJH64" s="94"/>
      <c r="GJI64" s="94"/>
      <c r="GJJ64" s="94"/>
      <c r="GJK64" s="94"/>
      <c r="GJL64" s="94"/>
      <c r="GJM64" s="94"/>
      <c r="GJN64" s="94"/>
      <c r="GJO64" s="94"/>
      <c r="GJP64" s="94"/>
      <c r="GJQ64" s="94"/>
      <c r="GJR64" s="94"/>
      <c r="GJS64" s="94"/>
      <c r="GJT64" s="94"/>
      <c r="GJU64" s="94"/>
      <c r="GJV64" s="94"/>
      <c r="GJW64" s="94"/>
      <c r="GJX64" s="94"/>
      <c r="GJY64" s="94"/>
      <c r="GJZ64" s="94"/>
      <c r="GKA64" s="94"/>
      <c r="GKB64" s="94"/>
      <c r="GKC64" s="94"/>
      <c r="GKD64" s="94"/>
      <c r="GKE64" s="94"/>
      <c r="GKF64" s="94"/>
      <c r="GKG64" s="94"/>
      <c r="GKH64" s="94"/>
      <c r="GKI64" s="94"/>
      <c r="GKJ64" s="94"/>
      <c r="GKK64" s="94"/>
      <c r="GKL64" s="94"/>
      <c r="GKM64" s="94"/>
      <c r="GKN64" s="94"/>
      <c r="GKO64" s="94"/>
      <c r="GKP64" s="94"/>
      <c r="GKQ64" s="94"/>
      <c r="GKR64" s="94"/>
      <c r="GKS64" s="94"/>
      <c r="GKT64" s="94"/>
      <c r="GKU64" s="94"/>
      <c r="GKV64" s="94"/>
      <c r="GKW64" s="94"/>
      <c r="GKX64" s="94"/>
      <c r="GKY64" s="94"/>
      <c r="GKZ64" s="94"/>
      <c r="GLA64" s="94"/>
      <c r="GLB64" s="94"/>
      <c r="GLC64" s="94"/>
      <c r="GLD64" s="94"/>
      <c r="GLE64" s="94"/>
      <c r="GLF64" s="94"/>
      <c r="GLG64" s="94"/>
      <c r="GLH64" s="94"/>
      <c r="GLI64" s="94"/>
      <c r="GLJ64" s="94"/>
      <c r="GLK64" s="94"/>
      <c r="GLL64" s="94"/>
      <c r="GLM64" s="94"/>
      <c r="GLN64" s="94"/>
      <c r="GLO64" s="94"/>
      <c r="GLP64" s="94"/>
      <c r="GLQ64" s="94"/>
      <c r="GLR64" s="94"/>
      <c r="GLS64" s="94"/>
      <c r="GLT64" s="94"/>
      <c r="GLU64" s="94"/>
      <c r="GLV64" s="94"/>
      <c r="GLW64" s="94"/>
      <c r="GLX64" s="94"/>
      <c r="GLY64" s="94"/>
      <c r="GLZ64" s="94"/>
      <c r="GMA64" s="94"/>
      <c r="GMB64" s="94"/>
      <c r="GMC64" s="94"/>
      <c r="GMD64" s="94"/>
      <c r="GME64" s="94"/>
      <c r="GMF64" s="94"/>
      <c r="GMG64" s="94"/>
      <c r="GMH64" s="94"/>
      <c r="GMI64" s="94"/>
      <c r="GMJ64" s="94"/>
      <c r="GMK64" s="94"/>
      <c r="GML64" s="94"/>
      <c r="GMM64" s="94"/>
      <c r="GMN64" s="94"/>
      <c r="GMO64" s="94"/>
      <c r="GMP64" s="94"/>
      <c r="GMQ64" s="94"/>
      <c r="GMR64" s="94"/>
      <c r="GMS64" s="94"/>
      <c r="GMT64" s="94"/>
      <c r="GMU64" s="94"/>
      <c r="GMV64" s="94"/>
      <c r="GMW64" s="94"/>
      <c r="GMX64" s="94"/>
      <c r="GMY64" s="94"/>
      <c r="GMZ64" s="94"/>
      <c r="GNA64" s="94"/>
      <c r="GNB64" s="94"/>
      <c r="GNC64" s="94"/>
      <c r="GND64" s="94"/>
      <c r="GNE64" s="94"/>
      <c r="GNF64" s="94"/>
      <c r="GNG64" s="94"/>
      <c r="GNH64" s="94"/>
      <c r="GNI64" s="94"/>
      <c r="GNJ64" s="94"/>
      <c r="GNK64" s="94"/>
      <c r="GNL64" s="94"/>
      <c r="GNM64" s="94"/>
      <c r="GNN64" s="94"/>
      <c r="GNO64" s="94"/>
      <c r="GNP64" s="94"/>
      <c r="GNQ64" s="94"/>
      <c r="GNR64" s="94"/>
      <c r="GNS64" s="94"/>
      <c r="GNT64" s="94"/>
      <c r="GNU64" s="94"/>
      <c r="GNV64" s="94"/>
      <c r="GNW64" s="94"/>
      <c r="GNX64" s="94"/>
      <c r="GNY64" s="94"/>
      <c r="GNZ64" s="94"/>
      <c r="GOA64" s="94"/>
      <c r="GOB64" s="94"/>
      <c r="GOC64" s="94"/>
      <c r="GOD64" s="94"/>
      <c r="GOE64" s="94"/>
      <c r="GOF64" s="94"/>
      <c r="GOG64" s="94"/>
      <c r="GOH64" s="94"/>
      <c r="GOI64" s="94"/>
      <c r="GOJ64" s="94"/>
      <c r="GOK64" s="94"/>
      <c r="GOL64" s="94"/>
      <c r="GOM64" s="94"/>
      <c r="GON64" s="94"/>
      <c r="GOO64" s="94"/>
      <c r="GOP64" s="94"/>
      <c r="GOQ64" s="94"/>
      <c r="GOR64" s="94"/>
      <c r="GOS64" s="94"/>
      <c r="GOT64" s="94"/>
      <c r="GOU64" s="94"/>
      <c r="GOV64" s="94"/>
      <c r="GOW64" s="94"/>
      <c r="GOX64" s="94"/>
      <c r="GOY64" s="94"/>
      <c r="GOZ64" s="94"/>
      <c r="GPA64" s="94"/>
      <c r="GPB64" s="94"/>
      <c r="GPC64" s="94"/>
      <c r="GPD64" s="94"/>
      <c r="GPE64" s="94"/>
      <c r="GPF64" s="94"/>
      <c r="GPG64" s="94"/>
      <c r="GPH64" s="94"/>
      <c r="GPI64" s="94"/>
      <c r="GPJ64" s="94"/>
      <c r="GPK64" s="94"/>
      <c r="GPL64" s="94"/>
      <c r="GPM64" s="94"/>
      <c r="GPN64" s="94"/>
      <c r="GPO64" s="94"/>
      <c r="GPP64" s="94"/>
      <c r="GPQ64" s="94"/>
      <c r="GPR64" s="94"/>
      <c r="GPS64" s="94"/>
      <c r="GPT64" s="94"/>
      <c r="GPU64" s="94"/>
      <c r="GPV64" s="94"/>
      <c r="GPW64" s="94"/>
      <c r="GPX64" s="94"/>
      <c r="GPY64" s="94"/>
      <c r="GPZ64" s="94"/>
      <c r="GQA64" s="94"/>
      <c r="GQB64" s="94"/>
      <c r="GQC64" s="94"/>
      <c r="GQD64" s="94"/>
      <c r="GQE64" s="94"/>
      <c r="GQF64" s="94"/>
      <c r="GQG64" s="94"/>
      <c r="GQH64" s="94"/>
      <c r="GQI64" s="94"/>
      <c r="GQJ64" s="94"/>
      <c r="GQK64" s="94"/>
      <c r="GQL64" s="94"/>
      <c r="GQM64" s="94"/>
      <c r="GQN64" s="94"/>
      <c r="GQO64" s="94"/>
      <c r="GQP64" s="94"/>
      <c r="GQQ64" s="94"/>
      <c r="GQR64" s="94"/>
      <c r="GQS64" s="94"/>
      <c r="GQT64" s="94"/>
      <c r="GQU64" s="94"/>
      <c r="GQV64" s="94"/>
      <c r="GQW64" s="94"/>
      <c r="GQX64" s="94"/>
      <c r="GQY64" s="94"/>
      <c r="GQZ64" s="94"/>
      <c r="GRA64" s="94"/>
      <c r="GRB64" s="94"/>
      <c r="GRC64" s="94"/>
      <c r="GRD64" s="94"/>
      <c r="GRE64" s="94"/>
      <c r="GRF64" s="94"/>
      <c r="GRG64" s="94"/>
      <c r="GRH64" s="94"/>
      <c r="GRI64" s="94"/>
      <c r="GRJ64" s="94"/>
      <c r="GRK64" s="94"/>
      <c r="GRL64" s="94"/>
      <c r="GRM64" s="94"/>
      <c r="GRN64" s="94"/>
      <c r="GRO64" s="94"/>
      <c r="GRP64" s="94"/>
      <c r="GRQ64" s="94"/>
      <c r="GRR64" s="94"/>
      <c r="GRS64" s="94"/>
      <c r="GRT64" s="94"/>
      <c r="GRU64" s="94"/>
      <c r="GRV64" s="94"/>
      <c r="GRW64" s="94"/>
      <c r="GRX64" s="94"/>
      <c r="GRY64" s="94"/>
      <c r="GRZ64" s="94"/>
      <c r="GSA64" s="94"/>
      <c r="GSB64" s="94"/>
      <c r="GSC64" s="94"/>
      <c r="GSD64" s="94"/>
      <c r="GSE64" s="94"/>
      <c r="GSF64" s="94"/>
      <c r="GSG64" s="94"/>
      <c r="GSH64" s="94"/>
      <c r="GSI64" s="94"/>
      <c r="GSJ64" s="94"/>
      <c r="GSK64" s="94"/>
      <c r="GSL64" s="94"/>
      <c r="GSM64" s="94"/>
      <c r="GSN64" s="94"/>
      <c r="GSO64" s="94"/>
      <c r="GSP64" s="94"/>
      <c r="GSQ64" s="94"/>
      <c r="GSR64" s="94"/>
      <c r="GSS64" s="94"/>
      <c r="GST64" s="94"/>
      <c r="GSU64" s="94"/>
      <c r="GSV64" s="94"/>
      <c r="GSW64" s="94"/>
      <c r="GSX64" s="94"/>
      <c r="GSY64" s="94"/>
      <c r="GSZ64" s="94"/>
      <c r="GTA64" s="94"/>
      <c r="GTB64" s="94"/>
      <c r="GTC64" s="94"/>
      <c r="GTD64" s="94"/>
      <c r="GTE64" s="94"/>
      <c r="GTF64" s="94"/>
      <c r="GTG64" s="94"/>
      <c r="GTH64" s="94"/>
      <c r="GTI64" s="94"/>
      <c r="GTJ64" s="94"/>
      <c r="GTK64" s="94"/>
      <c r="GTL64" s="94"/>
      <c r="GTM64" s="94"/>
      <c r="GTN64" s="94"/>
      <c r="GTO64" s="94"/>
      <c r="GTP64" s="94"/>
      <c r="GTQ64" s="94"/>
      <c r="GTR64" s="94"/>
      <c r="GTS64" s="94"/>
      <c r="GTT64" s="94"/>
      <c r="GTU64" s="94"/>
      <c r="GTV64" s="94"/>
      <c r="GTW64" s="94"/>
      <c r="GTX64" s="94"/>
      <c r="GTY64" s="94"/>
      <c r="GTZ64" s="94"/>
      <c r="GUA64" s="94"/>
      <c r="GUB64" s="94"/>
      <c r="GUC64" s="94"/>
      <c r="GUD64" s="94"/>
      <c r="GUE64" s="94"/>
      <c r="GUF64" s="94"/>
      <c r="GUG64" s="94"/>
      <c r="GUH64" s="94"/>
      <c r="GUI64" s="94"/>
      <c r="GUJ64" s="94"/>
      <c r="GUK64" s="94"/>
      <c r="GUL64" s="94"/>
      <c r="GUM64" s="94"/>
      <c r="GUN64" s="94"/>
      <c r="GUO64" s="94"/>
      <c r="GUP64" s="94"/>
      <c r="GUQ64" s="94"/>
      <c r="GUR64" s="94"/>
      <c r="GUS64" s="94"/>
      <c r="GUT64" s="94"/>
      <c r="GUU64" s="94"/>
      <c r="GUV64" s="94"/>
      <c r="GUW64" s="94"/>
      <c r="GUX64" s="94"/>
      <c r="GUY64" s="94"/>
      <c r="GUZ64" s="94"/>
      <c r="GVA64" s="94"/>
      <c r="GVB64" s="94"/>
      <c r="GVC64" s="94"/>
      <c r="GVD64" s="94"/>
      <c r="GVE64" s="94"/>
      <c r="GVF64" s="94"/>
      <c r="GVG64" s="94"/>
      <c r="GVH64" s="94"/>
      <c r="GVI64" s="94"/>
      <c r="GVJ64" s="94"/>
      <c r="GVK64" s="94"/>
      <c r="GVL64" s="94"/>
      <c r="GVM64" s="94"/>
      <c r="GVN64" s="94"/>
      <c r="GVO64" s="94"/>
      <c r="GVP64" s="94"/>
      <c r="GVQ64" s="94"/>
      <c r="GVR64" s="94"/>
      <c r="GVS64" s="94"/>
      <c r="GVT64" s="94"/>
      <c r="GVU64" s="94"/>
      <c r="GVV64" s="94"/>
      <c r="GVW64" s="94"/>
      <c r="GVX64" s="94"/>
      <c r="GVY64" s="94"/>
      <c r="GVZ64" s="94"/>
      <c r="GWA64" s="94"/>
      <c r="GWB64" s="94"/>
      <c r="GWC64" s="94"/>
      <c r="GWD64" s="94"/>
      <c r="GWE64" s="94"/>
      <c r="GWF64" s="94"/>
      <c r="GWG64" s="94"/>
      <c r="GWH64" s="94"/>
      <c r="GWI64" s="94"/>
      <c r="GWJ64" s="94"/>
      <c r="GWK64" s="94"/>
      <c r="GWL64" s="94"/>
      <c r="GWM64" s="94"/>
      <c r="GWN64" s="94"/>
      <c r="GWO64" s="94"/>
      <c r="GWP64" s="94"/>
      <c r="GWQ64" s="94"/>
      <c r="GWR64" s="94"/>
      <c r="GWS64" s="94"/>
      <c r="GWT64" s="94"/>
      <c r="GWU64" s="94"/>
      <c r="GWV64" s="94"/>
      <c r="GWW64" s="94"/>
      <c r="GWX64" s="94"/>
      <c r="GWY64" s="94"/>
      <c r="GWZ64" s="94"/>
      <c r="GXA64" s="94"/>
      <c r="GXB64" s="94"/>
      <c r="GXC64" s="94"/>
      <c r="GXD64" s="94"/>
      <c r="GXE64" s="94"/>
      <c r="GXF64" s="94"/>
      <c r="GXG64" s="94"/>
      <c r="GXH64" s="94"/>
      <c r="GXI64" s="94"/>
      <c r="GXJ64" s="94"/>
      <c r="GXK64" s="94"/>
      <c r="GXL64" s="94"/>
      <c r="GXM64" s="94"/>
      <c r="GXN64" s="94"/>
      <c r="GXO64" s="94"/>
      <c r="GXP64" s="94"/>
      <c r="GXQ64" s="94"/>
      <c r="GXR64" s="94"/>
      <c r="GXS64" s="94"/>
      <c r="GXT64" s="94"/>
      <c r="GXU64" s="94"/>
      <c r="GXV64" s="94"/>
      <c r="GXW64" s="94"/>
      <c r="GXX64" s="94"/>
      <c r="GXY64" s="94"/>
      <c r="GXZ64" s="94"/>
      <c r="GYA64" s="94"/>
      <c r="GYB64" s="94"/>
      <c r="GYC64" s="94"/>
      <c r="GYD64" s="94"/>
      <c r="GYE64" s="94"/>
      <c r="GYF64" s="94"/>
      <c r="GYG64" s="94"/>
      <c r="GYH64" s="94"/>
      <c r="GYI64" s="94"/>
      <c r="GYJ64" s="94"/>
      <c r="GYK64" s="94"/>
      <c r="GYL64" s="94"/>
      <c r="GYM64" s="94"/>
      <c r="GYN64" s="94"/>
      <c r="GYO64" s="94"/>
      <c r="GYP64" s="94"/>
      <c r="GYQ64" s="94"/>
      <c r="GYR64" s="94"/>
      <c r="GYS64" s="94"/>
      <c r="GYT64" s="94"/>
      <c r="GYU64" s="94"/>
      <c r="GYV64" s="94"/>
      <c r="GYW64" s="94"/>
      <c r="GYX64" s="94"/>
      <c r="GYY64" s="94"/>
      <c r="GYZ64" s="94"/>
      <c r="GZA64" s="94"/>
      <c r="GZB64" s="94"/>
      <c r="GZC64" s="94"/>
      <c r="GZD64" s="94"/>
      <c r="GZE64" s="94"/>
      <c r="GZF64" s="94"/>
      <c r="GZG64" s="94"/>
      <c r="GZH64" s="94"/>
      <c r="GZI64" s="94"/>
      <c r="GZJ64" s="94"/>
      <c r="GZK64" s="94"/>
      <c r="GZL64" s="94"/>
      <c r="GZM64" s="94"/>
      <c r="GZN64" s="94"/>
      <c r="GZO64" s="94"/>
      <c r="GZP64" s="94"/>
      <c r="GZQ64" s="94"/>
      <c r="GZR64" s="94"/>
      <c r="GZS64" s="94"/>
      <c r="GZT64" s="94"/>
      <c r="GZU64" s="94"/>
      <c r="GZV64" s="94"/>
      <c r="GZW64" s="94"/>
      <c r="GZX64" s="94"/>
      <c r="GZY64" s="94"/>
      <c r="GZZ64" s="94"/>
      <c r="HAA64" s="94"/>
      <c r="HAB64" s="94"/>
      <c r="HAC64" s="94"/>
      <c r="HAD64" s="94"/>
      <c r="HAE64" s="94"/>
      <c r="HAF64" s="94"/>
      <c r="HAG64" s="94"/>
      <c r="HAH64" s="94"/>
      <c r="HAI64" s="94"/>
      <c r="HAJ64" s="94"/>
      <c r="HAK64" s="94"/>
      <c r="HAL64" s="94"/>
      <c r="HAM64" s="94"/>
      <c r="HAN64" s="94"/>
      <c r="HAO64" s="94"/>
      <c r="HAP64" s="94"/>
      <c r="HAQ64" s="94"/>
      <c r="HAR64" s="94"/>
      <c r="HAS64" s="94"/>
      <c r="HAT64" s="94"/>
      <c r="HAU64" s="94"/>
      <c r="HAV64" s="94"/>
      <c r="HAW64" s="94"/>
      <c r="HAX64" s="94"/>
      <c r="HAY64" s="94"/>
      <c r="HAZ64" s="94"/>
      <c r="HBA64" s="94"/>
      <c r="HBB64" s="94"/>
      <c r="HBC64" s="94"/>
      <c r="HBD64" s="94"/>
      <c r="HBE64" s="94"/>
      <c r="HBF64" s="94"/>
      <c r="HBG64" s="94"/>
      <c r="HBH64" s="94"/>
      <c r="HBI64" s="94"/>
      <c r="HBJ64" s="94"/>
      <c r="HBK64" s="94"/>
      <c r="HBL64" s="94"/>
      <c r="HBM64" s="94"/>
      <c r="HBN64" s="94"/>
      <c r="HBO64" s="94"/>
      <c r="HBP64" s="94"/>
      <c r="HBQ64" s="94"/>
      <c r="HBR64" s="94"/>
      <c r="HBS64" s="94"/>
      <c r="HBT64" s="94"/>
      <c r="HBU64" s="94"/>
      <c r="HBV64" s="94"/>
      <c r="HBW64" s="94"/>
      <c r="HBX64" s="94"/>
      <c r="HBY64" s="94"/>
      <c r="HBZ64" s="94"/>
      <c r="HCA64" s="94"/>
      <c r="HCB64" s="94"/>
      <c r="HCC64" s="94"/>
      <c r="HCD64" s="94"/>
      <c r="HCE64" s="94"/>
      <c r="HCF64" s="94"/>
      <c r="HCG64" s="94"/>
      <c r="HCH64" s="94"/>
      <c r="HCI64" s="94"/>
      <c r="HCJ64" s="94"/>
      <c r="HCK64" s="94"/>
      <c r="HCL64" s="94"/>
      <c r="HCM64" s="94"/>
      <c r="HCN64" s="94"/>
      <c r="HCO64" s="94"/>
      <c r="HCP64" s="94"/>
      <c r="HCQ64" s="94"/>
      <c r="HCR64" s="94"/>
      <c r="HCS64" s="94"/>
      <c r="HCT64" s="94"/>
      <c r="HCU64" s="94"/>
      <c r="HCV64" s="94"/>
      <c r="HCW64" s="94"/>
      <c r="HCX64" s="94"/>
      <c r="HCY64" s="94"/>
      <c r="HCZ64" s="94"/>
      <c r="HDA64" s="94"/>
      <c r="HDB64" s="94"/>
      <c r="HDC64" s="94"/>
      <c r="HDD64" s="94"/>
      <c r="HDE64" s="94"/>
      <c r="HDF64" s="94"/>
      <c r="HDG64" s="94"/>
      <c r="HDH64" s="94"/>
      <c r="HDI64" s="94"/>
      <c r="HDJ64" s="94"/>
      <c r="HDK64" s="94"/>
      <c r="HDL64" s="94"/>
      <c r="HDM64" s="94"/>
      <c r="HDN64" s="94"/>
      <c r="HDO64" s="94"/>
      <c r="HDP64" s="94"/>
      <c r="HDQ64" s="94"/>
      <c r="HDR64" s="94"/>
      <c r="HDS64" s="94"/>
      <c r="HDT64" s="94"/>
      <c r="HDU64" s="94"/>
      <c r="HDV64" s="94"/>
      <c r="HDW64" s="94"/>
      <c r="HDX64" s="94"/>
      <c r="HDY64" s="94"/>
      <c r="HDZ64" s="94"/>
      <c r="HEA64" s="94"/>
      <c r="HEB64" s="94"/>
      <c r="HEC64" s="94"/>
      <c r="HED64" s="94"/>
      <c r="HEE64" s="94"/>
      <c r="HEF64" s="94"/>
      <c r="HEG64" s="94"/>
      <c r="HEH64" s="94"/>
      <c r="HEI64" s="94"/>
      <c r="HEJ64" s="94"/>
      <c r="HEK64" s="94"/>
      <c r="HEL64" s="94"/>
      <c r="HEM64" s="94"/>
      <c r="HEN64" s="94"/>
      <c r="HEO64" s="94"/>
      <c r="HEP64" s="94"/>
      <c r="HEQ64" s="94"/>
      <c r="HER64" s="94"/>
      <c r="HES64" s="94"/>
      <c r="HET64" s="94"/>
      <c r="HEU64" s="94"/>
      <c r="HEV64" s="94"/>
      <c r="HEW64" s="94"/>
      <c r="HEX64" s="94"/>
      <c r="HEY64" s="94"/>
      <c r="HEZ64" s="94"/>
      <c r="HFA64" s="94"/>
      <c r="HFB64" s="94"/>
      <c r="HFC64" s="94"/>
      <c r="HFD64" s="94"/>
      <c r="HFE64" s="94"/>
      <c r="HFF64" s="94"/>
      <c r="HFG64" s="94"/>
      <c r="HFH64" s="94"/>
      <c r="HFI64" s="94"/>
      <c r="HFJ64" s="94"/>
      <c r="HFK64" s="94"/>
      <c r="HFL64" s="94"/>
      <c r="HFM64" s="94"/>
      <c r="HFN64" s="94"/>
      <c r="HFO64" s="94"/>
      <c r="HFP64" s="94"/>
      <c r="HFQ64" s="94"/>
      <c r="HFR64" s="94"/>
      <c r="HFS64" s="94"/>
      <c r="HFT64" s="94"/>
      <c r="HFU64" s="94"/>
      <c r="HFV64" s="94"/>
      <c r="HFW64" s="94"/>
      <c r="HFX64" s="94"/>
      <c r="HFY64" s="94"/>
      <c r="HFZ64" s="94"/>
      <c r="HGA64" s="94"/>
      <c r="HGB64" s="94"/>
      <c r="HGC64" s="94"/>
      <c r="HGD64" s="94"/>
      <c r="HGE64" s="94"/>
      <c r="HGF64" s="94"/>
      <c r="HGG64" s="94"/>
      <c r="HGH64" s="94"/>
      <c r="HGI64" s="94"/>
      <c r="HGJ64" s="94"/>
      <c r="HGK64" s="94"/>
      <c r="HGL64" s="94"/>
      <c r="HGM64" s="94"/>
      <c r="HGN64" s="94"/>
      <c r="HGO64" s="94"/>
      <c r="HGP64" s="94"/>
      <c r="HGQ64" s="94"/>
      <c r="HGR64" s="94"/>
      <c r="HGS64" s="94"/>
      <c r="HGT64" s="94"/>
      <c r="HGU64" s="94"/>
      <c r="HGV64" s="94"/>
      <c r="HGW64" s="94"/>
      <c r="HGX64" s="94"/>
      <c r="HGY64" s="94"/>
      <c r="HGZ64" s="94"/>
      <c r="HHA64" s="94"/>
      <c r="HHB64" s="94"/>
      <c r="HHC64" s="94"/>
      <c r="HHD64" s="94"/>
      <c r="HHE64" s="94"/>
      <c r="HHF64" s="94"/>
      <c r="HHG64" s="94"/>
      <c r="HHH64" s="94"/>
      <c r="HHI64" s="94"/>
      <c r="HHJ64" s="94"/>
      <c r="HHK64" s="94"/>
      <c r="HHL64" s="94"/>
      <c r="HHM64" s="94"/>
      <c r="HHN64" s="94"/>
      <c r="HHO64" s="94"/>
      <c r="HHP64" s="94"/>
      <c r="HHQ64" s="94"/>
      <c r="HHR64" s="94"/>
      <c r="HHS64" s="94"/>
      <c r="HHT64" s="94"/>
      <c r="HHU64" s="94"/>
      <c r="HHV64" s="94"/>
      <c r="HHW64" s="94"/>
      <c r="HHX64" s="94"/>
      <c r="HHY64" s="94"/>
      <c r="HHZ64" s="94"/>
      <c r="HIA64" s="94"/>
      <c r="HIB64" s="94"/>
      <c r="HIC64" s="94"/>
      <c r="HID64" s="94"/>
      <c r="HIE64" s="94"/>
      <c r="HIF64" s="94"/>
      <c r="HIG64" s="94"/>
      <c r="HIH64" s="94"/>
      <c r="HII64" s="94"/>
      <c r="HIJ64" s="94"/>
      <c r="HIK64" s="94"/>
      <c r="HIL64" s="94"/>
      <c r="HIM64" s="94"/>
      <c r="HIN64" s="94"/>
      <c r="HIO64" s="94"/>
      <c r="HIP64" s="94"/>
      <c r="HIQ64" s="94"/>
      <c r="HIR64" s="94"/>
      <c r="HIS64" s="94"/>
      <c r="HIT64" s="94"/>
      <c r="HIU64" s="94"/>
      <c r="HIV64" s="94"/>
      <c r="HIW64" s="94"/>
      <c r="HIX64" s="94"/>
      <c r="HIY64" s="94"/>
      <c r="HIZ64" s="94"/>
      <c r="HJA64" s="94"/>
      <c r="HJB64" s="94"/>
      <c r="HJC64" s="94"/>
      <c r="HJD64" s="94"/>
      <c r="HJE64" s="94"/>
      <c r="HJF64" s="94"/>
      <c r="HJG64" s="94"/>
      <c r="HJH64" s="94"/>
      <c r="HJI64" s="94"/>
      <c r="HJJ64" s="94"/>
      <c r="HJK64" s="94"/>
      <c r="HJL64" s="94"/>
      <c r="HJM64" s="94"/>
      <c r="HJN64" s="94"/>
      <c r="HJO64" s="94"/>
      <c r="HJP64" s="94"/>
      <c r="HJQ64" s="94"/>
      <c r="HJR64" s="94"/>
      <c r="HJS64" s="94"/>
      <c r="HJT64" s="94"/>
      <c r="HJU64" s="94"/>
      <c r="HJV64" s="94"/>
      <c r="HJW64" s="94"/>
      <c r="HJX64" s="94"/>
      <c r="HJY64" s="94"/>
      <c r="HJZ64" s="94"/>
      <c r="HKA64" s="94"/>
      <c r="HKB64" s="94"/>
      <c r="HKC64" s="94"/>
      <c r="HKD64" s="94"/>
      <c r="HKE64" s="94"/>
      <c r="HKF64" s="94"/>
      <c r="HKG64" s="94"/>
      <c r="HKH64" s="94"/>
      <c r="HKI64" s="94"/>
      <c r="HKJ64" s="94"/>
      <c r="HKK64" s="94"/>
      <c r="HKL64" s="94"/>
      <c r="HKM64" s="94"/>
      <c r="HKN64" s="94"/>
      <c r="HKO64" s="94"/>
      <c r="HKP64" s="94"/>
      <c r="HKQ64" s="94"/>
      <c r="HKR64" s="94"/>
      <c r="HKS64" s="94"/>
      <c r="HKT64" s="94"/>
      <c r="HKU64" s="94"/>
      <c r="HKV64" s="94"/>
      <c r="HKW64" s="94"/>
      <c r="HKX64" s="94"/>
      <c r="HKY64" s="94"/>
      <c r="HKZ64" s="94"/>
      <c r="HLA64" s="94"/>
      <c r="HLB64" s="94"/>
      <c r="HLC64" s="94"/>
      <c r="HLD64" s="94"/>
      <c r="HLE64" s="94"/>
      <c r="HLF64" s="94"/>
      <c r="HLG64" s="94"/>
      <c r="HLH64" s="94"/>
      <c r="HLI64" s="94"/>
      <c r="HLJ64" s="94"/>
      <c r="HLK64" s="94"/>
      <c r="HLL64" s="94"/>
      <c r="HLM64" s="94"/>
      <c r="HLN64" s="94"/>
      <c r="HLO64" s="94"/>
      <c r="HLP64" s="94"/>
      <c r="HLQ64" s="94"/>
      <c r="HLR64" s="94"/>
      <c r="HLS64" s="94"/>
      <c r="HLT64" s="94"/>
      <c r="HLU64" s="94"/>
      <c r="HLV64" s="94"/>
      <c r="HLW64" s="94"/>
      <c r="HLX64" s="94"/>
      <c r="HLY64" s="94"/>
      <c r="HLZ64" s="94"/>
      <c r="HMA64" s="94"/>
      <c r="HMB64" s="94"/>
      <c r="HMC64" s="94"/>
      <c r="HMD64" s="94"/>
      <c r="HME64" s="94"/>
      <c r="HMF64" s="94"/>
      <c r="HMG64" s="94"/>
      <c r="HMH64" s="94"/>
      <c r="HMI64" s="94"/>
      <c r="HMJ64" s="94"/>
      <c r="HMK64" s="94"/>
      <c r="HML64" s="94"/>
      <c r="HMM64" s="94"/>
      <c r="HMN64" s="94"/>
      <c r="HMO64" s="94"/>
      <c r="HMP64" s="94"/>
      <c r="HMQ64" s="94"/>
      <c r="HMR64" s="94"/>
      <c r="HMS64" s="94"/>
      <c r="HMT64" s="94"/>
      <c r="HMU64" s="94"/>
      <c r="HMV64" s="94"/>
      <c r="HMW64" s="94"/>
      <c r="HMX64" s="94"/>
      <c r="HMY64" s="94"/>
      <c r="HMZ64" s="94"/>
      <c r="HNA64" s="94"/>
      <c r="HNB64" s="94"/>
      <c r="HNC64" s="94"/>
      <c r="HND64" s="94"/>
      <c r="HNE64" s="94"/>
      <c r="HNF64" s="94"/>
      <c r="HNG64" s="94"/>
      <c r="HNH64" s="94"/>
      <c r="HNI64" s="94"/>
      <c r="HNJ64" s="94"/>
      <c r="HNK64" s="94"/>
      <c r="HNL64" s="94"/>
      <c r="HNM64" s="94"/>
      <c r="HNN64" s="94"/>
      <c r="HNO64" s="94"/>
      <c r="HNP64" s="94"/>
      <c r="HNQ64" s="94"/>
      <c r="HNR64" s="94"/>
      <c r="HNS64" s="94"/>
      <c r="HNT64" s="94"/>
      <c r="HNU64" s="94"/>
      <c r="HNV64" s="94"/>
      <c r="HNW64" s="94"/>
      <c r="HNX64" s="94"/>
      <c r="HNY64" s="94"/>
      <c r="HNZ64" s="94"/>
      <c r="HOA64" s="94"/>
      <c r="HOB64" s="94"/>
      <c r="HOC64" s="94"/>
      <c r="HOD64" s="94"/>
      <c r="HOE64" s="94"/>
      <c r="HOF64" s="94"/>
      <c r="HOG64" s="94"/>
      <c r="HOH64" s="94"/>
      <c r="HOI64" s="94"/>
      <c r="HOJ64" s="94"/>
      <c r="HOK64" s="94"/>
      <c r="HOL64" s="94"/>
      <c r="HOM64" s="94"/>
      <c r="HON64" s="94"/>
      <c r="HOO64" s="94"/>
      <c r="HOP64" s="94"/>
      <c r="HOQ64" s="94"/>
      <c r="HOR64" s="94"/>
      <c r="HOS64" s="94"/>
      <c r="HOT64" s="94"/>
      <c r="HOU64" s="94"/>
      <c r="HOV64" s="94"/>
      <c r="HOW64" s="94"/>
      <c r="HOX64" s="94"/>
      <c r="HOY64" s="94"/>
      <c r="HOZ64" s="94"/>
      <c r="HPA64" s="94"/>
      <c r="HPB64" s="94"/>
      <c r="HPC64" s="94"/>
      <c r="HPD64" s="94"/>
      <c r="HPE64" s="94"/>
      <c r="HPF64" s="94"/>
      <c r="HPG64" s="94"/>
      <c r="HPH64" s="94"/>
      <c r="HPI64" s="94"/>
      <c r="HPJ64" s="94"/>
      <c r="HPK64" s="94"/>
      <c r="HPL64" s="94"/>
      <c r="HPM64" s="94"/>
      <c r="HPN64" s="94"/>
      <c r="HPO64" s="94"/>
      <c r="HPP64" s="94"/>
      <c r="HPQ64" s="94"/>
      <c r="HPR64" s="94"/>
      <c r="HPS64" s="94"/>
      <c r="HPT64" s="94"/>
      <c r="HPU64" s="94"/>
      <c r="HPV64" s="94"/>
      <c r="HPW64" s="94"/>
      <c r="HPX64" s="94"/>
      <c r="HPY64" s="94"/>
      <c r="HPZ64" s="94"/>
      <c r="HQA64" s="94"/>
      <c r="HQB64" s="94"/>
      <c r="HQC64" s="94"/>
      <c r="HQD64" s="94"/>
      <c r="HQE64" s="94"/>
      <c r="HQF64" s="94"/>
      <c r="HQG64" s="94"/>
      <c r="HQH64" s="94"/>
      <c r="HQI64" s="94"/>
      <c r="HQJ64" s="94"/>
      <c r="HQK64" s="94"/>
      <c r="HQL64" s="94"/>
      <c r="HQM64" s="94"/>
      <c r="HQN64" s="94"/>
      <c r="HQO64" s="94"/>
      <c r="HQP64" s="94"/>
      <c r="HQQ64" s="94"/>
      <c r="HQR64" s="94"/>
      <c r="HQS64" s="94"/>
      <c r="HQT64" s="94"/>
      <c r="HQU64" s="94"/>
      <c r="HQV64" s="94"/>
      <c r="HQW64" s="94"/>
      <c r="HQX64" s="94"/>
      <c r="HQY64" s="94"/>
      <c r="HQZ64" s="94"/>
      <c r="HRA64" s="94"/>
      <c r="HRB64" s="94"/>
      <c r="HRC64" s="94"/>
      <c r="HRD64" s="94"/>
      <c r="HRE64" s="94"/>
      <c r="HRF64" s="94"/>
      <c r="HRG64" s="94"/>
      <c r="HRH64" s="94"/>
      <c r="HRI64" s="94"/>
      <c r="HRJ64" s="94"/>
      <c r="HRK64" s="94"/>
      <c r="HRL64" s="94"/>
      <c r="HRM64" s="94"/>
      <c r="HRN64" s="94"/>
      <c r="HRO64" s="94"/>
      <c r="HRP64" s="94"/>
      <c r="HRQ64" s="94"/>
      <c r="HRR64" s="94"/>
      <c r="HRS64" s="94"/>
      <c r="HRT64" s="94"/>
      <c r="HRU64" s="94"/>
      <c r="HRV64" s="94"/>
      <c r="HRW64" s="94"/>
      <c r="HRX64" s="94"/>
      <c r="HRY64" s="94"/>
      <c r="HRZ64" s="94"/>
      <c r="HSA64" s="94"/>
      <c r="HSB64" s="94"/>
      <c r="HSC64" s="94"/>
      <c r="HSD64" s="94"/>
      <c r="HSE64" s="94"/>
      <c r="HSF64" s="94"/>
      <c r="HSG64" s="94"/>
      <c r="HSH64" s="94"/>
      <c r="HSI64" s="94"/>
      <c r="HSJ64" s="94"/>
      <c r="HSK64" s="94"/>
      <c r="HSL64" s="94"/>
      <c r="HSM64" s="94"/>
      <c r="HSN64" s="94"/>
      <c r="HSO64" s="94"/>
      <c r="HSP64" s="94"/>
      <c r="HSQ64" s="94"/>
      <c r="HSR64" s="94"/>
      <c r="HSS64" s="94"/>
      <c r="HST64" s="94"/>
      <c r="HSU64" s="94"/>
      <c r="HSV64" s="94"/>
      <c r="HSW64" s="94"/>
      <c r="HSX64" s="94"/>
      <c r="HSY64" s="94"/>
      <c r="HSZ64" s="94"/>
      <c r="HTA64" s="94"/>
      <c r="HTB64" s="94"/>
      <c r="HTC64" s="94"/>
      <c r="HTD64" s="94"/>
      <c r="HTE64" s="94"/>
      <c r="HTF64" s="94"/>
      <c r="HTG64" s="94"/>
      <c r="HTH64" s="94"/>
      <c r="HTI64" s="94"/>
      <c r="HTJ64" s="94"/>
      <c r="HTK64" s="94"/>
      <c r="HTL64" s="94"/>
      <c r="HTM64" s="94"/>
      <c r="HTN64" s="94"/>
      <c r="HTO64" s="94"/>
      <c r="HTP64" s="94"/>
      <c r="HTQ64" s="94"/>
      <c r="HTR64" s="94"/>
      <c r="HTS64" s="94"/>
      <c r="HTT64" s="94"/>
      <c r="HTU64" s="94"/>
      <c r="HTV64" s="94"/>
      <c r="HTW64" s="94"/>
      <c r="HTX64" s="94"/>
      <c r="HTY64" s="94"/>
      <c r="HTZ64" s="94"/>
      <c r="HUA64" s="94"/>
      <c r="HUB64" s="94"/>
      <c r="HUC64" s="94"/>
      <c r="HUD64" s="94"/>
      <c r="HUE64" s="94"/>
      <c r="HUF64" s="94"/>
      <c r="HUG64" s="94"/>
      <c r="HUH64" s="94"/>
      <c r="HUI64" s="94"/>
      <c r="HUJ64" s="94"/>
      <c r="HUK64" s="94"/>
      <c r="HUL64" s="94"/>
      <c r="HUM64" s="94"/>
      <c r="HUN64" s="94"/>
      <c r="HUO64" s="94"/>
      <c r="HUP64" s="94"/>
      <c r="HUQ64" s="94"/>
      <c r="HUR64" s="94"/>
      <c r="HUS64" s="94"/>
      <c r="HUT64" s="94"/>
      <c r="HUU64" s="94"/>
      <c r="HUV64" s="94"/>
      <c r="HUW64" s="94"/>
      <c r="HUX64" s="94"/>
      <c r="HUY64" s="94"/>
      <c r="HUZ64" s="94"/>
      <c r="HVA64" s="94"/>
      <c r="HVB64" s="94"/>
      <c r="HVC64" s="94"/>
      <c r="HVD64" s="94"/>
      <c r="HVE64" s="94"/>
      <c r="HVF64" s="94"/>
      <c r="HVG64" s="94"/>
      <c r="HVH64" s="94"/>
      <c r="HVI64" s="94"/>
      <c r="HVJ64" s="94"/>
      <c r="HVK64" s="94"/>
      <c r="HVL64" s="94"/>
      <c r="HVM64" s="94"/>
      <c r="HVN64" s="94"/>
      <c r="HVO64" s="94"/>
      <c r="HVP64" s="94"/>
      <c r="HVQ64" s="94"/>
      <c r="HVR64" s="94"/>
      <c r="HVS64" s="94"/>
      <c r="HVT64" s="94"/>
      <c r="HVU64" s="94"/>
      <c r="HVV64" s="94"/>
      <c r="HVW64" s="94"/>
      <c r="HVX64" s="94"/>
      <c r="HVY64" s="94"/>
      <c r="HVZ64" s="94"/>
      <c r="HWA64" s="94"/>
      <c r="HWB64" s="94"/>
      <c r="HWC64" s="94"/>
      <c r="HWD64" s="94"/>
      <c r="HWE64" s="94"/>
      <c r="HWF64" s="94"/>
      <c r="HWG64" s="94"/>
      <c r="HWH64" s="94"/>
      <c r="HWI64" s="94"/>
      <c r="HWJ64" s="94"/>
      <c r="HWK64" s="94"/>
      <c r="HWL64" s="94"/>
      <c r="HWM64" s="94"/>
      <c r="HWN64" s="94"/>
      <c r="HWO64" s="94"/>
      <c r="HWP64" s="94"/>
      <c r="HWQ64" s="94"/>
      <c r="HWR64" s="94"/>
      <c r="HWS64" s="94"/>
      <c r="HWT64" s="94"/>
      <c r="HWU64" s="94"/>
      <c r="HWV64" s="94"/>
      <c r="HWW64" s="94"/>
      <c r="HWX64" s="94"/>
      <c r="HWY64" s="94"/>
      <c r="HWZ64" s="94"/>
      <c r="HXA64" s="94"/>
      <c r="HXB64" s="94"/>
      <c r="HXC64" s="94"/>
      <c r="HXD64" s="94"/>
      <c r="HXE64" s="94"/>
      <c r="HXF64" s="94"/>
      <c r="HXG64" s="94"/>
      <c r="HXH64" s="94"/>
      <c r="HXI64" s="94"/>
      <c r="HXJ64" s="94"/>
      <c r="HXK64" s="94"/>
      <c r="HXL64" s="94"/>
      <c r="HXM64" s="94"/>
      <c r="HXN64" s="94"/>
      <c r="HXO64" s="94"/>
      <c r="HXP64" s="94"/>
      <c r="HXQ64" s="94"/>
      <c r="HXR64" s="94"/>
      <c r="HXS64" s="94"/>
      <c r="HXT64" s="94"/>
      <c r="HXU64" s="94"/>
      <c r="HXV64" s="94"/>
      <c r="HXW64" s="94"/>
      <c r="HXX64" s="94"/>
      <c r="HXY64" s="94"/>
      <c r="HXZ64" s="94"/>
      <c r="HYA64" s="94"/>
      <c r="HYB64" s="94"/>
      <c r="HYC64" s="94"/>
      <c r="HYD64" s="94"/>
      <c r="HYE64" s="94"/>
      <c r="HYF64" s="94"/>
      <c r="HYG64" s="94"/>
      <c r="HYH64" s="94"/>
      <c r="HYI64" s="94"/>
      <c r="HYJ64" s="94"/>
      <c r="HYK64" s="94"/>
      <c r="HYL64" s="94"/>
      <c r="HYM64" s="94"/>
      <c r="HYN64" s="94"/>
      <c r="HYO64" s="94"/>
      <c r="HYP64" s="94"/>
      <c r="HYQ64" s="94"/>
      <c r="HYR64" s="94"/>
      <c r="HYS64" s="94"/>
      <c r="HYT64" s="94"/>
      <c r="HYU64" s="94"/>
      <c r="HYV64" s="94"/>
      <c r="HYW64" s="94"/>
      <c r="HYX64" s="94"/>
      <c r="HYY64" s="94"/>
      <c r="HYZ64" s="94"/>
      <c r="HZA64" s="94"/>
      <c r="HZB64" s="94"/>
      <c r="HZC64" s="94"/>
      <c r="HZD64" s="94"/>
      <c r="HZE64" s="94"/>
      <c r="HZF64" s="94"/>
      <c r="HZG64" s="94"/>
      <c r="HZH64" s="94"/>
      <c r="HZI64" s="94"/>
      <c r="HZJ64" s="94"/>
      <c r="HZK64" s="94"/>
      <c r="HZL64" s="94"/>
      <c r="HZM64" s="94"/>
      <c r="HZN64" s="94"/>
      <c r="HZO64" s="94"/>
      <c r="HZP64" s="94"/>
      <c r="HZQ64" s="94"/>
      <c r="HZR64" s="94"/>
      <c r="HZS64" s="94"/>
      <c r="HZT64" s="94"/>
      <c r="HZU64" s="94"/>
      <c r="HZV64" s="94"/>
      <c r="HZW64" s="94"/>
      <c r="HZX64" s="94"/>
      <c r="HZY64" s="94"/>
      <c r="HZZ64" s="94"/>
      <c r="IAA64" s="94"/>
      <c r="IAB64" s="94"/>
      <c r="IAC64" s="94"/>
      <c r="IAD64" s="94"/>
      <c r="IAE64" s="94"/>
      <c r="IAF64" s="94"/>
      <c r="IAG64" s="94"/>
      <c r="IAH64" s="94"/>
      <c r="IAI64" s="94"/>
      <c r="IAJ64" s="94"/>
      <c r="IAK64" s="94"/>
      <c r="IAL64" s="94"/>
      <c r="IAM64" s="94"/>
      <c r="IAN64" s="94"/>
      <c r="IAO64" s="94"/>
      <c r="IAP64" s="94"/>
      <c r="IAQ64" s="94"/>
      <c r="IAR64" s="94"/>
      <c r="IAS64" s="94"/>
      <c r="IAT64" s="94"/>
      <c r="IAU64" s="94"/>
      <c r="IAV64" s="94"/>
      <c r="IAW64" s="94"/>
      <c r="IAX64" s="94"/>
      <c r="IAY64" s="94"/>
      <c r="IAZ64" s="94"/>
      <c r="IBA64" s="94"/>
      <c r="IBB64" s="94"/>
      <c r="IBC64" s="94"/>
      <c r="IBD64" s="94"/>
      <c r="IBE64" s="94"/>
      <c r="IBF64" s="94"/>
      <c r="IBG64" s="94"/>
      <c r="IBH64" s="94"/>
      <c r="IBI64" s="94"/>
      <c r="IBJ64" s="94"/>
      <c r="IBK64" s="94"/>
      <c r="IBL64" s="94"/>
      <c r="IBM64" s="94"/>
      <c r="IBN64" s="94"/>
      <c r="IBO64" s="94"/>
      <c r="IBP64" s="94"/>
      <c r="IBQ64" s="94"/>
      <c r="IBR64" s="94"/>
      <c r="IBS64" s="94"/>
      <c r="IBT64" s="94"/>
      <c r="IBU64" s="94"/>
      <c r="IBV64" s="94"/>
      <c r="IBW64" s="94"/>
      <c r="IBX64" s="94"/>
      <c r="IBY64" s="94"/>
      <c r="IBZ64" s="94"/>
      <c r="ICA64" s="94"/>
      <c r="ICB64" s="94"/>
      <c r="ICC64" s="94"/>
      <c r="ICD64" s="94"/>
      <c r="ICE64" s="94"/>
      <c r="ICF64" s="94"/>
      <c r="ICG64" s="94"/>
      <c r="ICH64" s="94"/>
      <c r="ICI64" s="94"/>
      <c r="ICJ64" s="94"/>
      <c r="ICK64" s="94"/>
      <c r="ICL64" s="94"/>
      <c r="ICM64" s="94"/>
      <c r="ICN64" s="94"/>
      <c r="ICO64" s="94"/>
      <c r="ICP64" s="94"/>
      <c r="ICQ64" s="94"/>
      <c r="ICR64" s="94"/>
      <c r="ICS64" s="94"/>
      <c r="ICT64" s="94"/>
      <c r="ICU64" s="94"/>
      <c r="ICV64" s="94"/>
      <c r="ICW64" s="94"/>
      <c r="ICX64" s="94"/>
      <c r="ICY64" s="94"/>
      <c r="ICZ64" s="94"/>
      <c r="IDA64" s="94"/>
      <c r="IDB64" s="94"/>
      <c r="IDC64" s="94"/>
      <c r="IDD64" s="94"/>
      <c r="IDE64" s="94"/>
      <c r="IDF64" s="94"/>
      <c r="IDG64" s="94"/>
      <c r="IDH64" s="94"/>
      <c r="IDI64" s="94"/>
      <c r="IDJ64" s="94"/>
      <c r="IDK64" s="94"/>
      <c r="IDL64" s="94"/>
      <c r="IDM64" s="94"/>
      <c r="IDN64" s="94"/>
      <c r="IDO64" s="94"/>
      <c r="IDP64" s="94"/>
      <c r="IDQ64" s="94"/>
      <c r="IDR64" s="94"/>
      <c r="IDS64" s="94"/>
      <c r="IDT64" s="94"/>
      <c r="IDU64" s="94"/>
      <c r="IDV64" s="94"/>
      <c r="IDW64" s="94"/>
      <c r="IDX64" s="94"/>
      <c r="IDY64" s="94"/>
      <c r="IDZ64" s="94"/>
      <c r="IEA64" s="94"/>
      <c r="IEB64" s="94"/>
      <c r="IEC64" s="94"/>
      <c r="IED64" s="94"/>
      <c r="IEE64" s="94"/>
      <c r="IEF64" s="94"/>
      <c r="IEG64" s="94"/>
      <c r="IEH64" s="94"/>
      <c r="IEI64" s="94"/>
      <c r="IEJ64" s="94"/>
      <c r="IEK64" s="94"/>
      <c r="IEL64" s="94"/>
      <c r="IEM64" s="94"/>
      <c r="IEN64" s="94"/>
      <c r="IEO64" s="94"/>
      <c r="IEP64" s="94"/>
      <c r="IEQ64" s="94"/>
      <c r="IER64" s="94"/>
      <c r="IES64" s="94"/>
      <c r="IET64" s="94"/>
      <c r="IEU64" s="94"/>
      <c r="IEV64" s="94"/>
      <c r="IEW64" s="94"/>
      <c r="IEX64" s="94"/>
      <c r="IEY64" s="94"/>
      <c r="IEZ64" s="94"/>
      <c r="IFA64" s="94"/>
      <c r="IFB64" s="94"/>
      <c r="IFC64" s="94"/>
      <c r="IFD64" s="94"/>
      <c r="IFE64" s="94"/>
      <c r="IFF64" s="94"/>
      <c r="IFG64" s="94"/>
      <c r="IFH64" s="94"/>
      <c r="IFI64" s="94"/>
      <c r="IFJ64" s="94"/>
      <c r="IFK64" s="94"/>
      <c r="IFL64" s="94"/>
      <c r="IFM64" s="94"/>
      <c r="IFN64" s="94"/>
      <c r="IFO64" s="94"/>
      <c r="IFP64" s="94"/>
      <c r="IFQ64" s="94"/>
      <c r="IFR64" s="94"/>
      <c r="IFS64" s="94"/>
      <c r="IFT64" s="94"/>
      <c r="IFU64" s="94"/>
      <c r="IFV64" s="94"/>
      <c r="IFW64" s="94"/>
      <c r="IFX64" s="94"/>
      <c r="IFY64" s="94"/>
      <c r="IFZ64" s="94"/>
      <c r="IGA64" s="94"/>
      <c r="IGB64" s="94"/>
      <c r="IGC64" s="94"/>
      <c r="IGD64" s="94"/>
      <c r="IGE64" s="94"/>
      <c r="IGF64" s="94"/>
      <c r="IGG64" s="94"/>
      <c r="IGH64" s="94"/>
      <c r="IGI64" s="94"/>
      <c r="IGJ64" s="94"/>
      <c r="IGK64" s="94"/>
      <c r="IGL64" s="94"/>
      <c r="IGM64" s="94"/>
      <c r="IGN64" s="94"/>
      <c r="IGO64" s="94"/>
      <c r="IGP64" s="94"/>
      <c r="IGQ64" s="94"/>
      <c r="IGR64" s="94"/>
      <c r="IGS64" s="94"/>
      <c r="IGT64" s="94"/>
      <c r="IGU64" s="94"/>
      <c r="IGV64" s="94"/>
      <c r="IGW64" s="94"/>
      <c r="IGX64" s="94"/>
      <c r="IGY64" s="94"/>
      <c r="IGZ64" s="94"/>
      <c r="IHA64" s="94"/>
      <c r="IHB64" s="94"/>
      <c r="IHC64" s="94"/>
      <c r="IHD64" s="94"/>
      <c r="IHE64" s="94"/>
      <c r="IHF64" s="94"/>
      <c r="IHG64" s="94"/>
      <c r="IHH64" s="94"/>
      <c r="IHI64" s="94"/>
      <c r="IHJ64" s="94"/>
      <c r="IHK64" s="94"/>
      <c r="IHL64" s="94"/>
      <c r="IHM64" s="94"/>
      <c r="IHN64" s="94"/>
      <c r="IHO64" s="94"/>
      <c r="IHP64" s="94"/>
      <c r="IHQ64" s="94"/>
      <c r="IHR64" s="94"/>
      <c r="IHS64" s="94"/>
      <c r="IHT64" s="94"/>
      <c r="IHU64" s="94"/>
      <c r="IHV64" s="94"/>
      <c r="IHW64" s="94"/>
      <c r="IHX64" s="94"/>
      <c r="IHY64" s="94"/>
      <c r="IHZ64" s="94"/>
      <c r="IIA64" s="94"/>
      <c r="IIB64" s="94"/>
      <c r="IIC64" s="94"/>
      <c r="IID64" s="94"/>
      <c r="IIE64" s="94"/>
      <c r="IIF64" s="94"/>
      <c r="IIG64" s="94"/>
      <c r="IIH64" s="94"/>
      <c r="III64" s="94"/>
      <c r="IIJ64" s="94"/>
      <c r="IIK64" s="94"/>
      <c r="IIL64" s="94"/>
      <c r="IIM64" s="94"/>
      <c r="IIN64" s="94"/>
      <c r="IIO64" s="94"/>
      <c r="IIP64" s="94"/>
      <c r="IIQ64" s="94"/>
      <c r="IIR64" s="94"/>
      <c r="IIS64" s="94"/>
      <c r="IIT64" s="94"/>
      <c r="IIU64" s="94"/>
      <c r="IIV64" s="94"/>
      <c r="IIW64" s="94"/>
      <c r="IIX64" s="94"/>
      <c r="IIY64" s="94"/>
      <c r="IIZ64" s="94"/>
      <c r="IJA64" s="94"/>
      <c r="IJB64" s="94"/>
      <c r="IJC64" s="94"/>
      <c r="IJD64" s="94"/>
      <c r="IJE64" s="94"/>
      <c r="IJF64" s="94"/>
      <c r="IJG64" s="94"/>
      <c r="IJH64" s="94"/>
      <c r="IJI64" s="94"/>
      <c r="IJJ64" s="94"/>
      <c r="IJK64" s="94"/>
      <c r="IJL64" s="94"/>
      <c r="IJM64" s="94"/>
      <c r="IJN64" s="94"/>
      <c r="IJO64" s="94"/>
      <c r="IJP64" s="94"/>
      <c r="IJQ64" s="94"/>
      <c r="IJR64" s="94"/>
      <c r="IJS64" s="94"/>
      <c r="IJT64" s="94"/>
      <c r="IJU64" s="94"/>
      <c r="IJV64" s="94"/>
      <c r="IJW64" s="94"/>
      <c r="IJX64" s="94"/>
      <c r="IJY64" s="94"/>
      <c r="IJZ64" s="94"/>
      <c r="IKA64" s="94"/>
      <c r="IKB64" s="94"/>
      <c r="IKC64" s="94"/>
      <c r="IKD64" s="94"/>
      <c r="IKE64" s="94"/>
      <c r="IKF64" s="94"/>
      <c r="IKG64" s="94"/>
      <c r="IKH64" s="94"/>
      <c r="IKI64" s="94"/>
      <c r="IKJ64" s="94"/>
      <c r="IKK64" s="94"/>
      <c r="IKL64" s="94"/>
      <c r="IKM64" s="94"/>
      <c r="IKN64" s="94"/>
      <c r="IKO64" s="94"/>
      <c r="IKP64" s="94"/>
      <c r="IKQ64" s="94"/>
      <c r="IKR64" s="94"/>
      <c r="IKS64" s="94"/>
      <c r="IKT64" s="94"/>
      <c r="IKU64" s="94"/>
      <c r="IKV64" s="94"/>
      <c r="IKW64" s="94"/>
      <c r="IKX64" s="94"/>
      <c r="IKY64" s="94"/>
      <c r="IKZ64" s="94"/>
      <c r="ILA64" s="94"/>
      <c r="ILB64" s="94"/>
      <c r="ILC64" s="94"/>
      <c r="ILD64" s="94"/>
      <c r="ILE64" s="94"/>
      <c r="ILF64" s="94"/>
      <c r="ILG64" s="94"/>
      <c r="ILH64" s="94"/>
      <c r="ILI64" s="94"/>
      <c r="ILJ64" s="94"/>
      <c r="ILK64" s="94"/>
      <c r="ILL64" s="94"/>
      <c r="ILM64" s="94"/>
      <c r="ILN64" s="94"/>
      <c r="ILO64" s="94"/>
      <c r="ILP64" s="94"/>
      <c r="ILQ64" s="94"/>
      <c r="ILR64" s="94"/>
      <c r="ILS64" s="94"/>
      <c r="ILT64" s="94"/>
      <c r="ILU64" s="94"/>
      <c r="ILV64" s="94"/>
      <c r="ILW64" s="94"/>
      <c r="ILX64" s="94"/>
      <c r="ILY64" s="94"/>
      <c r="ILZ64" s="94"/>
      <c r="IMA64" s="94"/>
      <c r="IMB64" s="94"/>
      <c r="IMC64" s="94"/>
      <c r="IMD64" s="94"/>
      <c r="IME64" s="94"/>
      <c r="IMF64" s="94"/>
      <c r="IMG64" s="94"/>
      <c r="IMH64" s="94"/>
      <c r="IMI64" s="94"/>
      <c r="IMJ64" s="94"/>
      <c r="IMK64" s="94"/>
      <c r="IML64" s="94"/>
      <c r="IMM64" s="94"/>
      <c r="IMN64" s="94"/>
      <c r="IMO64" s="94"/>
      <c r="IMP64" s="94"/>
      <c r="IMQ64" s="94"/>
      <c r="IMR64" s="94"/>
      <c r="IMS64" s="94"/>
      <c r="IMT64" s="94"/>
      <c r="IMU64" s="94"/>
      <c r="IMV64" s="94"/>
      <c r="IMW64" s="94"/>
      <c r="IMX64" s="94"/>
      <c r="IMY64" s="94"/>
      <c r="IMZ64" s="94"/>
      <c r="INA64" s="94"/>
      <c r="INB64" s="94"/>
      <c r="INC64" s="94"/>
      <c r="IND64" s="94"/>
      <c r="INE64" s="94"/>
      <c r="INF64" s="94"/>
      <c r="ING64" s="94"/>
      <c r="INH64" s="94"/>
      <c r="INI64" s="94"/>
      <c r="INJ64" s="94"/>
      <c r="INK64" s="94"/>
      <c r="INL64" s="94"/>
      <c r="INM64" s="94"/>
      <c r="INN64" s="94"/>
      <c r="INO64" s="94"/>
      <c r="INP64" s="94"/>
      <c r="INQ64" s="94"/>
      <c r="INR64" s="94"/>
      <c r="INS64" s="94"/>
      <c r="INT64" s="94"/>
      <c r="INU64" s="94"/>
      <c r="INV64" s="94"/>
      <c r="INW64" s="94"/>
      <c r="INX64" s="94"/>
      <c r="INY64" s="94"/>
      <c r="INZ64" s="94"/>
      <c r="IOA64" s="94"/>
      <c r="IOB64" s="94"/>
      <c r="IOC64" s="94"/>
      <c r="IOD64" s="94"/>
      <c r="IOE64" s="94"/>
      <c r="IOF64" s="94"/>
      <c r="IOG64" s="94"/>
      <c r="IOH64" s="94"/>
      <c r="IOI64" s="94"/>
      <c r="IOJ64" s="94"/>
      <c r="IOK64" s="94"/>
      <c r="IOL64" s="94"/>
      <c r="IOM64" s="94"/>
      <c r="ION64" s="94"/>
      <c r="IOO64" s="94"/>
      <c r="IOP64" s="94"/>
      <c r="IOQ64" s="94"/>
      <c r="IOR64" s="94"/>
      <c r="IOS64" s="94"/>
      <c r="IOT64" s="94"/>
      <c r="IOU64" s="94"/>
      <c r="IOV64" s="94"/>
      <c r="IOW64" s="94"/>
      <c r="IOX64" s="94"/>
      <c r="IOY64" s="94"/>
      <c r="IOZ64" s="94"/>
      <c r="IPA64" s="94"/>
      <c r="IPB64" s="94"/>
      <c r="IPC64" s="94"/>
      <c r="IPD64" s="94"/>
      <c r="IPE64" s="94"/>
      <c r="IPF64" s="94"/>
      <c r="IPG64" s="94"/>
      <c r="IPH64" s="94"/>
      <c r="IPI64" s="94"/>
      <c r="IPJ64" s="94"/>
      <c r="IPK64" s="94"/>
      <c r="IPL64" s="94"/>
      <c r="IPM64" s="94"/>
      <c r="IPN64" s="94"/>
      <c r="IPO64" s="94"/>
      <c r="IPP64" s="94"/>
      <c r="IPQ64" s="94"/>
      <c r="IPR64" s="94"/>
      <c r="IPS64" s="94"/>
      <c r="IPT64" s="94"/>
      <c r="IPU64" s="94"/>
      <c r="IPV64" s="94"/>
      <c r="IPW64" s="94"/>
      <c r="IPX64" s="94"/>
      <c r="IPY64" s="94"/>
      <c r="IPZ64" s="94"/>
      <c r="IQA64" s="94"/>
      <c r="IQB64" s="94"/>
      <c r="IQC64" s="94"/>
      <c r="IQD64" s="94"/>
      <c r="IQE64" s="94"/>
      <c r="IQF64" s="94"/>
      <c r="IQG64" s="94"/>
      <c r="IQH64" s="94"/>
      <c r="IQI64" s="94"/>
      <c r="IQJ64" s="94"/>
      <c r="IQK64" s="94"/>
      <c r="IQL64" s="94"/>
      <c r="IQM64" s="94"/>
      <c r="IQN64" s="94"/>
      <c r="IQO64" s="94"/>
      <c r="IQP64" s="94"/>
      <c r="IQQ64" s="94"/>
      <c r="IQR64" s="94"/>
      <c r="IQS64" s="94"/>
      <c r="IQT64" s="94"/>
      <c r="IQU64" s="94"/>
      <c r="IQV64" s="94"/>
      <c r="IQW64" s="94"/>
      <c r="IQX64" s="94"/>
      <c r="IQY64" s="94"/>
      <c r="IQZ64" s="94"/>
      <c r="IRA64" s="94"/>
      <c r="IRB64" s="94"/>
      <c r="IRC64" s="94"/>
      <c r="IRD64" s="94"/>
      <c r="IRE64" s="94"/>
      <c r="IRF64" s="94"/>
      <c r="IRG64" s="94"/>
      <c r="IRH64" s="94"/>
      <c r="IRI64" s="94"/>
      <c r="IRJ64" s="94"/>
      <c r="IRK64" s="94"/>
      <c r="IRL64" s="94"/>
      <c r="IRM64" s="94"/>
      <c r="IRN64" s="94"/>
      <c r="IRO64" s="94"/>
      <c r="IRP64" s="94"/>
      <c r="IRQ64" s="94"/>
      <c r="IRR64" s="94"/>
      <c r="IRS64" s="94"/>
      <c r="IRT64" s="94"/>
      <c r="IRU64" s="94"/>
      <c r="IRV64" s="94"/>
      <c r="IRW64" s="94"/>
      <c r="IRX64" s="94"/>
      <c r="IRY64" s="94"/>
      <c r="IRZ64" s="94"/>
      <c r="ISA64" s="94"/>
      <c r="ISB64" s="94"/>
      <c r="ISC64" s="94"/>
      <c r="ISD64" s="94"/>
      <c r="ISE64" s="94"/>
      <c r="ISF64" s="94"/>
      <c r="ISG64" s="94"/>
      <c r="ISH64" s="94"/>
      <c r="ISI64" s="94"/>
      <c r="ISJ64" s="94"/>
      <c r="ISK64" s="94"/>
      <c r="ISL64" s="94"/>
      <c r="ISM64" s="94"/>
      <c r="ISN64" s="94"/>
      <c r="ISO64" s="94"/>
      <c r="ISP64" s="94"/>
      <c r="ISQ64" s="94"/>
      <c r="ISR64" s="94"/>
      <c r="ISS64" s="94"/>
      <c r="IST64" s="94"/>
      <c r="ISU64" s="94"/>
      <c r="ISV64" s="94"/>
      <c r="ISW64" s="94"/>
      <c r="ISX64" s="94"/>
      <c r="ISY64" s="94"/>
      <c r="ISZ64" s="94"/>
      <c r="ITA64" s="94"/>
      <c r="ITB64" s="94"/>
      <c r="ITC64" s="94"/>
      <c r="ITD64" s="94"/>
      <c r="ITE64" s="94"/>
      <c r="ITF64" s="94"/>
      <c r="ITG64" s="94"/>
      <c r="ITH64" s="94"/>
      <c r="ITI64" s="94"/>
      <c r="ITJ64" s="94"/>
      <c r="ITK64" s="94"/>
      <c r="ITL64" s="94"/>
      <c r="ITM64" s="94"/>
      <c r="ITN64" s="94"/>
      <c r="ITO64" s="94"/>
      <c r="ITP64" s="94"/>
      <c r="ITQ64" s="94"/>
      <c r="ITR64" s="94"/>
      <c r="ITS64" s="94"/>
      <c r="ITT64" s="94"/>
      <c r="ITU64" s="94"/>
      <c r="ITV64" s="94"/>
      <c r="ITW64" s="94"/>
      <c r="ITX64" s="94"/>
      <c r="ITY64" s="94"/>
      <c r="ITZ64" s="94"/>
      <c r="IUA64" s="94"/>
      <c r="IUB64" s="94"/>
      <c r="IUC64" s="94"/>
      <c r="IUD64" s="94"/>
      <c r="IUE64" s="94"/>
      <c r="IUF64" s="94"/>
      <c r="IUG64" s="94"/>
      <c r="IUH64" s="94"/>
      <c r="IUI64" s="94"/>
      <c r="IUJ64" s="94"/>
      <c r="IUK64" s="94"/>
      <c r="IUL64" s="94"/>
      <c r="IUM64" s="94"/>
      <c r="IUN64" s="94"/>
      <c r="IUO64" s="94"/>
      <c r="IUP64" s="94"/>
      <c r="IUQ64" s="94"/>
      <c r="IUR64" s="94"/>
      <c r="IUS64" s="94"/>
      <c r="IUT64" s="94"/>
      <c r="IUU64" s="94"/>
      <c r="IUV64" s="94"/>
      <c r="IUW64" s="94"/>
      <c r="IUX64" s="94"/>
      <c r="IUY64" s="94"/>
      <c r="IUZ64" s="94"/>
      <c r="IVA64" s="94"/>
      <c r="IVB64" s="94"/>
      <c r="IVC64" s="94"/>
      <c r="IVD64" s="94"/>
      <c r="IVE64" s="94"/>
      <c r="IVF64" s="94"/>
      <c r="IVG64" s="94"/>
      <c r="IVH64" s="94"/>
      <c r="IVI64" s="94"/>
      <c r="IVJ64" s="94"/>
      <c r="IVK64" s="94"/>
      <c r="IVL64" s="94"/>
      <c r="IVM64" s="94"/>
      <c r="IVN64" s="94"/>
      <c r="IVO64" s="94"/>
      <c r="IVP64" s="94"/>
      <c r="IVQ64" s="94"/>
      <c r="IVR64" s="94"/>
      <c r="IVS64" s="94"/>
      <c r="IVT64" s="94"/>
      <c r="IVU64" s="94"/>
      <c r="IVV64" s="94"/>
      <c r="IVW64" s="94"/>
      <c r="IVX64" s="94"/>
      <c r="IVY64" s="94"/>
      <c r="IVZ64" s="94"/>
      <c r="IWA64" s="94"/>
      <c r="IWB64" s="94"/>
      <c r="IWC64" s="94"/>
      <c r="IWD64" s="94"/>
      <c r="IWE64" s="94"/>
      <c r="IWF64" s="94"/>
      <c r="IWG64" s="94"/>
      <c r="IWH64" s="94"/>
      <c r="IWI64" s="94"/>
      <c r="IWJ64" s="94"/>
      <c r="IWK64" s="94"/>
      <c r="IWL64" s="94"/>
      <c r="IWM64" s="94"/>
      <c r="IWN64" s="94"/>
      <c r="IWO64" s="94"/>
      <c r="IWP64" s="94"/>
      <c r="IWQ64" s="94"/>
      <c r="IWR64" s="94"/>
      <c r="IWS64" s="94"/>
      <c r="IWT64" s="94"/>
      <c r="IWU64" s="94"/>
      <c r="IWV64" s="94"/>
      <c r="IWW64" s="94"/>
      <c r="IWX64" s="94"/>
      <c r="IWY64" s="94"/>
      <c r="IWZ64" s="94"/>
      <c r="IXA64" s="94"/>
      <c r="IXB64" s="94"/>
      <c r="IXC64" s="94"/>
      <c r="IXD64" s="94"/>
      <c r="IXE64" s="94"/>
      <c r="IXF64" s="94"/>
      <c r="IXG64" s="94"/>
      <c r="IXH64" s="94"/>
      <c r="IXI64" s="94"/>
      <c r="IXJ64" s="94"/>
      <c r="IXK64" s="94"/>
      <c r="IXL64" s="94"/>
      <c r="IXM64" s="94"/>
      <c r="IXN64" s="94"/>
      <c r="IXO64" s="94"/>
      <c r="IXP64" s="94"/>
      <c r="IXQ64" s="94"/>
      <c r="IXR64" s="94"/>
      <c r="IXS64" s="94"/>
      <c r="IXT64" s="94"/>
      <c r="IXU64" s="94"/>
      <c r="IXV64" s="94"/>
      <c r="IXW64" s="94"/>
      <c r="IXX64" s="94"/>
      <c r="IXY64" s="94"/>
      <c r="IXZ64" s="94"/>
      <c r="IYA64" s="94"/>
      <c r="IYB64" s="94"/>
      <c r="IYC64" s="94"/>
      <c r="IYD64" s="94"/>
      <c r="IYE64" s="94"/>
      <c r="IYF64" s="94"/>
      <c r="IYG64" s="94"/>
      <c r="IYH64" s="94"/>
      <c r="IYI64" s="94"/>
      <c r="IYJ64" s="94"/>
      <c r="IYK64" s="94"/>
      <c r="IYL64" s="94"/>
      <c r="IYM64" s="94"/>
      <c r="IYN64" s="94"/>
      <c r="IYO64" s="94"/>
      <c r="IYP64" s="94"/>
      <c r="IYQ64" s="94"/>
      <c r="IYR64" s="94"/>
      <c r="IYS64" s="94"/>
      <c r="IYT64" s="94"/>
      <c r="IYU64" s="94"/>
      <c r="IYV64" s="94"/>
      <c r="IYW64" s="94"/>
      <c r="IYX64" s="94"/>
      <c r="IYY64" s="94"/>
      <c r="IYZ64" s="94"/>
      <c r="IZA64" s="94"/>
      <c r="IZB64" s="94"/>
      <c r="IZC64" s="94"/>
      <c r="IZD64" s="94"/>
      <c r="IZE64" s="94"/>
      <c r="IZF64" s="94"/>
      <c r="IZG64" s="94"/>
      <c r="IZH64" s="94"/>
      <c r="IZI64" s="94"/>
      <c r="IZJ64" s="94"/>
      <c r="IZK64" s="94"/>
      <c r="IZL64" s="94"/>
      <c r="IZM64" s="94"/>
      <c r="IZN64" s="94"/>
      <c r="IZO64" s="94"/>
      <c r="IZP64" s="94"/>
      <c r="IZQ64" s="94"/>
      <c r="IZR64" s="94"/>
      <c r="IZS64" s="94"/>
      <c r="IZT64" s="94"/>
      <c r="IZU64" s="94"/>
      <c r="IZV64" s="94"/>
      <c r="IZW64" s="94"/>
      <c r="IZX64" s="94"/>
      <c r="IZY64" s="94"/>
      <c r="IZZ64" s="94"/>
      <c r="JAA64" s="94"/>
      <c r="JAB64" s="94"/>
      <c r="JAC64" s="94"/>
      <c r="JAD64" s="94"/>
      <c r="JAE64" s="94"/>
      <c r="JAF64" s="94"/>
      <c r="JAG64" s="94"/>
      <c r="JAH64" s="94"/>
      <c r="JAI64" s="94"/>
      <c r="JAJ64" s="94"/>
      <c r="JAK64" s="94"/>
      <c r="JAL64" s="94"/>
      <c r="JAM64" s="94"/>
      <c r="JAN64" s="94"/>
      <c r="JAO64" s="94"/>
      <c r="JAP64" s="94"/>
      <c r="JAQ64" s="94"/>
      <c r="JAR64" s="94"/>
      <c r="JAS64" s="94"/>
      <c r="JAT64" s="94"/>
      <c r="JAU64" s="94"/>
      <c r="JAV64" s="94"/>
      <c r="JAW64" s="94"/>
      <c r="JAX64" s="94"/>
      <c r="JAY64" s="94"/>
      <c r="JAZ64" s="94"/>
      <c r="JBA64" s="94"/>
      <c r="JBB64" s="94"/>
      <c r="JBC64" s="94"/>
      <c r="JBD64" s="94"/>
      <c r="JBE64" s="94"/>
      <c r="JBF64" s="94"/>
      <c r="JBG64" s="94"/>
      <c r="JBH64" s="94"/>
      <c r="JBI64" s="94"/>
      <c r="JBJ64" s="94"/>
      <c r="JBK64" s="94"/>
      <c r="JBL64" s="94"/>
      <c r="JBM64" s="94"/>
      <c r="JBN64" s="94"/>
      <c r="JBO64" s="94"/>
      <c r="JBP64" s="94"/>
      <c r="JBQ64" s="94"/>
      <c r="JBR64" s="94"/>
      <c r="JBS64" s="94"/>
      <c r="JBT64" s="94"/>
      <c r="JBU64" s="94"/>
      <c r="JBV64" s="94"/>
      <c r="JBW64" s="94"/>
      <c r="JBX64" s="94"/>
      <c r="JBY64" s="94"/>
      <c r="JBZ64" s="94"/>
      <c r="JCA64" s="94"/>
      <c r="JCB64" s="94"/>
      <c r="JCC64" s="94"/>
      <c r="JCD64" s="94"/>
      <c r="JCE64" s="94"/>
      <c r="JCF64" s="94"/>
      <c r="JCG64" s="94"/>
      <c r="JCH64" s="94"/>
      <c r="JCI64" s="94"/>
      <c r="JCJ64" s="94"/>
      <c r="JCK64" s="94"/>
      <c r="JCL64" s="94"/>
      <c r="JCM64" s="94"/>
      <c r="JCN64" s="94"/>
      <c r="JCO64" s="94"/>
      <c r="JCP64" s="94"/>
      <c r="JCQ64" s="94"/>
      <c r="JCR64" s="94"/>
      <c r="JCS64" s="94"/>
      <c r="JCT64" s="94"/>
      <c r="JCU64" s="94"/>
      <c r="JCV64" s="94"/>
      <c r="JCW64" s="94"/>
      <c r="JCX64" s="94"/>
      <c r="JCY64" s="94"/>
      <c r="JCZ64" s="94"/>
      <c r="JDA64" s="94"/>
      <c r="JDB64" s="94"/>
      <c r="JDC64" s="94"/>
      <c r="JDD64" s="94"/>
      <c r="JDE64" s="94"/>
      <c r="JDF64" s="94"/>
      <c r="JDG64" s="94"/>
      <c r="JDH64" s="94"/>
      <c r="JDI64" s="94"/>
      <c r="JDJ64" s="94"/>
      <c r="JDK64" s="94"/>
      <c r="JDL64" s="94"/>
      <c r="JDM64" s="94"/>
      <c r="JDN64" s="94"/>
      <c r="JDO64" s="94"/>
      <c r="JDP64" s="94"/>
      <c r="JDQ64" s="94"/>
      <c r="JDR64" s="94"/>
      <c r="JDS64" s="94"/>
      <c r="JDT64" s="94"/>
      <c r="JDU64" s="94"/>
      <c r="JDV64" s="94"/>
      <c r="JDW64" s="94"/>
      <c r="JDX64" s="94"/>
      <c r="JDY64" s="94"/>
      <c r="JDZ64" s="94"/>
      <c r="JEA64" s="94"/>
      <c r="JEB64" s="94"/>
      <c r="JEC64" s="94"/>
      <c r="JED64" s="94"/>
      <c r="JEE64" s="94"/>
      <c r="JEF64" s="94"/>
      <c r="JEG64" s="94"/>
      <c r="JEH64" s="94"/>
      <c r="JEI64" s="94"/>
      <c r="JEJ64" s="94"/>
      <c r="JEK64" s="94"/>
      <c r="JEL64" s="94"/>
      <c r="JEM64" s="94"/>
      <c r="JEN64" s="94"/>
      <c r="JEO64" s="94"/>
      <c r="JEP64" s="94"/>
      <c r="JEQ64" s="94"/>
      <c r="JER64" s="94"/>
      <c r="JES64" s="94"/>
      <c r="JET64" s="94"/>
      <c r="JEU64" s="94"/>
      <c r="JEV64" s="94"/>
      <c r="JEW64" s="94"/>
      <c r="JEX64" s="94"/>
      <c r="JEY64" s="94"/>
      <c r="JEZ64" s="94"/>
      <c r="JFA64" s="94"/>
      <c r="JFB64" s="94"/>
      <c r="JFC64" s="94"/>
      <c r="JFD64" s="94"/>
      <c r="JFE64" s="94"/>
      <c r="JFF64" s="94"/>
      <c r="JFG64" s="94"/>
      <c r="JFH64" s="94"/>
      <c r="JFI64" s="94"/>
      <c r="JFJ64" s="94"/>
      <c r="JFK64" s="94"/>
      <c r="JFL64" s="94"/>
      <c r="JFM64" s="94"/>
      <c r="JFN64" s="94"/>
      <c r="JFO64" s="94"/>
      <c r="JFP64" s="94"/>
      <c r="JFQ64" s="94"/>
      <c r="JFR64" s="94"/>
      <c r="JFS64" s="94"/>
      <c r="JFT64" s="94"/>
      <c r="JFU64" s="94"/>
      <c r="JFV64" s="94"/>
      <c r="JFW64" s="94"/>
      <c r="JFX64" s="94"/>
      <c r="JFY64" s="94"/>
      <c r="JFZ64" s="94"/>
      <c r="JGA64" s="94"/>
      <c r="JGB64" s="94"/>
      <c r="JGC64" s="94"/>
      <c r="JGD64" s="94"/>
      <c r="JGE64" s="94"/>
      <c r="JGF64" s="94"/>
      <c r="JGG64" s="94"/>
      <c r="JGH64" s="94"/>
      <c r="JGI64" s="94"/>
      <c r="JGJ64" s="94"/>
      <c r="JGK64" s="94"/>
      <c r="JGL64" s="94"/>
      <c r="JGM64" s="94"/>
      <c r="JGN64" s="94"/>
      <c r="JGO64" s="94"/>
      <c r="JGP64" s="94"/>
      <c r="JGQ64" s="94"/>
      <c r="JGR64" s="94"/>
      <c r="JGS64" s="94"/>
      <c r="JGT64" s="94"/>
      <c r="JGU64" s="94"/>
      <c r="JGV64" s="94"/>
      <c r="JGW64" s="94"/>
      <c r="JGX64" s="94"/>
      <c r="JGY64" s="94"/>
      <c r="JGZ64" s="94"/>
      <c r="JHA64" s="94"/>
      <c r="JHB64" s="94"/>
      <c r="JHC64" s="94"/>
      <c r="JHD64" s="94"/>
      <c r="JHE64" s="94"/>
      <c r="JHF64" s="94"/>
      <c r="JHG64" s="94"/>
      <c r="JHH64" s="94"/>
      <c r="JHI64" s="94"/>
      <c r="JHJ64" s="94"/>
      <c r="JHK64" s="94"/>
      <c r="JHL64" s="94"/>
      <c r="JHM64" s="94"/>
      <c r="JHN64" s="94"/>
      <c r="JHO64" s="94"/>
      <c r="JHP64" s="94"/>
      <c r="JHQ64" s="94"/>
      <c r="JHR64" s="94"/>
      <c r="JHS64" s="94"/>
      <c r="JHT64" s="94"/>
      <c r="JHU64" s="94"/>
      <c r="JHV64" s="94"/>
      <c r="JHW64" s="94"/>
      <c r="JHX64" s="94"/>
      <c r="JHY64" s="94"/>
      <c r="JHZ64" s="94"/>
      <c r="JIA64" s="94"/>
      <c r="JIB64" s="94"/>
      <c r="JIC64" s="94"/>
      <c r="JID64" s="94"/>
      <c r="JIE64" s="94"/>
      <c r="JIF64" s="94"/>
      <c r="JIG64" s="94"/>
      <c r="JIH64" s="94"/>
      <c r="JII64" s="94"/>
      <c r="JIJ64" s="94"/>
      <c r="JIK64" s="94"/>
      <c r="JIL64" s="94"/>
      <c r="JIM64" s="94"/>
      <c r="JIN64" s="94"/>
      <c r="JIO64" s="94"/>
      <c r="JIP64" s="94"/>
      <c r="JIQ64" s="94"/>
      <c r="JIR64" s="94"/>
      <c r="JIS64" s="94"/>
      <c r="JIT64" s="94"/>
      <c r="JIU64" s="94"/>
      <c r="JIV64" s="94"/>
      <c r="JIW64" s="94"/>
      <c r="JIX64" s="94"/>
      <c r="JIY64" s="94"/>
      <c r="JIZ64" s="94"/>
      <c r="JJA64" s="94"/>
      <c r="JJB64" s="94"/>
      <c r="JJC64" s="94"/>
      <c r="JJD64" s="94"/>
      <c r="JJE64" s="94"/>
      <c r="JJF64" s="94"/>
      <c r="JJG64" s="94"/>
      <c r="JJH64" s="94"/>
      <c r="JJI64" s="94"/>
      <c r="JJJ64" s="94"/>
      <c r="JJK64" s="94"/>
      <c r="JJL64" s="94"/>
      <c r="JJM64" s="94"/>
      <c r="JJN64" s="94"/>
      <c r="JJO64" s="94"/>
      <c r="JJP64" s="94"/>
      <c r="JJQ64" s="94"/>
      <c r="JJR64" s="94"/>
      <c r="JJS64" s="94"/>
      <c r="JJT64" s="94"/>
      <c r="JJU64" s="94"/>
      <c r="JJV64" s="94"/>
      <c r="JJW64" s="94"/>
      <c r="JJX64" s="94"/>
      <c r="JJY64" s="94"/>
      <c r="JJZ64" s="94"/>
      <c r="JKA64" s="94"/>
      <c r="JKB64" s="94"/>
      <c r="JKC64" s="94"/>
      <c r="JKD64" s="94"/>
      <c r="JKE64" s="94"/>
      <c r="JKF64" s="94"/>
      <c r="JKG64" s="94"/>
      <c r="JKH64" s="94"/>
      <c r="JKI64" s="94"/>
      <c r="JKJ64" s="94"/>
      <c r="JKK64" s="94"/>
      <c r="JKL64" s="94"/>
      <c r="JKM64" s="94"/>
      <c r="JKN64" s="94"/>
      <c r="JKO64" s="94"/>
      <c r="JKP64" s="94"/>
      <c r="JKQ64" s="94"/>
      <c r="JKR64" s="94"/>
      <c r="JKS64" s="94"/>
      <c r="JKT64" s="94"/>
      <c r="JKU64" s="94"/>
      <c r="JKV64" s="94"/>
      <c r="JKW64" s="94"/>
      <c r="JKX64" s="94"/>
      <c r="JKY64" s="94"/>
      <c r="JKZ64" s="94"/>
      <c r="JLA64" s="94"/>
      <c r="JLB64" s="94"/>
      <c r="JLC64" s="94"/>
      <c r="JLD64" s="94"/>
      <c r="JLE64" s="94"/>
      <c r="JLF64" s="94"/>
      <c r="JLG64" s="94"/>
      <c r="JLH64" s="94"/>
      <c r="JLI64" s="94"/>
      <c r="JLJ64" s="94"/>
      <c r="JLK64" s="94"/>
      <c r="JLL64" s="94"/>
      <c r="JLM64" s="94"/>
      <c r="JLN64" s="94"/>
      <c r="JLO64" s="94"/>
      <c r="JLP64" s="94"/>
      <c r="JLQ64" s="94"/>
      <c r="JLR64" s="94"/>
      <c r="JLS64" s="94"/>
      <c r="JLT64" s="94"/>
      <c r="JLU64" s="94"/>
      <c r="JLV64" s="94"/>
      <c r="JLW64" s="94"/>
      <c r="JLX64" s="94"/>
      <c r="JLY64" s="94"/>
      <c r="JLZ64" s="94"/>
      <c r="JMA64" s="94"/>
      <c r="JMB64" s="94"/>
      <c r="JMC64" s="94"/>
      <c r="JMD64" s="94"/>
      <c r="JME64" s="94"/>
      <c r="JMF64" s="94"/>
      <c r="JMG64" s="94"/>
      <c r="JMH64" s="94"/>
      <c r="JMI64" s="94"/>
      <c r="JMJ64" s="94"/>
      <c r="JMK64" s="94"/>
      <c r="JML64" s="94"/>
      <c r="JMM64" s="94"/>
      <c r="JMN64" s="94"/>
      <c r="JMO64" s="94"/>
      <c r="JMP64" s="94"/>
      <c r="JMQ64" s="94"/>
      <c r="JMR64" s="94"/>
      <c r="JMS64" s="94"/>
      <c r="JMT64" s="94"/>
      <c r="JMU64" s="94"/>
      <c r="JMV64" s="94"/>
      <c r="JMW64" s="94"/>
      <c r="JMX64" s="94"/>
      <c r="JMY64" s="94"/>
      <c r="JMZ64" s="94"/>
      <c r="JNA64" s="94"/>
      <c r="JNB64" s="94"/>
      <c r="JNC64" s="94"/>
      <c r="JND64" s="94"/>
      <c r="JNE64" s="94"/>
      <c r="JNF64" s="94"/>
      <c r="JNG64" s="94"/>
      <c r="JNH64" s="94"/>
      <c r="JNI64" s="94"/>
      <c r="JNJ64" s="94"/>
      <c r="JNK64" s="94"/>
      <c r="JNL64" s="94"/>
      <c r="JNM64" s="94"/>
      <c r="JNN64" s="94"/>
      <c r="JNO64" s="94"/>
      <c r="JNP64" s="94"/>
      <c r="JNQ64" s="94"/>
      <c r="JNR64" s="94"/>
      <c r="JNS64" s="94"/>
      <c r="JNT64" s="94"/>
      <c r="JNU64" s="94"/>
      <c r="JNV64" s="94"/>
      <c r="JNW64" s="94"/>
      <c r="JNX64" s="94"/>
      <c r="JNY64" s="94"/>
      <c r="JNZ64" s="94"/>
      <c r="JOA64" s="94"/>
      <c r="JOB64" s="94"/>
      <c r="JOC64" s="94"/>
      <c r="JOD64" s="94"/>
      <c r="JOE64" s="94"/>
      <c r="JOF64" s="94"/>
      <c r="JOG64" s="94"/>
      <c r="JOH64" s="94"/>
      <c r="JOI64" s="94"/>
      <c r="JOJ64" s="94"/>
      <c r="JOK64" s="94"/>
      <c r="JOL64" s="94"/>
      <c r="JOM64" s="94"/>
      <c r="JON64" s="94"/>
      <c r="JOO64" s="94"/>
      <c r="JOP64" s="94"/>
      <c r="JOQ64" s="94"/>
      <c r="JOR64" s="94"/>
      <c r="JOS64" s="94"/>
      <c r="JOT64" s="94"/>
      <c r="JOU64" s="94"/>
      <c r="JOV64" s="94"/>
      <c r="JOW64" s="94"/>
      <c r="JOX64" s="94"/>
      <c r="JOY64" s="94"/>
      <c r="JOZ64" s="94"/>
      <c r="JPA64" s="94"/>
      <c r="JPB64" s="94"/>
      <c r="JPC64" s="94"/>
      <c r="JPD64" s="94"/>
      <c r="JPE64" s="94"/>
      <c r="JPF64" s="94"/>
      <c r="JPG64" s="94"/>
      <c r="JPH64" s="94"/>
      <c r="JPI64" s="94"/>
      <c r="JPJ64" s="94"/>
      <c r="JPK64" s="94"/>
      <c r="JPL64" s="94"/>
      <c r="JPM64" s="94"/>
      <c r="JPN64" s="94"/>
      <c r="JPO64" s="94"/>
      <c r="JPP64" s="94"/>
      <c r="JPQ64" s="94"/>
      <c r="JPR64" s="94"/>
      <c r="JPS64" s="94"/>
      <c r="JPT64" s="94"/>
      <c r="JPU64" s="94"/>
      <c r="JPV64" s="94"/>
      <c r="JPW64" s="94"/>
      <c r="JPX64" s="94"/>
      <c r="JPY64" s="94"/>
      <c r="JPZ64" s="94"/>
      <c r="JQA64" s="94"/>
      <c r="JQB64" s="94"/>
      <c r="JQC64" s="94"/>
      <c r="JQD64" s="94"/>
      <c r="JQE64" s="94"/>
      <c r="JQF64" s="94"/>
      <c r="JQG64" s="94"/>
      <c r="JQH64" s="94"/>
      <c r="JQI64" s="94"/>
      <c r="JQJ64" s="94"/>
      <c r="JQK64" s="94"/>
      <c r="JQL64" s="94"/>
      <c r="JQM64" s="94"/>
      <c r="JQN64" s="94"/>
      <c r="JQO64" s="94"/>
      <c r="JQP64" s="94"/>
      <c r="JQQ64" s="94"/>
      <c r="JQR64" s="94"/>
      <c r="JQS64" s="94"/>
      <c r="JQT64" s="94"/>
      <c r="JQU64" s="94"/>
      <c r="JQV64" s="94"/>
      <c r="JQW64" s="94"/>
      <c r="JQX64" s="94"/>
      <c r="JQY64" s="94"/>
      <c r="JQZ64" s="94"/>
      <c r="JRA64" s="94"/>
      <c r="JRB64" s="94"/>
      <c r="JRC64" s="94"/>
      <c r="JRD64" s="94"/>
      <c r="JRE64" s="94"/>
      <c r="JRF64" s="94"/>
      <c r="JRG64" s="94"/>
      <c r="JRH64" s="94"/>
      <c r="JRI64" s="94"/>
      <c r="JRJ64" s="94"/>
      <c r="JRK64" s="94"/>
      <c r="JRL64" s="94"/>
      <c r="JRM64" s="94"/>
      <c r="JRN64" s="94"/>
      <c r="JRO64" s="94"/>
      <c r="JRP64" s="94"/>
      <c r="JRQ64" s="94"/>
      <c r="JRR64" s="94"/>
      <c r="JRS64" s="94"/>
      <c r="JRT64" s="94"/>
      <c r="JRU64" s="94"/>
      <c r="JRV64" s="94"/>
      <c r="JRW64" s="94"/>
      <c r="JRX64" s="94"/>
      <c r="JRY64" s="94"/>
      <c r="JRZ64" s="94"/>
      <c r="JSA64" s="94"/>
      <c r="JSB64" s="94"/>
      <c r="JSC64" s="94"/>
      <c r="JSD64" s="94"/>
      <c r="JSE64" s="94"/>
      <c r="JSF64" s="94"/>
      <c r="JSG64" s="94"/>
      <c r="JSH64" s="94"/>
      <c r="JSI64" s="94"/>
      <c r="JSJ64" s="94"/>
      <c r="JSK64" s="94"/>
      <c r="JSL64" s="94"/>
      <c r="JSM64" s="94"/>
      <c r="JSN64" s="94"/>
      <c r="JSO64" s="94"/>
      <c r="JSP64" s="94"/>
      <c r="JSQ64" s="94"/>
      <c r="JSR64" s="94"/>
      <c r="JSS64" s="94"/>
      <c r="JST64" s="94"/>
      <c r="JSU64" s="94"/>
      <c r="JSV64" s="94"/>
      <c r="JSW64" s="94"/>
      <c r="JSX64" s="94"/>
      <c r="JSY64" s="94"/>
      <c r="JSZ64" s="94"/>
      <c r="JTA64" s="94"/>
      <c r="JTB64" s="94"/>
      <c r="JTC64" s="94"/>
      <c r="JTD64" s="94"/>
      <c r="JTE64" s="94"/>
      <c r="JTF64" s="94"/>
      <c r="JTG64" s="94"/>
      <c r="JTH64" s="94"/>
      <c r="JTI64" s="94"/>
      <c r="JTJ64" s="94"/>
      <c r="JTK64" s="94"/>
      <c r="JTL64" s="94"/>
      <c r="JTM64" s="94"/>
      <c r="JTN64" s="94"/>
      <c r="JTO64" s="94"/>
      <c r="JTP64" s="94"/>
      <c r="JTQ64" s="94"/>
      <c r="JTR64" s="94"/>
      <c r="JTS64" s="94"/>
      <c r="JTT64" s="94"/>
      <c r="JTU64" s="94"/>
      <c r="JTV64" s="94"/>
      <c r="JTW64" s="94"/>
      <c r="JTX64" s="94"/>
      <c r="JTY64" s="94"/>
      <c r="JTZ64" s="94"/>
      <c r="JUA64" s="94"/>
      <c r="JUB64" s="94"/>
      <c r="JUC64" s="94"/>
      <c r="JUD64" s="94"/>
      <c r="JUE64" s="94"/>
      <c r="JUF64" s="94"/>
      <c r="JUG64" s="94"/>
      <c r="JUH64" s="94"/>
      <c r="JUI64" s="94"/>
      <c r="JUJ64" s="94"/>
      <c r="JUK64" s="94"/>
      <c r="JUL64" s="94"/>
      <c r="JUM64" s="94"/>
      <c r="JUN64" s="94"/>
      <c r="JUO64" s="94"/>
      <c r="JUP64" s="94"/>
      <c r="JUQ64" s="94"/>
      <c r="JUR64" s="94"/>
      <c r="JUS64" s="94"/>
      <c r="JUT64" s="94"/>
      <c r="JUU64" s="94"/>
      <c r="JUV64" s="94"/>
      <c r="JUW64" s="94"/>
      <c r="JUX64" s="94"/>
      <c r="JUY64" s="94"/>
      <c r="JUZ64" s="94"/>
      <c r="JVA64" s="94"/>
      <c r="JVB64" s="94"/>
      <c r="JVC64" s="94"/>
      <c r="JVD64" s="94"/>
      <c r="JVE64" s="94"/>
      <c r="JVF64" s="94"/>
      <c r="JVG64" s="94"/>
      <c r="JVH64" s="94"/>
      <c r="JVI64" s="94"/>
      <c r="JVJ64" s="94"/>
      <c r="JVK64" s="94"/>
      <c r="JVL64" s="94"/>
      <c r="JVM64" s="94"/>
      <c r="JVN64" s="94"/>
      <c r="JVO64" s="94"/>
      <c r="JVP64" s="94"/>
      <c r="JVQ64" s="94"/>
      <c r="JVR64" s="94"/>
      <c r="JVS64" s="94"/>
      <c r="JVT64" s="94"/>
      <c r="JVU64" s="94"/>
      <c r="JVV64" s="94"/>
      <c r="JVW64" s="94"/>
      <c r="JVX64" s="94"/>
      <c r="JVY64" s="94"/>
      <c r="JVZ64" s="94"/>
      <c r="JWA64" s="94"/>
      <c r="JWB64" s="94"/>
      <c r="JWC64" s="94"/>
      <c r="JWD64" s="94"/>
      <c r="JWE64" s="94"/>
      <c r="JWF64" s="94"/>
      <c r="JWG64" s="94"/>
      <c r="JWH64" s="94"/>
      <c r="JWI64" s="94"/>
      <c r="JWJ64" s="94"/>
      <c r="JWK64" s="94"/>
      <c r="JWL64" s="94"/>
      <c r="JWM64" s="94"/>
      <c r="JWN64" s="94"/>
      <c r="JWO64" s="94"/>
      <c r="JWP64" s="94"/>
      <c r="JWQ64" s="94"/>
      <c r="JWR64" s="94"/>
      <c r="JWS64" s="94"/>
      <c r="JWT64" s="94"/>
      <c r="JWU64" s="94"/>
      <c r="JWV64" s="94"/>
      <c r="JWW64" s="94"/>
      <c r="JWX64" s="94"/>
      <c r="JWY64" s="94"/>
      <c r="JWZ64" s="94"/>
      <c r="JXA64" s="94"/>
      <c r="JXB64" s="94"/>
      <c r="JXC64" s="94"/>
      <c r="JXD64" s="94"/>
      <c r="JXE64" s="94"/>
      <c r="JXF64" s="94"/>
      <c r="JXG64" s="94"/>
      <c r="JXH64" s="94"/>
      <c r="JXI64" s="94"/>
      <c r="JXJ64" s="94"/>
      <c r="JXK64" s="94"/>
      <c r="JXL64" s="94"/>
      <c r="JXM64" s="94"/>
      <c r="JXN64" s="94"/>
      <c r="JXO64" s="94"/>
      <c r="JXP64" s="94"/>
      <c r="JXQ64" s="94"/>
      <c r="JXR64" s="94"/>
      <c r="JXS64" s="94"/>
      <c r="JXT64" s="94"/>
      <c r="JXU64" s="94"/>
      <c r="JXV64" s="94"/>
      <c r="JXW64" s="94"/>
      <c r="JXX64" s="94"/>
      <c r="JXY64" s="94"/>
      <c r="JXZ64" s="94"/>
      <c r="JYA64" s="94"/>
      <c r="JYB64" s="94"/>
      <c r="JYC64" s="94"/>
      <c r="JYD64" s="94"/>
      <c r="JYE64" s="94"/>
      <c r="JYF64" s="94"/>
      <c r="JYG64" s="94"/>
      <c r="JYH64" s="94"/>
      <c r="JYI64" s="94"/>
      <c r="JYJ64" s="94"/>
      <c r="JYK64" s="94"/>
      <c r="JYL64" s="94"/>
      <c r="JYM64" s="94"/>
      <c r="JYN64" s="94"/>
      <c r="JYO64" s="94"/>
      <c r="JYP64" s="94"/>
      <c r="JYQ64" s="94"/>
      <c r="JYR64" s="94"/>
      <c r="JYS64" s="94"/>
      <c r="JYT64" s="94"/>
      <c r="JYU64" s="94"/>
      <c r="JYV64" s="94"/>
      <c r="JYW64" s="94"/>
      <c r="JYX64" s="94"/>
      <c r="JYY64" s="94"/>
      <c r="JYZ64" s="94"/>
      <c r="JZA64" s="94"/>
      <c r="JZB64" s="94"/>
      <c r="JZC64" s="94"/>
      <c r="JZD64" s="94"/>
      <c r="JZE64" s="94"/>
      <c r="JZF64" s="94"/>
      <c r="JZG64" s="94"/>
      <c r="JZH64" s="94"/>
      <c r="JZI64" s="94"/>
      <c r="JZJ64" s="94"/>
      <c r="JZK64" s="94"/>
      <c r="JZL64" s="94"/>
      <c r="JZM64" s="94"/>
      <c r="JZN64" s="94"/>
      <c r="JZO64" s="94"/>
      <c r="JZP64" s="94"/>
      <c r="JZQ64" s="94"/>
      <c r="JZR64" s="94"/>
      <c r="JZS64" s="94"/>
      <c r="JZT64" s="94"/>
      <c r="JZU64" s="94"/>
      <c r="JZV64" s="94"/>
      <c r="JZW64" s="94"/>
      <c r="JZX64" s="94"/>
      <c r="JZY64" s="94"/>
      <c r="JZZ64" s="94"/>
      <c r="KAA64" s="94"/>
      <c r="KAB64" s="94"/>
      <c r="KAC64" s="94"/>
      <c r="KAD64" s="94"/>
      <c r="KAE64" s="94"/>
      <c r="KAF64" s="94"/>
      <c r="KAG64" s="94"/>
      <c r="KAH64" s="94"/>
      <c r="KAI64" s="94"/>
      <c r="KAJ64" s="94"/>
      <c r="KAK64" s="94"/>
      <c r="KAL64" s="94"/>
      <c r="KAM64" s="94"/>
      <c r="KAN64" s="94"/>
      <c r="KAO64" s="94"/>
      <c r="KAP64" s="94"/>
      <c r="KAQ64" s="94"/>
      <c r="KAR64" s="94"/>
      <c r="KAS64" s="94"/>
      <c r="KAT64" s="94"/>
      <c r="KAU64" s="94"/>
      <c r="KAV64" s="94"/>
      <c r="KAW64" s="94"/>
      <c r="KAX64" s="94"/>
      <c r="KAY64" s="94"/>
      <c r="KAZ64" s="94"/>
      <c r="KBA64" s="94"/>
      <c r="KBB64" s="94"/>
      <c r="KBC64" s="94"/>
      <c r="KBD64" s="94"/>
      <c r="KBE64" s="94"/>
      <c r="KBF64" s="94"/>
      <c r="KBG64" s="94"/>
      <c r="KBH64" s="94"/>
      <c r="KBI64" s="94"/>
      <c r="KBJ64" s="94"/>
      <c r="KBK64" s="94"/>
      <c r="KBL64" s="94"/>
      <c r="KBM64" s="94"/>
      <c r="KBN64" s="94"/>
      <c r="KBO64" s="94"/>
      <c r="KBP64" s="94"/>
      <c r="KBQ64" s="94"/>
      <c r="KBR64" s="94"/>
      <c r="KBS64" s="94"/>
      <c r="KBT64" s="94"/>
      <c r="KBU64" s="94"/>
      <c r="KBV64" s="94"/>
      <c r="KBW64" s="94"/>
      <c r="KBX64" s="94"/>
      <c r="KBY64" s="94"/>
      <c r="KBZ64" s="94"/>
      <c r="KCA64" s="94"/>
      <c r="KCB64" s="94"/>
      <c r="KCC64" s="94"/>
      <c r="KCD64" s="94"/>
      <c r="KCE64" s="94"/>
      <c r="KCF64" s="94"/>
      <c r="KCG64" s="94"/>
      <c r="KCH64" s="94"/>
      <c r="KCI64" s="94"/>
      <c r="KCJ64" s="94"/>
      <c r="KCK64" s="94"/>
      <c r="KCL64" s="94"/>
      <c r="KCM64" s="94"/>
      <c r="KCN64" s="94"/>
      <c r="KCO64" s="94"/>
      <c r="KCP64" s="94"/>
      <c r="KCQ64" s="94"/>
      <c r="KCR64" s="94"/>
      <c r="KCS64" s="94"/>
      <c r="KCT64" s="94"/>
      <c r="KCU64" s="94"/>
      <c r="KCV64" s="94"/>
      <c r="KCW64" s="94"/>
      <c r="KCX64" s="94"/>
      <c r="KCY64" s="94"/>
      <c r="KCZ64" s="94"/>
      <c r="KDA64" s="94"/>
      <c r="KDB64" s="94"/>
      <c r="KDC64" s="94"/>
      <c r="KDD64" s="94"/>
      <c r="KDE64" s="94"/>
      <c r="KDF64" s="94"/>
      <c r="KDG64" s="94"/>
      <c r="KDH64" s="94"/>
      <c r="KDI64" s="94"/>
      <c r="KDJ64" s="94"/>
      <c r="KDK64" s="94"/>
      <c r="KDL64" s="94"/>
      <c r="KDM64" s="94"/>
      <c r="KDN64" s="94"/>
      <c r="KDO64" s="94"/>
      <c r="KDP64" s="94"/>
      <c r="KDQ64" s="94"/>
      <c r="KDR64" s="94"/>
      <c r="KDS64" s="94"/>
      <c r="KDT64" s="94"/>
      <c r="KDU64" s="94"/>
      <c r="KDV64" s="94"/>
      <c r="KDW64" s="94"/>
      <c r="KDX64" s="94"/>
      <c r="KDY64" s="94"/>
      <c r="KDZ64" s="94"/>
      <c r="KEA64" s="94"/>
      <c r="KEB64" s="94"/>
      <c r="KEC64" s="94"/>
      <c r="KED64" s="94"/>
      <c r="KEE64" s="94"/>
      <c r="KEF64" s="94"/>
      <c r="KEG64" s="94"/>
      <c r="KEH64" s="94"/>
      <c r="KEI64" s="94"/>
      <c r="KEJ64" s="94"/>
      <c r="KEK64" s="94"/>
      <c r="KEL64" s="94"/>
      <c r="KEM64" s="94"/>
      <c r="KEN64" s="94"/>
      <c r="KEO64" s="94"/>
      <c r="KEP64" s="94"/>
      <c r="KEQ64" s="94"/>
      <c r="KER64" s="94"/>
      <c r="KES64" s="94"/>
      <c r="KET64" s="94"/>
      <c r="KEU64" s="94"/>
      <c r="KEV64" s="94"/>
      <c r="KEW64" s="94"/>
      <c r="KEX64" s="94"/>
      <c r="KEY64" s="94"/>
      <c r="KEZ64" s="94"/>
      <c r="KFA64" s="94"/>
      <c r="KFB64" s="94"/>
      <c r="KFC64" s="94"/>
      <c r="KFD64" s="94"/>
      <c r="KFE64" s="94"/>
      <c r="KFF64" s="94"/>
      <c r="KFG64" s="94"/>
      <c r="KFH64" s="94"/>
      <c r="KFI64" s="94"/>
      <c r="KFJ64" s="94"/>
      <c r="KFK64" s="94"/>
      <c r="KFL64" s="94"/>
      <c r="KFM64" s="94"/>
      <c r="KFN64" s="94"/>
      <c r="KFO64" s="94"/>
      <c r="KFP64" s="94"/>
      <c r="KFQ64" s="94"/>
      <c r="KFR64" s="94"/>
      <c r="KFS64" s="94"/>
      <c r="KFT64" s="94"/>
      <c r="KFU64" s="94"/>
      <c r="KFV64" s="94"/>
      <c r="KFW64" s="94"/>
      <c r="KFX64" s="94"/>
      <c r="KFY64" s="94"/>
      <c r="KFZ64" s="94"/>
      <c r="KGA64" s="94"/>
      <c r="KGB64" s="94"/>
      <c r="KGC64" s="94"/>
      <c r="KGD64" s="94"/>
      <c r="KGE64" s="94"/>
      <c r="KGF64" s="94"/>
      <c r="KGG64" s="94"/>
      <c r="KGH64" s="94"/>
      <c r="KGI64" s="94"/>
      <c r="KGJ64" s="94"/>
      <c r="KGK64" s="94"/>
      <c r="KGL64" s="94"/>
      <c r="KGM64" s="94"/>
      <c r="KGN64" s="94"/>
      <c r="KGO64" s="94"/>
      <c r="KGP64" s="94"/>
      <c r="KGQ64" s="94"/>
      <c r="KGR64" s="94"/>
      <c r="KGS64" s="94"/>
      <c r="KGT64" s="94"/>
      <c r="KGU64" s="94"/>
      <c r="KGV64" s="94"/>
      <c r="KGW64" s="94"/>
      <c r="KGX64" s="94"/>
      <c r="KGY64" s="94"/>
      <c r="KGZ64" s="94"/>
      <c r="KHA64" s="94"/>
      <c r="KHB64" s="94"/>
      <c r="KHC64" s="94"/>
      <c r="KHD64" s="94"/>
      <c r="KHE64" s="94"/>
      <c r="KHF64" s="94"/>
      <c r="KHG64" s="94"/>
      <c r="KHH64" s="94"/>
      <c r="KHI64" s="94"/>
      <c r="KHJ64" s="94"/>
      <c r="KHK64" s="94"/>
      <c r="KHL64" s="94"/>
      <c r="KHM64" s="94"/>
      <c r="KHN64" s="94"/>
      <c r="KHO64" s="94"/>
      <c r="KHP64" s="94"/>
      <c r="KHQ64" s="94"/>
      <c r="KHR64" s="94"/>
      <c r="KHS64" s="94"/>
      <c r="KHT64" s="94"/>
      <c r="KHU64" s="94"/>
      <c r="KHV64" s="94"/>
      <c r="KHW64" s="94"/>
      <c r="KHX64" s="94"/>
      <c r="KHY64" s="94"/>
      <c r="KHZ64" s="94"/>
      <c r="KIA64" s="94"/>
      <c r="KIB64" s="94"/>
      <c r="KIC64" s="94"/>
      <c r="KID64" s="94"/>
      <c r="KIE64" s="94"/>
      <c r="KIF64" s="94"/>
      <c r="KIG64" s="94"/>
      <c r="KIH64" s="94"/>
      <c r="KII64" s="94"/>
      <c r="KIJ64" s="94"/>
      <c r="KIK64" s="94"/>
      <c r="KIL64" s="94"/>
      <c r="KIM64" s="94"/>
      <c r="KIN64" s="94"/>
      <c r="KIO64" s="94"/>
      <c r="KIP64" s="94"/>
      <c r="KIQ64" s="94"/>
      <c r="KIR64" s="94"/>
      <c r="KIS64" s="94"/>
      <c r="KIT64" s="94"/>
      <c r="KIU64" s="94"/>
      <c r="KIV64" s="94"/>
      <c r="KIW64" s="94"/>
      <c r="KIX64" s="94"/>
      <c r="KIY64" s="94"/>
      <c r="KIZ64" s="94"/>
      <c r="KJA64" s="94"/>
      <c r="KJB64" s="94"/>
      <c r="KJC64" s="94"/>
      <c r="KJD64" s="94"/>
      <c r="KJE64" s="94"/>
      <c r="KJF64" s="94"/>
      <c r="KJG64" s="94"/>
      <c r="KJH64" s="94"/>
      <c r="KJI64" s="94"/>
      <c r="KJJ64" s="94"/>
      <c r="KJK64" s="94"/>
      <c r="KJL64" s="94"/>
      <c r="KJM64" s="94"/>
      <c r="KJN64" s="94"/>
      <c r="KJO64" s="94"/>
      <c r="KJP64" s="94"/>
      <c r="KJQ64" s="94"/>
      <c r="KJR64" s="94"/>
      <c r="KJS64" s="94"/>
      <c r="KJT64" s="94"/>
      <c r="KJU64" s="94"/>
      <c r="KJV64" s="94"/>
      <c r="KJW64" s="94"/>
      <c r="KJX64" s="94"/>
      <c r="KJY64" s="94"/>
      <c r="KJZ64" s="94"/>
      <c r="KKA64" s="94"/>
      <c r="KKB64" s="94"/>
      <c r="KKC64" s="94"/>
      <c r="KKD64" s="94"/>
      <c r="KKE64" s="94"/>
      <c r="KKF64" s="94"/>
      <c r="KKG64" s="94"/>
      <c r="KKH64" s="94"/>
      <c r="KKI64" s="94"/>
      <c r="KKJ64" s="94"/>
      <c r="KKK64" s="94"/>
      <c r="KKL64" s="94"/>
      <c r="KKM64" s="94"/>
      <c r="KKN64" s="94"/>
      <c r="KKO64" s="94"/>
      <c r="KKP64" s="94"/>
      <c r="KKQ64" s="94"/>
      <c r="KKR64" s="94"/>
      <c r="KKS64" s="94"/>
      <c r="KKT64" s="94"/>
      <c r="KKU64" s="94"/>
      <c r="KKV64" s="94"/>
      <c r="KKW64" s="94"/>
      <c r="KKX64" s="94"/>
      <c r="KKY64" s="94"/>
      <c r="KKZ64" s="94"/>
      <c r="KLA64" s="94"/>
      <c r="KLB64" s="94"/>
      <c r="KLC64" s="94"/>
      <c r="KLD64" s="94"/>
      <c r="KLE64" s="94"/>
      <c r="KLF64" s="94"/>
      <c r="KLG64" s="94"/>
      <c r="KLH64" s="94"/>
      <c r="KLI64" s="94"/>
      <c r="KLJ64" s="94"/>
      <c r="KLK64" s="94"/>
      <c r="KLL64" s="94"/>
      <c r="KLM64" s="94"/>
      <c r="KLN64" s="94"/>
      <c r="KLO64" s="94"/>
      <c r="KLP64" s="94"/>
      <c r="KLQ64" s="94"/>
      <c r="KLR64" s="94"/>
      <c r="KLS64" s="94"/>
      <c r="KLT64" s="94"/>
      <c r="KLU64" s="94"/>
      <c r="KLV64" s="94"/>
      <c r="KLW64" s="94"/>
      <c r="KLX64" s="94"/>
      <c r="KLY64" s="94"/>
      <c r="KLZ64" s="94"/>
      <c r="KMA64" s="94"/>
      <c r="KMB64" s="94"/>
      <c r="KMC64" s="94"/>
      <c r="KMD64" s="94"/>
      <c r="KME64" s="94"/>
      <c r="KMF64" s="94"/>
      <c r="KMG64" s="94"/>
      <c r="KMH64" s="94"/>
      <c r="KMI64" s="94"/>
      <c r="KMJ64" s="94"/>
      <c r="KMK64" s="94"/>
      <c r="KML64" s="94"/>
      <c r="KMM64" s="94"/>
      <c r="KMN64" s="94"/>
      <c r="KMO64" s="94"/>
      <c r="KMP64" s="94"/>
      <c r="KMQ64" s="94"/>
      <c r="KMR64" s="94"/>
      <c r="KMS64" s="94"/>
      <c r="KMT64" s="94"/>
      <c r="KMU64" s="94"/>
      <c r="KMV64" s="94"/>
      <c r="KMW64" s="94"/>
      <c r="KMX64" s="94"/>
      <c r="KMY64" s="94"/>
      <c r="KMZ64" s="94"/>
      <c r="KNA64" s="94"/>
      <c r="KNB64" s="94"/>
      <c r="KNC64" s="94"/>
      <c r="KND64" s="94"/>
      <c r="KNE64" s="94"/>
      <c r="KNF64" s="94"/>
      <c r="KNG64" s="94"/>
      <c r="KNH64" s="94"/>
      <c r="KNI64" s="94"/>
      <c r="KNJ64" s="94"/>
      <c r="KNK64" s="94"/>
      <c r="KNL64" s="94"/>
      <c r="KNM64" s="94"/>
      <c r="KNN64" s="94"/>
      <c r="KNO64" s="94"/>
      <c r="KNP64" s="94"/>
      <c r="KNQ64" s="94"/>
      <c r="KNR64" s="94"/>
      <c r="KNS64" s="94"/>
      <c r="KNT64" s="94"/>
      <c r="KNU64" s="94"/>
      <c r="KNV64" s="94"/>
      <c r="KNW64" s="94"/>
      <c r="KNX64" s="94"/>
      <c r="KNY64" s="94"/>
      <c r="KNZ64" s="94"/>
      <c r="KOA64" s="94"/>
      <c r="KOB64" s="94"/>
      <c r="KOC64" s="94"/>
      <c r="KOD64" s="94"/>
      <c r="KOE64" s="94"/>
      <c r="KOF64" s="94"/>
      <c r="KOG64" s="94"/>
      <c r="KOH64" s="94"/>
      <c r="KOI64" s="94"/>
      <c r="KOJ64" s="94"/>
      <c r="KOK64" s="94"/>
      <c r="KOL64" s="94"/>
      <c r="KOM64" s="94"/>
      <c r="KON64" s="94"/>
      <c r="KOO64" s="94"/>
      <c r="KOP64" s="94"/>
      <c r="KOQ64" s="94"/>
      <c r="KOR64" s="94"/>
      <c r="KOS64" s="94"/>
      <c r="KOT64" s="94"/>
      <c r="KOU64" s="94"/>
      <c r="KOV64" s="94"/>
      <c r="KOW64" s="94"/>
      <c r="KOX64" s="94"/>
      <c r="KOY64" s="94"/>
      <c r="KOZ64" s="94"/>
      <c r="KPA64" s="94"/>
      <c r="KPB64" s="94"/>
      <c r="KPC64" s="94"/>
      <c r="KPD64" s="94"/>
      <c r="KPE64" s="94"/>
      <c r="KPF64" s="94"/>
      <c r="KPG64" s="94"/>
      <c r="KPH64" s="94"/>
      <c r="KPI64" s="94"/>
      <c r="KPJ64" s="94"/>
      <c r="KPK64" s="94"/>
      <c r="KPL64" s="94"/>
      <c r="KPM64" s="94"/>
      <c r="KPN64" s="94"/>
      <c r="KPO64" s="94"/>
      <c r="KPP64" s="94"/>
      <c r="KPQ64" s="94"/>
      <c r="KPR64" s="94"/>
      <c r="KPS64" s="94"/>
      <c r="KPT64" s="94"/>
      <c r="KPU64" s="94"/>
      <c r="KPV64" s="94"/>
      <c r="KPW64" s="94"/>
      <c r="KPX64" s="94"/>
      <c r="KPY64" s="94"/>
      <c r="KPZ64" s="94"/>
      <c r="KQA64" s="94"/>
      <c r="KQB64" s="94"/>
      <c r="KQC64" s="94"/>
      <c r="KQD64" s="94"/>
      <c r="KQE64" s="94"/>
      <c r="KQF64" s="94"/>
      <c r="KQG64" s="94"/>
      <c r="KQH64" s="94"/>
      <c r="KQI64" s="94"/>
      <c r="KQJ64" s="94"/>
      <c r="KQK64" s="94"/>
      <c r="KQL64" s="94"/>
      <c r="KQM64" s="94"/>
      <c r="KQN64" s="94"/>
      <c r="KQO64" s="94"/>
      <c r="KQP64" s="94"/>
      <c r="KQQ64" s="94"/>
      <c r="KQR64" s="94"/>
      <c r="KQS64" s="94"/>
      <c r="KQT64" s="94"/>
      <c r="KQU64" s="94"/>
      <c r="KQV64" s="94"/>
      <c r="KQW64" s="94"/>
      <c r="KQX64" s="94"/>
      <c r="KQY64" s="94"/>
      <c r="KQZ64" s="94"/>
      <c r="KRA64" s="94"/>
      <c r="KRB64" s="94"/>
      <c r="KRC64" s="94"/>
      <c r="KRD64" s="94"/>
      <c r="KRE64" s="94"/>
      <c r="KRF64" s="94"/>
      <c r="KRG64" s="94"/>
      <c r="KRH64" s="94"/>
      <c r="KRI64" s="94"/>
      <c r="KRJ64" s="94"/>
      <c r="KRK64" s="94"/>
      <c r="KRL64" s="94"/>
      <c r="KRM64" s="94"/>
      <c r="KRN64" s="94"/>
      <c r="KRO64" s="94"/>
      <c r="KRP64" s="94"/>
      <c r="KRQ64" s="94"/>
      <c r="KRR64" s="94"/>
      <c r="KRS64" s="94"/>
      <c r="KRT64" s="94"/>
      <c r="KRU64" s="94"/>
      <c r="KRV64" s="94"/>
      <c r="KRW64" s="94"/>
      <c r="KRX64" s="94"/>
      <c r="KRY64" s="94"/>
      <c r="KRZ64" s="94"/>
      <c r="KSA64" s="94"/>
      <c r="KSB64" s="94"/>
      <c r="KSC64" s="94"/>
      <c r="KSD64" s="94"/>
      <c r="KSE64" s="94"/>
      <c r="KSF64" s="94"/>
      <c r="KSG64" s="94"/>
      <c r="KSH64" s="94"/>
      <c r="KSI64" s="94"/>
      <c r="KSJ64" s="94"/>
      <c r="KSK64" s="94"/>
      <c r="KSL64" s="94"/>
      <c r="KSM64" s="94"/>
      <c r="KSN64" s="94"/>
      <c r="KSO64" s="94"/>
      <c r="KSP64" s="94"/>
      <c r="KSQ64" s="94"/>
      <c r="KSR64" s="94"/>
      <c r="KSS64" s="94"/>
      <c r="KST64" s="94"/>
      <c r="KSU64" s="94"/>
      <c r="KSV64" s="94"/>
      <c r="KSW64" s="94"/>
      <c r="KSX64" s="94"/>
      <c r="KSY64" s="94"/>
      <c r="KSZ64" s="94"/>
      <c r="KTA64" s="94"/>
      <c r="KTB64" s="94"/>
      <c r="KTC64" s="94"/>
      <c r="KTD64" s="94"/>
      <c r="KTE64" s="94"/>
      <c r="KTF64" s="94"/>
      <c r="KTG64" s="94"/>
      <c r="KTH64" s="94"/>
      <c r="KTI64" s="94"/>
      <c r="KTJ64" s="94"/>
      <c r="KTK64" s="94"/>
      <c r="KTL64" s="94"/>
      <c r="KTM64" s="94"/>
      <c r="KTN64" s="94"/>
      <c r="KTO64" s="94"/>
      <c r="KTP64" s="94"/>
      <c r="KTQ64" s="94"/>
      <c r="KTR64" s="94"/>
      <c r="KTS64" s="94"/>
      <c r="KTT64" s="94"/>
      <c r="KTU64" s="94"/>
      <c r="KTV64" s="94"/>
      <c r="KTW64" s="94"/>
      <c r="KTX64" s="94"/>
      <c r="KTY64" s="94"/>
      <c r="KTZ64" s="94"/>
      <c r="KUA64" s="94"/>
      <c r="KUB64" s="94"/>
      <c r="KUC64" s="94"/>
      <c r="KUD64" s="94"/>
      <c r="KUE64" s="94"/>
      <c r="KUF64" s="94"/>
      <c r="KUG64" s="94"/>
      <c r="KUH64" s="94"/>
      <c r="KUI64" s="94"/>
      <c r="KUJ64" s="94"/>
      <c r="KUK64" s="94"/>
      <c r="KUL64" s="94"/>
      <c r="KUM64" s="94"/>
      <c r="KUN64" s="94"/>
      <c r="KUO64" s="94"/>
      <c r="KUP64" s="94"/>
      <c r="KUQ64" s="94"/>
      <c r="KUR64" s="94"/>
      <c r="KUS64" s="94"/>
      <c r="KUT64" s="94"/>
      <c r="KUU64" s="94"/>
      <c r="KUV64" s="94"/>
      <c r="KUW64" s="94"/>
      <c r="KUX64" s="94"/>
      <c r="KUY64" s="94"/>
      <c r="KUZ64" s="94"/>
      <c r="KVA64" s="94"/>
      <c r="KVB64" s="94"/>
      <c r="KVC64" s="94"/>
      <c r="KVD64" s="94"/>
      <c r="KVE64" s="94"/>
      <c r="KVF64" s="94"/>
      <c r="KVG64" s="94"/>
      <c r="KVH64" s="94"/>
      <c r="KVI64" s="94"/>
      <c r="KVJ64" s="94"/>
      <c r="KVK64" s="94"/>
      <c r="KVL64" s="94"/>
      <c r="KVM64" s="94"/>
      <c r="KVN64" s="94"/>
      <c r="KVO64" s="94"/>
      <c r="KVP64" s="94"/>
      <c r="KVQ64" s="94"/>
      <c r="KVR64" s="94"/>
      <c r="KVS64" s="94"/>
      <c r="KVT64" s="94"/>
      <c r="KVU64" s="94"/>
      <c r="KVV64" s="94"/>
      <c r="KVW64" s="94"/>
      <c r="KVX64" s="94"/>
      <c r="KVY64" s="94"/>
      <c r="KVZ64" s="94"/>
      <c r="KWA64" s="94"/>
      <c r="KWB64" s="94"/>
      <c r="KWC64" s="94"/>
      <c r="KWD64" s="94"/>
      <c r="KWE64" s="94"/>
      <c r="KWF64" s="94"/>
      <c r="KWG64" s="94"/>
      <c r="KWH64" s="94"/>
      <c r="KWI64" s="94"/>
      <c r="KWJ64" s="94"/>
      <c r="KWK64" s="94"/>
      <c r="KWL64" s="94"/>
      <c r="KWM64" s="94"/>
      <c r="KWN64" s="94"/>
      <c r="KWO64" s="94"/>
      <c r="KWP64" s="94"/>
      <c r="KWQ64" s="94"/>
      <c r="KWR64" s="94"/>
      <c r="KWS64" s="94"/>
      <c r="KWT64" s="94"/>
      <c r="KWU64" s="94"/>
      <c r="KWV64" s="94"/>
      <c r="KWW64" s="94"/>
      <c r="KWX64" s="94"/>
      <c r="KWY64" s="94"/>
      <c r="KWZ64" s="94"/>
      <c r="KXA64" s="94"/>
      <c r="KXB64" s="94"/>
      <c r="KXC64" s="94"/>
      <c r="KXD64" s="94"/>
      <c r="KXE64" s="94"/>
      <c r="KXF64" s="94"/>
      <c r="KXG64" s="94"/>
      <c r="KXH64" s="94"/>
      <c r="KXI64" s="94"/>
      <c r="KXJ64" s="94"/>
      <c r="KXK64" s="94"/>
      <c r="KXL64" s="94"/>
      <c r="KXM64" s="94"/>
      <c r="KXN64" s="94"/>
      <c r="KXO64" s="94"/>
      <c r="KXP64" s="94"/>
      <c r="KXQ64" s="94"/>
      <c r="KXR64" s="94"/>
      <c r="KXS64" s="94"/>
      <c r="KXT64" s="94"/>
      <c r="KXU64" s="94"/>
      <c r="KXV64" s="94"/>
      <c r="KXW64" s="94"/>
      <c r="KXX64" s="94"/>
      <c r="KXY64" s="94"/>
      <c r="KXZ64" s="94"/>
      <c r="KYA64" s="94"/>
      <c r="KYB64" s="94"/>
      <c r="KYC64" s="94"/>
      <c r="KYD64" s="94"/>
      <c r="KYE64" s="94"/>
      <c r="KYF64" s="94"/>
      <c r="KYG64" s="94"/>
      <c r="KYH64" s="94"/>
      <c r="KYI64" s="94"/>
      <c r="KYJ64" s="94"/>
      <c r="KYK64" s="94"/>
      <c r="KYL64" s="94"/>
      <c r="KYM64" s="94"/>
      <c r="KYN64" s="94"/>
      <c r="KYO64" s="94"/>
      <c r="KYP64" s="94"/>
      <c r="KYQ64" s="94"/>
      <c r="KYR64" s="94"/>
      <c r="KYS64" s="94"/>
      <c r="KYT64" s="94"/>
      <c r="KYU64" s="94"/>
      <c r="KYV64" s="94"/>
      <c r="KYW64" s="94"/>
      <c r="KYX64" s="94"/>
      <c r="KYY64" s="94"/>
      <c r="KYZ64" s="94"/>
      <c r="KZA64" s="94"/>
      <c r="KZB64" s="94"/>
      <c r="KZC64" s="94"/>
      <c r="KZD64" s="94"/>
      <c r="KZE64" s="94"/>
      <c r="KZF64" s="94"/>
      <c r="KZG64" s="94"/>
      <c r="KZH64" s="94"/>
      <c r="KZI64" s="94"/>
      <c r="KZJ64" s="94"/>
      <c r="KZK64" s="94"/>
      <c r="KZL64" s="94"/>
      <c r="KZM64" s="94"/>
      <c r="KZN64" s="94"/>
      <c r="KZO64" s="94"/>
      <c r="KZP64" s="94"/>
      <c r="KZQ64" s="94"/>
      <c r="KZR64" s="94"/>
      <c r="KZS64" s="94"/>
      <c r="KZT64" s="94"/>
      <c r="KZU64" s="94"/>
      <c r="KZV64" s="94"/>
      <c r="KZW64" s="94"/>
      <c r="KZX64" s="94"/>
      <c r="KZY64" s="94"/>
      <c r="KZZ64" s="94"/>
      <c r="LAA64" s="94"/>
      <c r="LAB64" s="94"/>
      <c r="LAC64" s="94"/>
      <c r="LAD64" s="94"/>
      <c r="LAE64" s="94"/>
      <c r="LAF64" s="94"/>
      <c r="LAG64" s="94"/>
      <c r="LAH64" s="94"/>
      <c r="LAI64" s="94"/>
      <c r="LAJ64" s="94"/>
      <c r="LAK64" s="94"/>
      <c r="LAL64" s="94"/>
      <c r="LAM64" s="94"/>
      <c r="LAN64" s="94"/>
      <c r="LAO64" s="94"/>
      <c r="LAP64" s="94"/>
      <c r="LAQ64" s="94"/>
      <c r="LAR64" s="94"/>
      <c r="LAS64" s="94"/>
      <c r="LAT64" s="94"/>
      <c r="LAU64" s="94"/>
      <c r="LAV64" s="94"/>
      <c r="LAW64" s="94"/>
      <c r="LAX64" s="94"/>
      <c r="LAY64" s="94"/>
      <c r="LAZ64" s="94"/>
      <c r="LBA64" s="94"/>
      <c r="LBB64" s="94"/>
      <c r="LBC64" s="94"/>
      <c r="LBD64" s="94"/>
      <c r="LBE64" s="94"/>
      <c r="LBF64" s="94"/>
      <c r="LBG64" s="94"/>
      <c r="LBH64" s="94"/>
      <c r="LBI64" s="94"/>
      <c r="LBJ64" s="94"/>
      <c r="LBK64" s="94"/>
      <c r="LBL64" s="94"/>
      <c r="LBM64" s="94"/>
      <c r="LBN64" s="94"/>
      <c r="LBO64" s="94"/>
      <c r="LBP64" s="94"/>
      <c r="LBQ64" s="94"/>
      <c r="LBR64" s="94"/>
      <c r="LBS64" s="94"/>
      <c r="LBT64" s="94"/>
      <c r="LBU64" s="94"/>
      <c r="LBV64" s="94"/>
      <c r="LBW64" s="94"/>
      <c r="LBX64" s="94"/>
      <c r="LBY64" s="94"/>
      <c r="LBZ64" s="94"/>
      <c r="LCA64" s="94"/>
      <c r="LCB64" s="94"/>
      <c r="LCC64" s="94"/>
      <c r="LCD64" s="94"/>
      <c r="LCE64" s="94"/>
      <c r="LCF64" s="94"/>
      <c r="LCG64" s="94"/>
      <c r="LCH64" s="94"/>
      <c r="LCI64" s="94"/>
      <c r="LCJ64" s="94"/>
      <c r="LCK64" s="94"/>
      <c r="LCL64" s="94"/>
      <c r="LCM64" s="94"/>
      <c r="LCN64" s="94"/>
      <c r="LCO64" s="94"/>
      <c r="LCP64" s="94"/>
      <c r="LCQ64" s="94"/>
      <c r="LCR64" s="94"/>
      <c r="LCS64" s="94"/>
      <c r="LCT64" s="94"/>
      <c r="LCU64" s="94"/>
      <c r="LCV64" s="94"/>
      <c r="LCW64" s="94"/>
      <c r="LCX64" s="94"/>
      <c r="LCY64" s="94"/>
      <c r="LCZ64" s="94"/>
      <c r="LDA64" s="94"/>
      <c r="LDB64" s="94"/>
      <c r="LDC64" s="94"/>
      <c r="LDD64" s="94"/>
      <c r="LDE64" s="94"/>
      <c r="LDF64" s="94"/>
      <c r="LDG64" s="94"/>
      <c r="LDH64" s="94"/>
      <c r="LDI64" s="94"/>
      <c r="LDJ64" s="94"/>
      <c r="LDK64" s="94"/>
      <c r="LDL64" s="94"/>
      <c r="LDM64" s="94"/>
      <c r="LDN64" s="94"/>
      <c r="LDO64" s="94"/>
      <c r="LDP64" s="94"/>
      <c r="LDQ64" s="94"/>
      <c r="LDR64" s="94"/>
      <c r="LDS64" s="94"/>
      <c r="LDT64" s="94"/>
      <c r="LDU64" s="94"/>
      <c r="LDV64" s="94"/>
      <c r="LDW64" s="94"/>
      <c r="LDX64" s="94"/>
      <c r="LDY64" s="94"/>
      <c r="LDZ64" s="94"/>
      <c r="LEA64" s="94"/>
      <c r="LEB64" s="94"/>
      <c r="LEC64" s="94"/>
      <c r="LED64" s="94"/>
      <c r="LEE64" s="94"/>
      <c r="LEF64" s="94"/>
      <c r="LEG64" s="94"/>
      <c r="LEH64" s="94"/>
      <c r="LEI64" s="94"/>
      <c r="LEJ64" s="94"/>
      <c r="LEK64" s="94"/>
      <c r="LEL64" s="94"/>
      <c r="LEM64" s="94"/>
      <c r="LEN64" s="94"/>
      <c r="LEO64" s="94"/>
      <c r="LEP64" s="94"/>
      <c r="LEQ64" s="94"/>
      <c r="LER64" s="94"/>
      <c r="LES64" s="94"/>
      <c r="LET64" s="94"/>
      <c r="LEU64" s="94"/>
      <c r="LEV64" s="94"/>
      <c r="LEW64" s="94"/>
      <c r="LEX64" s="94"/>
      <c r="LEY64" s="94"/>
      <c r="LEZ64" s="94"/>
      <c r="LFA64" s="94"/>
      <c r="LFB64" s="94"/>
      <c r="LFC64" s="94"/>
      <c r="LFD64" s="94"/>
      <c r="LFE64" s="94"/>
      <c r="LFF64" s="94"/>
      <c r="LFG64" s="94"/>
      <c r="LFH64" s="94"/>
      <c r="LFI64" s="94"/>
      <c r="LFJ64" s="94"/>
      <c r="LFK64" s="94"/>
      <c r="LFL64" s="94"/>
      <c r="LFM64" s="94"/>
      <c r="LFN64" s="94"/>
      <c r="LFO64" s="94"/>
      <c r="LFP64" s="94"/>
      <c r="LFQ64" s="94"/>
      <c r="LFR64" s="94"/>
      <c r="LFS64" s="94"/>
      <c r="LFT64" s="94"/>
      <c r="LFU64" s="94"/>
      <c r="LFV64" s="94"/>
      <c r="LFW64" s="94"/>
      <c r="LFX64" s="94"/>
      <c r="LFY64" s="94"/>
      <c r="LFZ64" s="94"/>
      <c r="LGA64" s="94"/>
      <c r="LGB64" s="94"/>
      <c r="LGC64" s="94"/>
      <c r="LGD64" s="94"/>
      <c r="LGE64" s="94"/>
      <c r="LGF64" s="94"/>
      <c r="LGG64" s="94"/>
      <c r="LGH64" s="94"/>
      <c r="LGI64" s="94"/>
      <c r="LGJ64" s="94"/>
      <c r="LGK64" s="94"/>
      <c r="LGL64" s="94"/>
      <c r="LGM64" s="94"/>
      <c r="LGN64" s="94"/>
      <c r="LGO64" s="94"/>
      <c r="LGP64" s="94"/>
      <c r="LGQ64" s="94"/>
      <c r="LGR64" s="94"/>
      <c r="LGS64" s="94"/>
      <c r="LGT64" s="94"/>
      <c r="LGU64" s="94"/>
      <c r="LGV64" s="94"/>
      <c r="LGW64" s="94"/>
      <c r="LGX64" s="94"/>
      <c r="LGY64" s="94"/>
      <c r="LGZ64" s="94"/>
      <c r="LHA64" s="94"/>
      <c r="LHB64" s="94"/>
      <c r="LHC64" s="94"/>
      <c r="LHD64" s="94"/>
      <c r="LHE64" s="94"/>
      <c r="LHF64" s="94"/>
      <c r="LHG64" s="94"/>
      <c r="LHH64" s="94"/>
      <c r="LHI64" s="94"/>
      <c r="LHJ64" s="94"/>
      <c r="LHK64" s="94"/>
      <c r="LHL64" s="94"/>
      <c r="LHM64" s="94"/>
      <c r="LHN64" s="94"/>
      <c r="LHO64" s="94"/>
      <c r="LHP64" s="94"/>
      <c r="LHQ64" s="94"/>
      <c r="LHR64" s="94"/>
      <c r="LHS64" s="94"/>
      <c r="LHT64" s="94"/>
      <c r="LHU64" s="94"/>
      <c r="LHV64" s="94"/>
      <c r="LHW64" s="94"/>
      <c r="LHX64" s="94"/>
      <c r="LHY64" s="94"/>
      <c r="LHZ64" s="94"/>
      <c r="LIA64" s="94"/>
      <c r="LIB64" s="94"/>
      <c r="LIC64" s="94"/>
      <c r="LID64" s="94"/>
      <c r="LIE64" s="94"/>
      <c r="LIF64" s="94"/>
      <c r="LIG64" s="94"/>
      <c r="LIH64" s="94"/>
      <c r="LII64" s="94"/>
      <c r="LIJ64" s="94"/>
      <c r="LIK64" s="94"/>
      <c r="LIL64" s="94"/>
      <c r="LIM64" s="94"/>
      <c r="LIN64" s="94"/>
      <c r="LIO64" s="94"/>
      <c r="LIP64" s="94"/>
      <c r="LIQ64" s="94"/>
      <c r="LIR64" s="94"/>
      <c r="LIS64" s="94"/>
      <c r="LIT64" s="94"/>
      <c r="LIU64" s="94"/>
      <c r="LIV64" s="94"/>
      <c r="LIW64" s="94"/>
      <c r="LIX64" s="94"/>
      <c r="LIY64" s="94"/>
      <c r="LIZ64" s="94"/>
      <c r="LJA64" s="94"/>
      <c r="LJB64" s="94"/>
      <c r="LJC64" s="94"/>
      <c r="LJD64" s="94"/>
      <c r="LJE64" s="94"/>
      <c r="LJF64" s="94"/>
      <c r="LJG64" s="94"/>
      <c r="LJH64" s="94"/>
      <c r="LJI64" s="94"/>
      <c r="LJJ64" s="94"/>
      <c r="LJK64" s="94"/>
      <c r="LJL64" s="94"/>
      <c r="LJM64" s="94"/>
      <c r="LJN64" s="94"/>
      <c r="LJO64" s="94"/>
      <c r="LJP64" s="94"/>
      <c r="LJQ64" s="94"/>
      <c r="LJR64" s="94"/>
      <c r="LJS64" s="94"/>
      <c r="LJT64" s="94"/>
      <c r="LJU64" s="94"/>
      <c r="LJV64" s="94"/>
      <c r="LJW64" s="94"/>
      <c r="LJX64" s="94"/>
      <c r="LJY64" s="94"/>
      <c r="LJZ64" s="94"/>
      <c r="LKA64" s="94"/>
      <c r="LKB64" s="94"/>
      <c r="LKC64" s="94"/>
      <c r="LKD64" s="94"/>
      <c r="LKE64" s="94"/>
      <c r="LKF64" s="94"/>
      <c r="LKG64" s="94"/>
      <c r="LKH64" s="94"/>
      <c r="LKI64" s="94"/>
      <c r="LKJ64" s="94"/>
      <c r="LKK64" s="94"/>
      <c r="LKL64" s="94"/>
      <c r="LKM64" s="94"/>
      <c r="LKN64" s="94"/>
      <c r="LKO64" s="94"/>
      <c r="LKP64" s="94"/>
      <c r="LKQ64" s="94"/>
      <c r="LKR64" s="94"/>
      <c r="LKS64" s="94"/>
      <c r="LKT64" s="94"/>
      <c r="LKU64" s="94"/>
      <c r="LKV64" s="94"/>
      <c r="LKW64" s="94"/>
      <c r="LKX64" s="94"/>
      <c r="LKY64" s="94"/>
      <c r="LKZ64" s="94"/>
      <c r="LLA64" s="94"/>
      <c r="LLB64" s="94"/>
      <c r="LLC64" s="94"/>
      <c r="LLD64" s="94"/>
      <c r="LLE64" s="94"/>
      <c r="LLF64" s="94"/>
      <c r="LLG64" s="94"/>
      <c r="LLH64" s="94"/>
      <c r="LLI64" s="94"/>
      <c r="LLJ64" s="94"/>
      <c r="LLK64" s="94"/>
      <c r="LLL64" s="94"/>
      <c r="LLM64" s="94"/>
      <c r="LLN64" s="94"/>
      <c r="LLO64" s="94"/>
      <c r="LLP64" s="94"/>
      <c r="LLQ64" s="94"/>
      <c r="LLR64" s="94"/>
      <c r="LLS64" s="94"/>
      <c r="LLT64" s="94"/>
      <c r="LLU64" s="94"/>
      <c r="LLV64" s="94"/>
      <c r="LLW64" s="94"/>
      <c r="LLX64" s="94"/>
      <c r="LLY64" s="94"/>
      <c r="LLZ64" s="94"/>
      <c r="LMA64" s="94"/>
      <c r="LMB64" s="94"/>
      <c r="LMC64" s="94"/>
      <c r="LMD64" s="94"/>
      <c r="LME64" s="94"/>
      <c r="LMF64" s="94"/>
      <c r="LMG64" s="94"/>
      <c r="LMH64" s="94"/>
      <c r="LMI64" s="94"/>
      <c r="LMJ64" s="94"/>
      <c r="LMK64" s="94"/>
      <c r="LML64" s="94"/>
      <c r="LMM64" s="94"/>
      <c r="LMN64" s="94"/>
      <c r="LMO64" s="94"/>
      <c r="LMP64" s="94"/>
      <c r="LMQ64" s="94"/>
      <c r="LMR64" s="94"/>
      <c r="LMS64" s="94"/>
      <c r="LMT64" s="94"/>
      <c r="LMU64" s="94"/>
      <c r="LMV64" s="94"/>
      <c r="LMW64" s="94"/>
      <c r="LMX64" s="94"/>
      <c r="LMY64" s="94"/>
      <c r="LMZ64" s="94"/>
      <c r="LNA64" s="94"/>
      <c r="LNB64" s="94"/>
      <c r="LNC64" s="94"/>
      <c r="LND64" s="94"/>
      <c r="LNE64" s="94"/>
      <c r="LNF64" s="94"/>
      <c r="LNG64" s="94"/>
      <c r="LNH64" s="94"/>
      <c r="LNI64" s="94"/>
      <c r="LNJ64" s="94"/>
      <c r="LNK64" s="94"/>
      <c r="LNL64" s="94"/>
      <c r="LNM64" s="94"/>
      <c r="LNN64" s="94"/>
      <c r="LNO64" s="94"/>
      <c r="LNP64" s="94"/>
      <c r="LNQ64" s="94"/>
      <c r="LNR64" s="94"/>
      <c r="LNS64" s="94"/>
      <c r="LNT64" s="94"/>
      <c r="LNU64" s="94"/>
      <c r="LNV64" s="94"/>
      <c r="LNW64" s="94"/>
      <c r="LNX64" s="94"/>
      <c r="LNY64" s="94"/>
      <c r="LNZ64" s="94"/>
      <c r="LOA64" s="94"/>
      <c r="LOB64" s="94"/>
      <c r="LOC64" s="94"/>
      <c r="LOD64" s="94"/>
      <c r="LOE64" s="94"/>
      <c r="LOF64" s="94"/>
      <c r="LOG64" s="94"/>
      <c r="LOH64" s="94"/>
      <c r="LOI64" s="94"/>
      <c r="LOJ64" s="94"/>
      <c r="LOK64" s="94"/>
      <c r="LOL64" s="94"/>
      <c r="LOM64" s="94"/>
      <c r="LON64" s="94"/>
      <c r="LOO64" s="94"/>
      <c r="LOP64" s="94"/>
      <c r="LOQ64" s="94"/>
      <c r="LOR64" s="94"/>
      <c r="LOS64" s="94"/>
      <c r="LOT64" s="94"/>
      <c r="LOU64" s="94"/>
      <c r="LOV64" s="94"/>
      <c r="LOW64" s="94"/>
      <c r="LOX64" s="94"/>
      <c r="LOY64" s="94"/>
      <c r="LOZ64" s="94"/>
      <c r="LPA64" s="94"/>
      <c r="LPB64" s="94"/>
      <c r="LPC64" s="94"/>
      <c r="LPD64" s="94"/>
      <c r="LPE64" s="94"/>
      <c r="LPF64" s="94"/>
      <c r="LPG64" s="94"/>
      <c r="LPH64" s="94"/>
      <c r="LPI64" s="94"/>
      <c r="LPJ64" s="94"/>
      <c r="LPK64" s="94"/>
      <c r="LPL64" s="94"/>
      <c r="LPM64" s="94"/>
      <c r="LPN64" s="94"/>
      <c r="LPO64" s="94"/>
      <c r="LPP64" s="94"/>
      <c r="LPQ64" s="94"/>
      <c r="LPR64" s="94"/>
      <c r="LPS64" s="94"/>
      <c r="LPT64" s="94"/>
      <c r="LPU64" s="94"/>
      <c r="LPV64" s="94"/>
      <c r="LPW64" s="94"/>
      <c r="LPX64" s="94"/>
      <c r="LPY64" s="94"/>
      <c r="LPZ64" s="94"/>
      <c r="LQA64" s="94"/>
      <c r="LQB64" s="94"/>
      <c r="LQC64" s="94"/>
      <c r="LQD64" s="94"/>
      <c r="LQE64" s="94"/>
      <c r="LQF64" s="94"/>
      <c r="LQG64" s="94"/>
      <c r="LQH64" s="94"/>
      <c r="LQI64" s="94"/>
      <c r="LQJ64" s="94"/>
      <c r="LQK64" s="94"/>
      <c r="LQL64" s="94"/>
      <c r="LQM64" s="94"/>
      <c r="LQN64" s="94"/>
      <c r="LQO64" s="94"/>
      <c r="LQP64" s="94"/>
      <c r="LQQ64" s="94"/>
      <c r="LQR64" s="94"/>
      <c r="LQS64" s="94"/>
      <c r="LQT64" s="94"/>
      <c r="LQU64" s="94"/>
      <c r="LQV64" s="94"/>
      <c r="LQW64" s="94"/>
      <c r="LQX64" s="94"/>
      <c r="LQY64" s="94"/>
      <c r="LQZ64" s="94"/>
      <c r="LRA64" s="94"/>
      <c r="LRB64" s="94"/>
      <c r="LRC64" s="94"/>
      <c r="LRD64" s="94"/>
      <c r="LRE64" s="94"/>
      <c r="LRF64" s="94"/>
      <c r="LRG64" s="94"/>
      <c r="LRH64" s="94"/>
      <c r="LRI64" s="94"/>
      <c r="LRJ64" s="94"/>
      <c r="LRK64" s="94"/>
      <c r="LRL64" s="94"/>
      <c r="LRM64" s="94"/>
      <c r="LRN64" s="94"/>
      <c r="LRO64" s="94"/>
      <c r="LRP64" s="94"/>
      <c r="LRQ64" s="94"/>
      <c r="LRR64" s="94"/>
      <c r="LRS64" s="94"/>
      <c r="LRT64" s="94"/>
      <c r="LRU64" s="94"/>
      <c r="LRV64" s="94"/>
      <c r="LRW64" s="94"/>
      <c r="LRX64" s="94"/>
      <c r="LRY64" s="94"/>
      <c r="LRZ64" s="94"/>
      <c r="LSA64" s="94"/>
      <c r="LSB64" s="94"/>
      <c r="LSC64" s="94"/>
      <c r="LSD64" s="94"/>
      <c r="LSE64" s="94"/>
      <c r="LSF64" s="94"/>
      <c r="LSG64" s="94"/>
      <c r="LSH64" s="94"/>
      <c r="LSI64" s="94"/>
      <c r="LSJ64" s="94"/>
      <c r="LSK64" s="94"/>
      <c r="LSL64" s="94"/>
      <c r="LSM64" s="94"/>
      <c r="LSN64" s="94"/>
      <c r="LSO64" s="94"/>
      <c r="LSP64" s="94"/>
      <c r="LSQ64" s="94"/>
      <c r="LSR64" s="94"/>
      <c r="LSS64" s="94"/>
      <c r="LST64" s="94"/>
      <c r="LSU64" s="94"/>
      <c r="LSV64" s="94"/>
      <c r="LSW64" s="94"/>
      <c r="LSX64" s="94"/>
      <c r="LSY64" s="94"/>
      <c r="LSZ64" s="94"/>
      <c r="LTA64" s="94"/>
      <c r="LTB64" s="94"/>
      <c r="LTC64" s="94"/>
      <c r="LTD64" s="94"/>
      <c r="LTE64" s="94"/>
      <c r="LTF64" s="94"/>
      <c r="LTG64" s="94"/>
      <c r="LTH64" s="94"/>
      <c r="LTI64" s="94"/>
      <c r="LTJ64" s="94"/>
      <c r="LTK64" s="94"/>
      <c r="LTL64" s="94"/>
      <c r="LTM64" s="94"/>
      <c r="LTN64" s="94"/>
      <c r="LTO64" s="94"/>
      <c r="LTP64" s="94"/>
      <c r="LTQ64" s="94"/>
      <c r="LTR64" s="94"/>
      <c r="LTS64" s="94"/>
      <c r="LTT64" s="94"/>
      <c r="LTU64" s="94"/>
      <c r="LTV64" s="94"/>
      <c r="LTW64" s="94"/>
      <c r="LTX64" s="94"/>
      <c r="LTY64" s="94"/>
      <c r="LTZ64" s="94"/>
      <c r="LUA64" s="94"/>
      <c r="LUB64" s="94"/>
      <c r="LUC64" s="94"/>
      <c r="LUD64" s="94"/>
      <c r="LUE64" s="94"/>
      <c r="LUF64" s="94"/>
      <c r="LUG64" s="94"/>
      <c r="LUH64" s="94"/>
      <c r="LUI64" s="94"/>
      <c r="LUJ64" s="94"/>
      <c r="LUK64" s="94"/>
      <c r="LUL64" s="94"/>
      <c r="LUM64" s="94"/>
      <c r="LUN64" s="94"/>
      <c r="LUO64" s="94"/>
      <c r="LUP64" s="94"/>
      <c r="LUQ64" s="94"/>
      <c r="LUR64" s="94"/>
      <c r="LUS64" s="94"/>
      <c r="LUT64" s="94"/>
      <c r="LUU64" s="94"/>
      <c r="LUV64" s="94"/>
      <c r="LUW64" s="94"/>
      <c r="LUX64" s="94"/>
      <c r="LUY64" s="94"/>
      <c r="LUZ64" s="94"/>
      <c r="LVA64" s="94"/>
      <c r="LVB64" s="94"/>
      <c r="LVC64" s="94"/>
      <c r="LVD64" s="94"/>
      <c r="LVE64" s="94"/>
      <c r="LVF64" s="94"/>
      <c r="LVG64" s="94"/>
      <c r="LVH64" s="94"/>
      <c r="LVI64" s="94"/>
      <c r="LVJ64" s="94"/>
      <c r="LVK64" s="94"/>
      <c r="LVL64" s="94"/>
      <c r="LVM64" s="94"/>
      <c r="LVN64" s="94"/>
      <c r="LVO64" s="94"/>
      <c r="LVP64" s="94"/>
      <c r="LVQ64" s="94"/>
      <c r="LVR64" s="94"/>
      <c r="LVS64" s="94"/>
      <c r="LVT64" s="94"/>
      <c r="LVU64" s="94"/>
      <c r="LVV64" s="94"/>
      <c r="LVW64" s="94"/>
      <c r="LVX64" s="94"/>
      <c r="LVY64" s="94"/>
      <c r="LVZ64" s="94"/>
      <c r="LWA64" s="94"/>
      <c r="LWB64" s="94"/>
      <c r="LWC64" s="94"/>
      <c r="LWD64" s="94"/>
      <c r="LWE64" s="94"/>
      <c r="LWF64" s="94"/>
      <c r="LWG64" s="94"/>
      <c r="LWH64" s="94"/>
      <c r="LWI64" s="94"/>
      <c r="LWJ64" s="94"/>
      <c r="LWK64" s="94"/>
      <c r="LWL64" s="94"/>
      <c r="LWM64" s="94"/>
      <c r="LWN64" s="94"/>
      <c r="LWO64" s="94"/>
      <c r="LWP64" s="94"/>
      <c r="LWQ64" s="94"/>
      <c r="LWR64" s="94"/>
      <c r="LWS64" s="94"/>
      <c r="LWT64" s="94"/>
      <c r="LWU64" s="94"/>
      <c r="LWV64" s="94"/>
      <c r="LWW64" s="94"/>
      <c r="LWX64" s="94"/>
      <c r="LWY64" s="94"/>
      <c r="LWZ64" s="94"/>
      <c r="LXA64" s="94"/>
      <c r="LXB64" s="94"/>
      <c r="LXC64" s="94"/>
      <c r="LXD64" s="94"/>
      <c r="LXE64" s="94"/>
      <c r="LXF64" s="94"/>
      <c r="LXG64" s="94"/>
      <c r="LXH64" s="94"/>
      <c r="LXI64" s="94"/>
      <c r="LXJ64" s="94"/>
      <c r="LXK64" s="94"/>
      <c r="LXL64" s="94"/>
      <c r="LXM64" s="94"/>
      <c r="LXN64" s="94"/>
      <c r="LXO64" s="94"/>
      <c r="LXP64" s="94"/>
      <c r="LXQ64" s="94"/>
      <c r="LXR64" s="94"/>
      <c r="LXS64" s="94"/>
      <c r="LXT64" s="94"/>
      <c r="LXU64" s="94"/>
      <c r="LXV64" s="94"/>
      <c r="LXW64" s="94"/>
      <c r="LXX64" s="94"/>
      <c r="LXY64" s="94"/>
      <c r="LXZ64" s="94"/>
      <c r="LYA64" s="94"/>
      <c r="LYB64" s="94"/>
      <c r="LYC64" s="94"/>
      <c r="LYD64" s="94"/>
      <c r="LYE64" s="94"/>
      <c r="LYF64" s="94"/>
      <c r="LYG64" s="94"/>
      <c r="LYH64" s="94"/>
      <c r="LYI64" s="94"/>
      <c r="LYJ64" s="94"/>
      <c r="LYK64" s="94"/>
      <c r="LYL64" s="94"/>
      <c r="LYM64" s="94"/>
      <c r="LYN64" s="94"/>
      <c r="LYO64" s="94"/>
      <c r="LYP64" s="94"/>
      <c r="LYQ64" s="94"/>
      <c r="LYR64" s="94"/>
      <c r="LYS64" s="94"/>
      <c r="LYT64" s="94"/>
      <c r="LYU64" s="94"/>
      <c r="LYV64" s="94"/>
      <c r="LYW64" s="94"/>
      <c r="LYX64" s="94"/>
      <c r="LYY64" s="94"/>
      <c r="LYZ64" s="94"/>
      <c r="LZA64" s="94"/>
      <c r="LZB64" s="94"/>
      <c r="LZC64" s="94"/>
      <c r="LZD64" s="94"/>
      <c r="LZE64" s="94"/>
      <c r="LZF64" s="94"/>
      <c r="LZG64" s="94"/>
      <c r="LZH64" s="94"/>
      <c r="LZI64" s="94"/>
      <c r="LZJ64" s="94"/>
      <c r="LZK64" s="94"/>
      <c r="LZL64" s="94"/>
      <c r="LZM64" s="94"/>
      <c r="LZN64" s="94"/>
      <c r="LZO64" s="94"/>
      <c r="LZP64" s="94"/>
      <c r="LZQ64" s="94"/>
      <c r="LZR64" s="94"/>
      <c r="LZS64" s="94"/>
      <c r="LZT64" s="94"/>
      <c r="LZU64" s="94"/>
      <c r="LZV64" s="94"/>
      <c r="LZW64" s="94"/>
      <c r="LZX64" s="94"/>
      <c r="LZY64" s="94"/>
      <c r="LZZ64" s="94"/>
      <c r="MAA64" s="94"/>
      <c r="MAB64" s="94"/>
      <c r="MAC64" s="94"/>
      <c r="MAD64" s="94"/>
      <c r="MAE64" s="94"/>
      <c r="MAF64" s="94"/>
      <c r="MAG64" s="94"/>
      <c r="MAH64" s="94"/>
      <c r="MAI64" s="94"/>
      <c r="MAJ64" s="94"/>
      <c r="MAK64" s="94"/>
      <c r="MAL64" s="94"/>
      <c r="MAM64" s="94"/>
      <c r="MAN64" s="94"/>
      <c r="MAO64" s="94"/>
      <c r="MAP64" s="94"/>
      <c r="MAQ64" s="94"/>
      <c r="MAR64" s="94"/>
      <c r="MAS64" s="94"/>
      <c r="MAT64" s="94"/>
      <c r="MAU64" s="94"/>
      <c r="MAV64" s="94"/>
      <c r="MAW64" s="94"/>
      <c r="MAX64" s="94"/>
      <c r="MAY64" s="94"/>
      <c r="MAZ64" s="94"/>
      <c r="MBA64" s="94"/>
      <c r="MBB64" s="94"/>
      <c r="MBC64" s="94"/>
      <c r="MBD64" s="94"/>
      <c r="MBE64" s="94"/>
      <c r="MBF64" s="94"/>
      <c r="MBG64" s="94"/>
      <c r="MBH64" s="94"/>
      <c r="MBI64" s="94"/>
      <c r="MBJ64" s="94"/>
      <c r="MBK64" s="94"/>
      <c r="MBL64" s="94"/>
      <c r="MBM64" s="94"/>
      <c r="MBN64" s="94"/>
      <c r="MBO64" s="94"/>
      <c r="MBP64" s="94"/>
      <c r="MBQ64" s="94"/>
      <c r="MBR64" s="94"/>
      <c r="MBS64" s="94"/>
      <c r="MBT64" s="94"/>
      <c r="MBU64" s="94"/>
      <c r="MBV64" s="94"/>
      <c r="MBW64" s="94"/>
      <c r="MBX64" s="94"/>
      <c r="MBY64" s="94"/>
      <c r="MBZ64" s="94"/>
      <c r="MCA64" s="94"/>
      <c r="MCB64" s="94"/>
      <c r="MCC64" s="94"/>
      <c r="MCD64" s="94"/>
      <c r="MCE64" s="94"/>
      <c r="MCF64" s="94"/>
      <c r="MCG64" s="94"/>
      <c r="MCH64" s="94"/>
      <c r="MCI64" s="94"/>
      <c r="MCJ64" s="94"/>
      <c r="MCK64" s="94"/>
      <c r="MCL64" s="94"/>
      <c r="MCM64" s="94"/>
      <c r="MCN64" s="94"/>
      <c r="MCO64" s="94"/>
      <c r="MCP64" s="94"/>
      <c r="MCQ64" s="94"/>
      <c r="MCR64" s="94"/>
      <c r="MCS64" s="94"/>
      <c r="MCT64" s="94"/>
      <c r="MCU64" s="94"/>
      <c r="MCV64" s="94"/>
      <c r="MCW64" s="94"/>
      <c r="MCX64" s="94"/>
      <c r="MCY64" s="94"/>
      <c r="MCZ64" s="94"/>
      <c r="MDA64" s="94"/>
      <c r="MDB64" s="94"/>
      <c r="MDC64" s="94"/>
      <c r="MDD64" s="94"/>
      <c r="MDE64" s="94"/>
      <c r="MDF64" s="94"/>
      <c r="MDG64" s="94"/>
      <c r="MDH64" s="94"/>
      <c r="MDI64" s="94"/>
      <c r="MDJ64" s="94"/>
      <c r="MDK64" s="94"/>
      <c r="MDL64" s="94"/>
      <c r="MDM64" s="94"/>
      <c r="MDN64" s="94"/>
      <c r="MDO64" s="94"/>
      <c r="MDP64" s="94"/>
      <c r="MDQ64" s="94"/>
      <c r="MDR64" s="94"/>
      <c r="MDS64" s="94"/>
      <c r="MDT64" s="94"/>
      <c r="MDU64" s="94"/>
      <c r="MDV64" s="94"/>
      <c r="MDW64" s="94"/>
      <c r="MDX64" s="94"/>
      <c r="MDY64" s="94"/>
      <c r="MDZ64" s="94"/>
      <c r="MEA64" s="94"/>
      <c r="MEB64" s="94"/>
      <c r="MEC64" s="94"/>
      <c r="MED64" s="94"/>
      <c r="MEE64" s="94"/>
      <c r="MEF64" s="94"/>
      <c r="MEG64" s="94"/>
      <c r="MEH64" s="94"/>
      <c r="MEI64" s="94"/>
      <c r="MEJ64" s="94"/>
      <c r="MEK64" s="94"/>
      <c r="MEL64" s="94"/>
      <c r="MEM64" s="94"/>
      <c r="MEN64" s="94"/>
      <c r="MEO64" s="94"/>
      <c r="MEP64" s="94"/>
      <c r="MEQ64" s="94"/>
      <c r="MER64" s="94"/>
      <c r="MES64" s="94"/>
      <c r="MET64" s="94"/>
      <c r="MEU64" s="94"/>
      <c r="MEV64" s="94"/>
      <c r="MEW64" s="94"/>
      <c r="MEX64" s="94"/>
      <c r="MEY64" s="94"/>
      <c r="MEZ64" s="94"/>
      <c r="MFA64" s="94"/>
      <c r="MFB64" s="94"/>
      <c r="MFC64" s="94"/>
      <c r="MFD64" s="94"/>
      <c r="MFE64" s="94"/>
      <c r="MFF64" s="94"/>
      <c r="MFG64" s="94"/>
      <c r="MFH64" s="94"/>
      <c r="MFI64" s="94"/>
      <c r="MFJ64" s="94"/>
      <c r="MFK64" s="94"/>
      <c r="MFL64" s="94"/>
      <c r="MFM64" s="94"/>
      <c r="MFN64" s="94"/>
      <c r="MFO64" s="94"/>
      <c r="MFP64" s="94"/>
      <c r="MFQ64" s="94"/>
      <c r="MFR64" s="94"/>
      <c r="MFS64" s="94"/>
      <c r="MFT64" s="94"/>
      <c r="MFU64" s="94"/>
      <c r="MFV64" s="94"/>
      <c r="MFW64" s="94"/>
      <c r="MFX64" s="94"/>
      <c r="MFY64" s="94"/>
      <c r="MFZ64" s="94"/>
      <c r="MGA64" s="94"/>
      <c r="MGB64" s="94"/>
      <c r="MGC64" s="94"/>
      <c r="MGD64" s="94"/>
      <c r="MGE64" s="94"/>
      <c r="MGF64" s="94"/>
      <c r="MGG64" s="94"/>
      <c r="MGH64" s="94"/>
      <c r="MGI64" s="94"/>
      <c r="MGJ64" s="94"/>
      <c r="MGK64" s="94"/>
      <c r="MGL64" s="94"/>
      <c r="MGM64" s="94"/>
      <c r="MGN64" s="94"/>
      <c r="MGO64" s="94"/>
      <c r="MGP64" s="94"/>
      <c r="MGQ64" s="94"/>
      <c r="MGR64" s="94"/>
      <c r="MGS64" s="94"/>
      <c r="MGT64" s="94"/>
      <c r="MGU64" s="94"/>
      <c r="MGV64" s="94"/>
      <c r="MGW64" s="94"/>
      <c r="MGX64" s="94"/>
      <c r="MGY64" s="94"/>
      <c r="MGZ64" s="94"/>
      <c r="MHA64" s="94"/>
      <c r="MHB64" s="94"/>
      <c r="MHC64" s="94"/>
      <c r="MHD64" s="94"/>
      <c r="MHE64" s="94"/>
      <c r="MHF64" s="94"/>
      <c r="MHG64" s="94"/>
      <c r="MHH64" s="94"/>
      <c r="MHI64" s="94"/>
      <c r="MHJ64" s="94"/>
      <c r="MHK64" s="94"/>
      <c r="MHL64" s="94"/>
      <c r="MHM64" s="94"/>
      <c r="MHN64" s="94"/>
      <c r="MHO64" s="94"/>
      <c r="MHP64" s="94"/>
      <c r="MHQ64" s="94"/>
      <c r="MHR64" s="94"/>
      <c r="MHS64" s="94"/>
      <c r="MHT64" s="94"/>
      <c r="MHU64" s="94"/>
      <c r="MHV64" s="94"/>
      <c r="MHW64" s="94"/>
      <c r="MHX64" s="94"/>
      <c r="MHY64" s="94"/>
      <c r="MHZ64" s="94"/>
      <c r="MIA64" s="94"/>
      <c r="MIB64" s="94"/>
      <c r="MIC64" s="94"/>
      <c r="MID64" s="94"/>
      <c r="MIE64" s="94"/>
      <c r="MIF64" s="94"/>
      <c r="MIG64" s="94"/>
      <c r="MIH64" s="94"/>
      <c r="MII64" s="94"/>
      <c r="MIJ64" s="94"/>
      <c r="MIK64" s="94"/>
      <c r="MIL64" s="94"/>
      <c r="MIM64" s="94"/>
      <c r="MIN64" s="94"/>
      <c r="MIO64" s="94"/>
      <c r="MIP64" s="94"/>
      <c r="MIQ64" s="94"/>
      <c r="MIR64" s="94"/>
      <c r="MIS64" s="94"/>
      <c r="MIT64" s="94"/>
      <c r="MIU64" s="94"/>
      <c r="MIV64" s="94"/>
      <c r="MIW64" s="94"/>
      <c r="MIX64" s="94"/>
      <c r="MIY64" s="94"/>
      <c r="MIZ64" s="94"/>
      <c r="MJA64" s="94"/>
      <c r="MJB64" s="94"/>
      <c r="MJC64" s="94"/>
      <c r="MJD64" s="94"/>
      <c r="MJE64" s="94"/>
      <c r="MJF64" s="94"/>
      <c r="MJG64" s="94"/>
      <c r="MJH64" s="94"/>
      <c r="MJI64" s="94"/>
      <c r="MJJ64" s="94"/>
      <c r="MJK64" s="94"/>
      <c r="MJL64" s="94"/>
      <c r="MJM64" s="94"/>
      <c r="MJN64" s="94"/>
      <c r="MJO64" s="94"/>
      <c r="MJP64" s="94"/>
      <c r="MJQ64" s="94"/>
      <c r="MJR64" s="94"/>
      <c r="MJS64" s="94"/>
      <c r="MJT64" s="94"/>
      <c r="MJU64" s="94"/>
      <c r="MJV64" s="94"/>
      <c r="MJW64" s="94"/>
      <c r="MJX64" s="94"/>
      <c r="MJY64" s="94"/>
      <c r="MJZ64" s="94"/>
      <c r="MKA64" s="94"/>
      <c r="MKB64" s="94"/>
      <c r="MKC64" s="94"/>
      <c r="MKD64" s="94"/>
      <c r="MKE64" s="94"/>
      <c r="MKF64" s="94"/>
      <c r="MKG64" s="94"/>
      <c r="MKH64" s="94"/>
      <c r="MKI64" s="94"/>
      <c r="MKJ64" s="94"/>
      <c r="MKK64" s="94"/>
      <c r="MKL64" s="94"/>
      <c r="MKM64" s="94"/>
      <c r="MKN64" s="94"/>
      <c r="MKO64" s="94"/>
      <c r="MKP64" s="94"/>
      <c r="MKQ64" s="94"/>
      <c r="MKR64" s="94"/>
      <c r="MKS64" s="94"/>
      <c r="MKT64" s="94"/>
      <c r="MKU64" s="94"/>
      <c r="MKV64" s="94"/>
      <c r="MKW64" s="94"/>
      <c r="MKX64" s="94"/>
      <c r="MKY64" s="94"/>
      <c r="MKZ64" s="94"/>
      <c r="MLA64" s="94"/>
      <c r="MLB64" s="94"/>
      <c r="MLC64" s="94"/>
      <c r="MLD64" s="94"/>
      <c r="MLE64" s="94"/>
      <c r="MLF64" s="94"/>
      <c r="MLG64" s="94"/>
      <c r="MLH64" s="94"/>
      <c r="MLI64" s="94"/>
      <c r="MLJ64" s="94"/>
      <c r="MLK64" s="94"/>
      <c r="MLL64" s="94"/>
      <c r="MLM64" s="94"/>
      <c r="MLN64" s="94"/>
      <c r="MLO64" s="94"/>
      <c r="MLP64" s="94"/>
      <c r="MLQ64" s="94"/>
      <c r="MLR64" s="94"/>
      <c r="MLS64" s="94"/>
      <c r="MLT64" s="94"/>
      <c r="MLU64" s="94"/>
      <c r="MLV64" s="94"/>
      <c r="MLW64" s="94"/>
      <c r="MLX64" s="94"/>
      <c r="MLY64" s="94"/>
      <c r="MLZ64" s="94"/>
      <c r="MMA64" s="94"/>
      <c r="MMB64" s="94"/>
      <c r="MMC64" s="94"/>
      <c r="MMD64" s="94"/>
      <c r="MME64" s="94"/>
      <c r="MMF64" s="94"/>
      <c r="MMG64" s="94"/>
      <c r="MMH64" s="94"/>
      <c r="MMI64" s="94"/>
      <c r="MMJ64" s="94"/>
      <c r="MMK64" s="94"/>
      <c r="MML64" s="94"/>
      <c r="MMM64" s="94"/>
      <c r="MMN64" s="94"/>
      <c r="MMO64" s="94"/>
      <c r="MMP64" s="94"/>
      <c r="MMQ64" s="94"/>
      <c r="MMR64" s="94"/>
      <c r="MMS64" s="94"/>
      <c r="MMT64" s="94"/>
      <c r="MMU64" s="94"/>
      <c r="MMV64" s="94"/>
      <c r="MMW64" s="94"/>
      <c r="MMX64" s="94"/>
      <c r="MMY64" s="94"/>
      <c r="MMZ64" s="94"/>
      <c r="MNA64" s="94"/>
      <c r="MNB64" s="94"/>
      <c r="MNC64" s="94"/>
      <c r="MND64" s="94"/>
      <c r="MNE64" s="94"/>
      <c r="MNF64" s="94"/>
      <c r="MNG64" s="94"/>
      <c r="MNH64" s="94"/>
      <c r="MNI64" s="94"/>
      <c r="MNJ64" s="94"/>
      <c r="MNK64" s="94"/>
      <c r="MNL64" s="94"/>
      <c r="MNM64" s="94"/>
      <c r="MNN64" s="94"/>
      <c r="MNO64" s="94"/>
      <c r="MNP64" s="94"/>
      <c r="MNQ64" s="94"/>
      <c r="MNR64" s="94"/>
      <c r="MNS64" s="94"/>
      <c r="MNT64" s="94"/>
      <c r="MNU64" s="94"/>
      <c r="MNV64" s="94"/>
      <c r="MNW64" s="94"/>
      <c r="MNX64" s="94"/>
      <c r="MNY64" s="94"/>
      <c r="MNZ64" s="94"/>
      <c r="MOA64" s="94"/>
      <c r="MOB64" s="94"/>
      <c r="MOC64" s="94"/>
      <c r="MOD64" s="94"/>
      <c r="MOE64" s="94"/>
      <c r="MOF64" s="94"/>
      <c r="MOG64" s="94"/>
      <c r="MOH64" s="94"/>
      <c r="MOI64" s="94"/>
      <c r="MOJ64" s="94"/>
      <c r="MOK64" s="94"/>
      <c r="MOL64" s="94"/>
      <c r="MOM64" s="94"/>
      <c r="MON64" s="94"/>
      <c r="MOO64" s="94"/>
      <c r="MOP64" s="94"/>
      <c r="MOQ64" s="94"/>
      <c r="MOR64" s="94"/>
      <c r="MOS64" s="94"/>
      <c r="MOT64" s="94"/>
      <c r="MOU64" s="94"/>
      <c r="MOV64" s="94"/>
      <c r="MOW64" s="94"/>
      <c r="MOX64" s="94"/>
      <c r="MOY64" s="94"/>
      <c r="MOZ64" s="94"/>
      <c r="MPA64" s="94"/>
      <c r="MPB64" s="94"/>
      <c r="MPC64" s="94"/>
      <c r="MPD64" s="94"/>
      <c r="MPE64" s="94"/>
      <c r="MPF64" s="94"/>
      <c r="MPG64" s="94"/>
      <c r="MPH64" s="94"/>
      <c r="MPI64" s="94"/>
      <c r="MPJ64" s="94"/>
      <c r="MPK64" s="94"/>
      <c r="MPL64" s="94"/>
      <c r="MPM64" s="94"/>
      <c r="MPN64" s="94"/>
      <c r="MPO64" s="94"/>
      <c r="MPP64" s="94"/>
      <c r="MPQ64" s="94"/>
      <c r="MPR64" s="94"/>
      <c r="MPS64" s="94"/>
      <c r="MPT64" s="94"/>
      <c r="MPU64" s="94"/>
      <c r="MPV64" s="94"/>
      <c r="MPW64" s="94"/>
      <c r="MPX64" s="94"/>
      <c r="MPY64" s="94"/>
      <c r="MPZ64" s="94"/>
      <c r="MQA64" s="94"/>
      <c r="MQB64" s="94"/>
      <c r="MQC64" s="94"/>
      <c r="MQD64" s="94"/>
      <c r="MQE64" s="94"/>
      <c r="MQF64" s="94"/>
      <c r="MQG64" s="94"/>
      <c r="MQH64" s="94"/>
      <c r="MQI64" s="94"/>
      <c r="MQJ64" s="94"/>
      <c r="MQK64" s="94"/>
      <c r="MQL64" s="94"/>
      <c r="MQM64" s="94"/>
      <c r="MQN64" s="94"/>
      <c r="MQO64" s="94"/>
      <c r="MQP64" s="94"/>
      <c r="MQQ64" s="94"/>
      <c r="MQR64" s="94"/>
      <c r="MQS64" s="94"/>
      <c r="MQT64" s="94"/>
      <c r="MQU64" s="94"/>
      <c r="MQV64" s="94"/>
      <c r="MQW64" s="94"/>
      <c r="MQX64" s="94"/>
      <c r="MQY64" s="94"/>
      <c r="MQZ64" s="94"/>
      <c r="MRA64" s="94"/>
      <c r="MRB64" s="94"/>
      <c r="MRC64" s="94"/>
      <c r="MRD64" s="94"/>
      <c r="MRE64" s="94"/>
      <c r="MRF64" s="94"/>
      <c r="MRG64" s="94"/>
      <c r="MRH64" s="94"/>
      <c r="MRI64" s="94"/>
      <c r="MRJ64" s="94"/>
      <c r="MRK64" s="94"/>
      <c r="MRL64" s="94"/>
      <c r="MRM64" s="94"/>
      <c r="MRN64" s="94"/>
      <c r="MRO64" s="94"/>
      <c r="MRP64" s="94"/>
      <c r="MRQ64" s="94"/>
      <c r="MRR64" s="94"/>
      <c r="MRS64" s="94"/>
      <c r="MRT64" s="94"/>
      <c r="MRU64" s="94"/>
      <c r="MRV64" s="94"/>
      <c r="MRW64" s="94"/>
      <c r="MRX64" s="94"/>
      <c r="MRY64" s="94"/>
      <c r="MRZ64" s="94"/>
      <c r="MSA64" s="94"/>
      <c r="MSB64" s="94"/>
      <c r="MSC64" s="94"/>
      <c r="MSD64" s="94"/>
      <c r="MSE64" s="94"/>
      <c r="MSF64" s="94"/>
      <c r="MSG64" s="94"/>
      <c r="MSH64" s="94"/>
      <c r="MSI64" s="94"/>
      <c r="MSJ64" s="94"/>
      <c r="MSK64" s="94"/>
      <c r="MSL64" s="94"/>
      <c r="MSM64" s="94"/>
      <c r="MSN64" s="94"/>
      <c r="MSO64" s="94"/>
      <c r="MSP64" s="94"/>
      <c r="MSQ64" s="94"/>
      <c r="MSR64" s="94"/>
      <c r="MSS64" s="94"/>
      <c r="MST64" s="94"/>
      <c r="MSU64" s="94"/>
      <c r="MSV64" s="94"/>
      <c r="MSW64" s="94"/>
      <c r="MSX64" s="94"/>
      <c r="MSY64" s="94"/>
      <c r="MSZ64" s="94"/>
      <c r="MTA64" s="94"/>
      <c r="MTB64" s="94"/>
      <c r="MTC64" s="94"/>
      <c r="MTD64" s="94"/>
      <c r="MTE64" s="94"/>
      <c r="MTF64" s="94"/>
      <c r="MTG64" s="94"/>
      <c r="MTH64" s="94"/>
      <c r="MTI64" s="94"/>
      <c r="MTJ64" s="94"/>
      <c r="MTK64" s="94"/>
      <c r="MTL64" s="94"/>
      <c r="MTM64" s="94"/>
      <c r="MTN64" s="94"/>
      <c r="MTO64" s="94"/>
      <c r="MTP64" s="94"/>
      <c r="MTQ64" s="94"/>
      <c r="MTR64" s="94"/>
      <c r="MTS64" s="94"/>
      <c r="MTT64" s="94"/>
      <c r="MTU64" s="94"/>
      <c r="MTV64" s="94"/>
      <c r="MTW64" s="94"/>
      <c r="MTX64" s="94"/>
      <c r="MTY64" s="94"/>
      <c r="MTZ64" s="94"/>
      <c r="MUA64" s="94"/>
      <c r="MUB64" s="94"/>
      <c r="MUC64" s="94"/>
      <c r="MUD64" s="94"/>
      <c r="MUE64" s="94"/>
      <c r="MUF64" s="94"/>
      <c r="MUG64" s="94"/>
      <c r="MUH64" s="94"/>
      <c r="MUI64" s="94"/>
      <c r="MUJ64" s="94"/>
      <c r="MUK64" s="94"/>
      <c r="MUL64" s="94"/>
      <c r="MUM64" s="94"/>
      <c r="MUN64" s="94"/>
      <c r="MUO64" s="94"/>
      <c r="MUP64" s="94"/>
      <c r="MUQ64" s="94"/>
      <c r="MUR64" s="94"/>
      <c r="MUS64" s="94"/>
      <c r="MUT64" s="94"/>
      <c r="MUU64" s="94"/>
      <c r="MUV64" s="94"/>
      <c r="MUW64" s="94"/>
      <c r="MUX64" s="94"/>
      <c r="MUY64" s="94"/>
      <c r="MUZ64" s="94"/>
      <c r="MVA64" s="94"/>
      <c r="MVB64" s="94"/>
      <c r="MVC64" s="94"/>
      <c r="MVD64" s="94"/>
      <c r="MVE64" s="94"/>
      <c r="MVF64" s="94"/>
      <c r="MVG64" s="94"/>
      <c r="MVH64" s="94"/>
      <c r="MVI64" s="94"/>
      <c r="MVJ64" s="94"/>
      <c r="MVK64" s="94"/>
      <c r="MVL64" s="94"/>
      <c r="MVM64" s="94"/>
      <c r="MVN64" s="94"/>
      <c r="MVO64" s="94"/>
      <c r="MVP64" s="94"/>
      <c r="MVQ64" s="94"/>
      <c r="MVR64" s="94"/>
      <c r="MVS64" s="94"/>
      <c r="MVT64" s="94"/>
      <c r="MVU64" s="94"/>
      <c r="MVV64" s="94"/>
      <c r="MVW64" s="94"/>
      <c r="MVX64" s="94"/>
      <c r="MVY64" s="94"/>
      <c r="MVZ64" s="94"/>
      <c r="MWA64" s="94"/>
      <c r="MWB64" s="94"/>
      <c r="MWC64" s="94"/>
      <c r="MWD64" s="94"/>
      <c r="MWE64" s="94"/>
      <c r="MWF64" s="94"/>
      <c r="MWG64" s="94"/>
      <c r="MWH64" s="94"/>
      <c r="MWI64" s="94"/>
      <c r="MWJ64" s="94"/>
      <c r="MWK64" s="94"/>
      <c r="MWL64" s="94"/>
      <c r="MWM64" s="94"/>
      <c r="MWN64" s="94"/>
      <c r="MWO64" s="94"/>
      <c r="MWP64" s="94"/>
      <c r="MWQ64" s="94"/>
      <c r="MWR64" s="94"/>
      <c r="MWS64" s="94"/>
      <c r="MWT64" s="94"/>
      <c r="MWU64" s="94"/>
      <c r="MWV64" s="94"/>
      <c r="MWW64" s="94"/>
      <c r="MWX64" s="94"/>
      <c r="MWY64" s="94"/>
      <c r="MWZ64" s="94"/>
      <c r="MXA64" s="94"/>
      <c r="MXB64" s="94"/>
      <c r="MXC64" s="94"/>
      <c r="MXD64" s="94"/>
      <c r="MXE64" s="94"/>
      <c r="MXF64" s="94"/>
      <c r="MXG64" s="94"/>
      <c r="MXH64" s="94"/>
      <c r="MXI64" s="94"/>
      <c r="MXJ64" s="94"/>
      <c r="MXK64" s="94"/>
      <c r="MXL64" s="94"/>
      <c r="MXM64" s="94"/>
      <c r="MXN64" s="94"/>
      <c r="MXO64" s="94"/>
      <c r="MXP64" s="94"/>
      <c r="MXQ64" s="94"/>
      <c r="MXR64" s="94"/>
      <c r="MXS64" s="94"/>
      <c r="MXT64" s="94"/>
      <c r="MXU64" s="94"/>
      <c r="MXV64" s="94"/>
      <c r="MXW64" s="94"/>
      <c r="MXX64" s="94"/>
      <c r="MXY64" s="94"/>
      <c r="MXZ64" s="94"/>
      <c r="MYA64" s="94"/>
      <c r="MYB64" s="94"/>
      <c r="MYC64" s="94"/>
      <c r="MYD64" s="94"/>
      <c r="MYE64" s="94"/>
      <c r="MYF64" s="94"/>
      <c r="MYG64" s="94"/>
      <c r="MYH64" s="94"/>
      <c r="MYI64" s="94"/>
      <c r="MYJ64" s="94"/>
      <c r="MYK64" s="94"/>
      <c r="MYL64" s="94"/>
      <c r="MYM64" s="94"/>
      <c r="MYN64" s="94"/>
      <c r="MYO64" s="94"/>
      <c r="MYP64" s="94"/>
      <c r="MYQ64" s="94"/>
      <c r="MYR64" s="94"/>
      <c r="MYS64" s="94"/>
      <c r="MYT64" s="94"/>
      <c r="MYU64" s="94"/>
      <c r="MYV64" s="94"/>
      <c r="MYW64" s="94"/>
      <c r="MYX64" s="94"/>
      <c r="MYY64" s="94"/>
      <c r="MYZ64" s="94"/>
      <c r="MZA64" s="94"/>
      <c r="MZB64" s="94"/>
      <c r="MZC64" s="94"/>
      <c r="MZD64" s="94"/>
      <c r="MZE64" s="94"/>
      <c r="MZF64" s="94"/>
      <c r="MZG64" s="94"/>
      <c r="MZH64" s="94"/>
      <c r="MZI64" s="94"/>
      <c r="MZJ64" s="94"/>
      <c r="MZK64" s="94"/>
      <c r="MZL64" s="94"/>
      <c r="MZM64" s="94"/>
      <c r="MZN64" s="94"/>
      <c r="MZO64" s="94"/>
      <c r="MZP64" s="94"/>
      <c r="MZQ64" s="94"/>
      <c r="MZR64" s="94"/>
      <c r="MZS64" s="94"/>
      <c r="MZT64" s="94"/>
      <c r="MZU64" s="94"/>
      <c r="MZV64" s="94"/>
      <c r="MZW64" s="94"/>
      <c r="MZX64" s="94"/>
      <c r="MZY64" s="94"/>
      <c r="MZZ64" s="94"/>
      <c r="NAA64" s="94"/>
      <c r="NAB64" s="94"/>
      <c r="NAC64" s="94"/>
      <c r="NAD64" s="94"/>
      <c r="NAE64" s="94"/>
      <c r="NAF64" s="94"/>
      <c r="NAG64" s="94"/>
      <c r="NAH64" s="94"/>
      <c r="NAI64" s="94"/>
      <c r="NAJ64" s="94"/>
      <c r="NAK64" s="94"/>
      <c r="NAL64" s="94"/>
      <c r="NAM64" s="94"/>
      <c r="NAN64" s="94"/>
      <c r="NAO64" s="94"/>
      <c r="NAP64" s="94"/>
      <c r="NAQ64" s="94"/>
      <c r="NAR64" s="94"/>
      <c r="NAS64" s="94"/>
      <c r="NAT64" s="94"/>
      <c r="NAU64" s="94"/>
      <c r="NAV64" s="94"/>
      <c r="NAW64" s="94"/>
      <c r="NAX64" s="94"/>
      <c r="NAY64" s="94"/>
      <c r="NAZ64" s="94"/>
      <c r="NBA64" s="94"/>
      <c r="NBB64" s="94"/>
      <c r="NBC64" s="94"/>
      <c r="NBD64" s="94"/>
      <c r="NBE64" s="94"/>
      <c r="NBF64" s="94"/>
      <c r="NBG64" s="94"/>
      <c r="NBH64" s="94"/>
      <c r="NBI64" s="94"/>
      <c r="NBJ64" s="94"/>
      <c r="NBK64" s="94"/>
      <c r="NBL64" s="94"/>
      <c r="NBM64" s="94"/>
      <c r="NBN64" s="94"/>
      <c r="NBO64" s="94"/>
      <c r="NBP64" s="94"/>
      <c r="NBQ64" s="94"/>
      <c r="NBR64" s="94"/>
      <c r="NBS64" s="94"/>
      <c r="NBT64" s="94"/>
      <c r="NBU64" s="94"/>
      <c r="NBV64" s="94"/>
      <c r="NBW64" s="94"/>
      <c r="NBX64" s="94"/>
      <c r="NBY64" s="94"/>
      <c r="NBZ64" s="94"/>
      <c r="NCA64" s="94"/>
      <c r="NCB64" s="94"/>
      <c r="NCC64" s="94"/>
      <c r="NCD64" s="94"/>
      <c r="NCE64" s="94"/>
      <c r="NCF64" s="94"/>
      <c r="NCG64" s="94"/>
      <c r="NCH64" s="94"/>
      <c r="NCI64" s="94"/>
      <c r="NCJ64" s="94"/>
      <c r="NCK64" s="94"/>
      <c r="NCL64" s="94"/>
      <c r="NCM64" s="94"/>
      <c r="NCN64" s="94"/>
      <c r="NCO64" s="94"/>
      <c r="NCP64" s="94"/>
      <c r="NCQ64" s="94"/>
      <c r="NCR64" s="94"/>
      <c r="NCS64" s="94"/>
      <c r="NCT64" s="94"/>
      <c r="NCU64" s="94"/>
      <c r="NCV64" s="94"/>
      <c r="NCW64" s="94"/>
      <c r="NCX64" s="94"/>
      <c r="NCY64" s="94"/>
      <c r="NCZ64" s="94"/>
      <c r="NDA64" s="94"/>
      <c r="NDB64" s="94"/>
      <c r="NDC64" s="94"/>
      <c r="NDD64" s="94"/>
      <c r="NDE64" s="94"/>
      <c r="NDF64" s="94"/>
      <c r="NDG64" s="94"/>
      <c r="NDH64" s="94"/>
      <c r="NDI64" s="94"/>
      <c r="NDJ64" s="94"/>
      <c r="NDK64" s="94"/>
      <c r="NDL64" s="94"/>
      <c r="NDM64" s="94"/>
      <c r="NDN64" s="94"/>
      <c r="NDO64" s="94"/>
      <c r="NDP64" s="94"/>
      <c r="NDQ64" s="94"/>
      <c r="NDR64" s="94"/>
      <c r="NDS64" s="94"/>
      <c r="NDT64" s="94"/>
      <c r="NDU64" s="94"/>
      <c r="NDV64" s="94"/>
      <c r="NDW64" s="94"/>
      <c r="NDX64" s="94"/>
      <c r="NDY64" s="94"/>
      <c r="NDZ64" s="94"/>
      <c r="NEA64" s="94"/>
      <c r="NEB64" s="94"/>
      <c r="NEC64" s="94"/>
      <c r="NED64" s="94"/>
      <c r="NEE64" s="94"/>
      <c r="NEF64" s="94"/>
      <c r="NEG64" s="94"/>
      <c r="NEH64" s="94"/>
      <c r="NEI64" s="94"/>
      <c r="NEJ64" s="94"/>
      <c r="NEK64" s="94"/>
      <c r="NEL64" s="94"/>
      <c r="NEM64" s="94"/>
      <c r="NEN64" s="94"/>
      <c r="NEO64" s="94"/>
      <c r="NEP64" s="94"/>
      <c r="NEQ64" s="94"/>
      <c r="NER64" s="94"/>
      <c r="NES64" s="94"/>
      <c r="NET64" s="94"/>
      <c r="NEU64" s="94"/>
      <c r="NEV64" s="94"/>
      <c r="NEW64" s="94"/>
      <c r="NEX64" s="94"/>
      <c r="NEY64" s="94"/>
      <c r="NEZ64" s="94"/>
      <c r="NFA64" s="94"/>
      <c r="NFB64" s="94"/>
      <c r="NFC64" s="94"/>
      <c r="NFD64" s="94"/>
      <c r="NFE64" s="94"/>
      <c r="NFF64" s="94"/>
      <c r="NFG64" s="94"/>
      <c r="NFH64" s="94"/>
      <c r="NFI64" s="94"/>
      <c r="NFJ64" s="94"/>
      <c r="NFK64" s="94"/>
      <c r="NFL64" s="94"/>
      <c r="NFM64" s="94"/>
      <c r="NFN64" s="94"/>
      <c r="NFO64" s="94"/>
      <c r="NFP64" s="94"/>
      <c r="NFQ64" s="94"/>
      <c r="NFR64" s="94"/>
      <c r="NFS64" s="94"/>
      <c r="NFT64" s="94"/>
      <c r="NFU64" s="94"/>
      <c r="NFV64" s="94"/>
      <c r="NFW64" s="94"/>
      <c r="NFX64" s="94"/>
      <c r="NFY64" s="94"/>
      <c r="NFZ64" s="94"/>
      <c r="NGA64" s="94"/>
      <c r="NGB64" s="94"/>
      <c r="NGC64" s="94"/>
      <c r="NGD64" s="94"/>
      <c r="NGE64" s="94"/>
      <c r="NGF64" s="94"/>
      <c r="NGG64" s="94"/>
      <c r="NGH64" s="94"/>
      <c r="NGI64" s="94"/>
      <c r="NGJ64" s="94"/>
      <c r="NGK64" s="94"/>
      <c r="NGL64" s="94"/>
      <c r="NGM64" s="94"/>
      <c r="NGN64" s="94"/>
      <c r="NGO64" s="94"/>
      <c r="NGP64" s="94"/>
      <c r="NGQ64" s="94"/>
      <c r="NGR64" s="94"/>
      <c r="NGS64" s="94"/>
      <c r="NGT64" s="94"/>
      <c r="NGU64" s="94"/>
      <c r="NGV64" s="94"/>
      <c r="NGW64" s="94"/>
      <c r="NGX64" s="94"/>
      <c r="NGY64" s="94"/>
      <c r="NGZ64" s="94"/>
      <c r="NHA64" s="94"/>
      <c r="NHB64" s="94"/>
      <c r="NHC64" s="94"/>
      <c r="NHD64" s="94"/>
      <c r="NHE64" s="94"/>
      <c r="NHF64" s="94"/>
      <c r="NHG64" s="94"/>
      <c r="NHH64" s="94"/>
      <c r="NHI64" s="94"/>
      <c r="NHJ64" s="94"/>
      <c r="NHK64" s="94"/>
      <c r="NHL64" s="94"/>
      <c r="NHM64" s="94"/>
      <c r="NHN64" s="94"/>
      <c r="NHO64" s="94"/>
      <c r="NHP64" s="94"/>
      <c r="NHQ64" s="94"/>
      <c r="NHR64" s="94"/>
      <c r="NHS64" s="94"/>
      <c r="NHT64" s="94"/>
      <c r="NHU64" s="94"/>
      <c r="NHV64" s="94"/>
      <c r="NHW64" s="94"/>
      <c r="NHX64" s="94"/>
      <c r="NHY64" s="94"/>
      <c r="NHZ64" s="94"/>
      <c r="NIA64" s="94"/>
      <c r="NIB64" s="94"/>
      <c r="NIC64" s="94"/>
      <c r="NID64" s="94"/>
      <c r="NIE64" s="94"/>
      <c r="NIF64" s="94"/>
      <c r="NIG64" s="94"/>
      <c r="NIH64" s="94"/>
      <c r="NII64" s="94"/>
      <c r="NIJ64" s="94"/>
      <c r="NIK64" s="94"/>
      <c r="NIL64" s="94"/>
      <c r="NIM64" s="94"/>
      <c r="NIN64" s="94"/>
      <c r="NIO64" s="94"/>
      <c r="NIP64" s="94"/>
      <c r="NIQ64" s="94"/>
      <c r="NIR64" s="94"/>
      <c r="NIS64" s="94"/>
      <c r="NIT64" s="94"/>
      <c r="NIU64" s="94"/>
      <c r="NIV64" s="94"/>
      <c r="NIW64" s="94"/>
      <c r="NIX64" s="94"/>
      <c r="NIY64" s="94"/>
      <c r="NIZ64" s="94"/>
      <c r="NJA64" s="94"/>
      <c r="NJB64" s="94"/>
      <c r="NJC64" s="94"/>
      <c r="NJD64" s="94"/>
      <c r="NJE64" s="94"/>
      <c r="NJF64" s="94"/>
      <c r="NJG64" s="94"/>
      <c r="NJH64" s="94"/>
      <c r="NJI64" s="94"/>
      <c r="NJJ64" s="94"/>
      <c r="NJK64" s="94"/>
      <c r="NJL64" s="94"/>
      <c r="NJM64" s="94"/>
      <c r="NJN64" s="94"/>
      <c r="NJO64" s="94"/>
      <c r="NJP64" s="94"/>
      <c r="NJQ64" s="94"/>
      <c r="NJR64" s="94"/>
      <c r="NJS64" s="94"/>
      <c r="NJT64" s="94"/>
      <c r="NJU64" s="94"/>
      <c r="NJV64" s="94"/>
      <c r="NJW64" s="94"/>
      <c r="NJX64" s="94"/>
      <c r="NJY64" s="94"/>
      <c r="NJZ64" s="94"/>
      <c r="NKA64" s="94"/>
      <c r="NKB64" s="94"/>
      <c r="NKC64" s="94"/>
      <c r="NKD64" s="94"/>
      <c r="NKE64" s="94"/>
      <c r="NKF64" s="94"/>
      <c r="NKG64" s="94"/>
      <c r="NKH64" s="94"/>
      <c r="NKI64" s="94"/>
      <c r="NKJ64" s="94"/>
      <c r="NKK64" s="94"/>
      <c r="NKL64" s="94"/>
      <c r="NKM64" s="94"/>
      <c r="NKN64" s="94"/>
      <c r="NKO64" s="94"/>
      <c r="NKP64" s="94"/>
      <c r="NKQ64" s="94"/>
      <c r="NKR64" s="94"/>
      <c r="NKS64" s="94"/>
      <c r="NKT64" s="94"/>
      <c r="NKU64" s="94"/>
      <c r="NKV64" s="94"/>
      <c r="NKW64" s="94"/>
      <c r="NKX64" s="94"/>
      <c r="NKY64" s="94"/>
      <c r="NKZ64" s="94"/>
      <c r="NLA64" s="94"/>
      <c r="NLB64" s="94"/>
      <c r="NLC64" s="94"/>
      <c r="NLD64" s="94"/>
      <c r="NLE64" s="94"/>
      <c r="NLF64" s="94"/>
      <c r="NLG64" s="94"/>
      <c r="NLH64" s="94"/>
      <c r="NLI64" s="94"/>
      <c r="NLJ64" s="94"/>
      <c r="NLK64" s="94"/>
      <c r="NLL64" s="94"/>
      <c r="NLM64" s="94"/>
      <c r="NLN64" s="94"/>
      <c r="NLO64" s="94"/>
      <c r="NLP64" s="94"/>
      <c r="NLQ64" s="94"/>
      <c r="NLR64" s="94"/>
      <c r="NLS64" s="94"/>
      <c r="NLT64" s="94"/>
      <c r="NLU64" s="94"/>
      <c r="NLV64" s="94"/>
      <c r="NLW64" s="94"/>
      <c r="NLX64" s="94"/>
      <c r="NLY64" s="94"/>
      <c r="NLZ64" s="94"/>
      <c r="NMA64" s="94"/>
      <c r="NMB64" s="94"/>
      <c r="NMC64" s="94"/>
      <c r="NMD64" s="94"/>
      <c r="NME64" s="94"/>
      <c r="NMF64" s="94"/>
      <c r="NMG64" s="94"/>
      <c r="NMH64" s="94"/>
      <c r="NMI64" s="94"/>
      <c r="NMJ64" s="94"/>
      <c r="NMK64" s="94"/>
      <c r="NML64" s="94"/>
      <c r="NMM64" s="94"/>
      <c r="NMN64" s="94"/>
      <c r="NMO64" s="94"/>
      <c r="NMP64" s="94"/>
      <c r="NMQ64" s="94"/>
      <c r="NMR64" s="94"/>
      <c r="NMS64" s="94"/>
      <c r="NMT64" s="94"/>
      <c r="NMU64" s="94"/>
      <c r="NMV64" s="94"/>
      <c r="NMW64" s="94"/>
      <c r="NMX64" s="94"/>
      <c r="NMY64" s="94"/>
      <c r="NMZ64" s="94"/>
      <c r="NNA64" s="94"/>
      <c r="NNB64" s="94"/>
      <c r="NNC64" s="94"/>
      <c r="NND64" s="94"/>
      <c r="NNE64" s="94"/>
      <c r="NNF64" s="94"/>
      <c r="NNG64" s="94"/>
      <c r="NNH64" s="94"/>
      <c r="NNI64" s="94"/>
      <c r="NNJ64" s="94"/>
      <c r="NNK64" s="94"/>
      <c r="NNL64" s="94"/>
      <c r="NNM64" s="94"/>
      <c r="NNN64" s="94"/>
      <c r="NNO64" s="94"/>
      <c r="NNP64" s="94"/>
      <c r="NNQ64" s="94"/>
      <c r="NNR64" s="94"/>
      <c r="NNS64" s="94"/>
      <c r="NNT64" s="94"/>
      <c r="NNU64" s="94"/>
      <c r="NNV64" s="94"/>
      <c r="NNW64" s="94"/>
      <c r="NNX64" s="94"/>
      <c r="NNY64" s="94"/>
      <c r="NNZ64" s="94"/>
      <c r="NOA64" s="94"/>
      <c r="NOB64" s="94"/>
      <c r="NOC64" s="94"/>
      <c r="NOD64" s="94"/>
      <c r="NOE64" s="94"/>
      <c r="NOF64" s="94"/>
      <c r="NOG64" s="94"/>
      <c r="NOH64" s="94"/>
      <c r="NOI64" s="94"/>
      <c r="NOJ64" s="94"/>
      <c r="NOK64" s="94"/>
      <c r="NOL64" s="94"/>
      <c r="NOM64" s="94"/>
      <c r="NON64" s="94"/>
      <c r="NOO64" s="94"/>
      <c r="NOP64" s="94"/>
      <c r="NOQ64" s="94"/>
      <c r="NOR64" s="94"/>
      <c r="NOS64" s="94"/>
      <c r="NOT64" s="94"/>
      <c r="NOU64" s="94"/>
      <c r="NOV64" s="94"/>
      <c r="NOW64" s="94"/>
      <c r="NOX64" s="94"/>
      <c r="NOY64" s="94"/>
      <c r="NOZ64" s="94"/>
      <c r="NPA64" s="94"/>
      <c r="NPB64" s="94"/>
      <c r="NPC64" s="94"/>
      <c r="NPD64" s="94"/>
      <c r="NPE64" s="94"/>
      <c r="NPF64" s="94"/>
      <c r="NPG64" s="94"/>
      <c r="NPH64" s="94"/>
      <c r="NPI64" s="94"/>
      <c r="NPJ64" s="94"/>
      <c r="NPK64" s="94"/>
      <c r="NPL64" s="94"/>
      <c r="NPM64" s="94"/>
      <c r="NPN64" s="94"/>
      <c r="NPO64" s="94"/>
      <c r="NPP64" s="94"/>
      <c r="NPQ64" s="94"/>
      <c r="NPR64" s="94"/>
      <c r="NPS64" s="94"/>
      <c r="NPT64" s="94"/>
      <c r="NPU64" s="94"/>
      <c r="NPV64" s="94"/>
      <c r="NPW64" s="94"/>
      <c r="NPX64" s="94"/>
      <c r="NPY64" s="94"/>
      <c r="NPZ64" s="94"/>
      <c r="NQA64" s="94"/>
      <c r="NQB64" s="94"/>
      <c r="NQC64" s="94"/>
      <c r="NQD64" s="94"/>
      <c r="NQE64" s="94"/>
      <c r="NQF64" s="94"/>
      <c r="NQG64" s="94"/>
      <c r="NQH64" s="94"/>
      <c r="NQI64" s="94"/>
      <c r="NQJ64" s="94"/>
      <c r="NQK64" s="94"/>
      <c r="NQL64" s="94"/>
      <c r="NQM64" s="94"/>
      <c r="NQN64" s="94"/>
      <c r="NQO64" s="94"/>
      <c r="NQP64" s="94"/>
      <c r="NQQ64" s="94"/>
      <c r="NQR64" s="94"/>
      <c r="NQS64" s="94"/>
      <c r="NQT64" s="94"/>
      <c r="NQU64" s="94"/>
      <c r="NQV64" s="94"/>
      <c r="NQW64" s="94"/>
      <c r="NQX64" s="94"/>
      <c r="NQY64" s="94"/>
      <c r="NQZ64" s="94"/>
      <c r="NRA64" s="94"/>
      <c r="NRB64" s="94"/>
      <c r="NRC64" s="94"/>
      <c r="NRD64" s="94"/>
      <c r="NRE64" s="94"/>
      <c r="NRF64" s="94"/>
      <c r="NRG64" s="94"/>
      <c r="NRH64" s="94"/>
      <c r="NRI64" s="94"/>
      <c r="NRJ64" s="94"/>
      <c r="NRK64" s="94"/>
      <c r="NRL64" s="94"/>
      <c r="NRM64" s="94"/>
      <c r="NRN64" s="94"/>
      <c r="NRO64" s="94"/>
      <c r="NRP64" s="94"/>
      <c r="NRQ64" s="94"/>
      <c r="NRR64" s="94"/>
      <c r="NRS64" s="94"/>
      <c r="NRT64" s="94"/>
      <c r="NRU64" s="94"/>
      <c r="NRV64" s="94"/>
      <c r="NRW64" s="94"/>
      <c r="NRX64" s="94"/>
      <c r="NRY64" s="94"/>
      <c r="NRZ64" s="94"/>
      <c r="NSA64" s="94"/>
      <c r="NSB64" s="94"/>
      <c r="NSC64" s="94"/>
      <c r="NSD64" s="94"/>
      <c r="NSE64" s="94"/>
      <c r="NSF64" s="94"/>
      <c r="NSG64" s="94"/>
      <c r="NSH64" s="94"/>
      <c r="NSI64" s="94"/>
      <c r="NSJ64" s="94"/>
      <c r="NSK64" s="94"/>
      <c r="NSL64" s="94"/>
      <c r="NSM64" s="94"/>
      <c r="NSN64" s="94"/>
      <c r="NSO64" s="94"/>
      <c r="NSP64" s="94"/>
      <c r="NSQ64" s="94"/>
      <c r="NSR64" s="94"/>
      <c r="NSS64" s="94"/>
      <c r="NST64" s="94"/>
      <c r="NSU64" s="94"/>
      <c r="NSV64" s="94"/>
      <c r="NSW64" s="94"/>
      <c r="NSX64" s="94"/>
      <c r="NSY64" s="94"/>
      <c r="NSZ64" s="94"/>
      <c r="NTA64" s="94"/>
      <c r="NTB64" s="94"/>
      <c r="NTC64" s="94"/>
      <c r="NTD64" s="94"/>
      <c r="NTE64" s="94"/>
      <c r="NTF64" s="94"/>
      <c r="NTG64" s="94"/>
      <c r="NTH64" s="94"/>
      <c r="NTI64" s="94"/>
      <c r="NTJ64" s="94"/>
      <c r="NTK64" s="94"/>
      <c r="NTL64" s="94"/>
      <c r="NTM64" s="94"/>
      <c r="NTN64" s="94"/>
      <c r="NTO64" s="94"/>
      <c r="NTP64" s="94"/>
      <c r="NTQ64" s="94"/>
      <c r="NTR64" s="94"/>
      <c r="NTS64" s="94"/>
      <c r="NTT64" s="94"/>
      <c r="NTU64" s="94"/>
      <c r="NTV64" s="94"/>
      <c r="NTW64" s="94"/>
      <c r="NTX64" s="94"/>
      <c r="NTY64" s="94"/>
      <c r="NTZ64" s="94"/>
      <c r="NUA64" s="94"/>
      <c r="NUB64" s="94"/>
      <c r="NUC64" s="94"/>
      <c r="NUD64" s="94"/>
      <c r="NUE64" s="94"/>
      <c r="NUF64" s="94"/>
      <c r="NUG64" s="94"/>
      <c r="NUH64" s="94"/>
      <c r="NUI64" s="94"/>
      <c r="NUJ64" s="94"/>
      <c r="NUK64" s="94"/>
      <c r="NUL64" s="94"/>
      <c r="NUM64" s="94"/>
      <c r="NUN64" s="94"/>
      <c r="NUO64" s="94"/>
      <c r="NUP64" s="94"/>
      <c r="NUQ64" s="94"/>
      <c r="NUR64" s="94"/>
      <c r="NUS64" s="94"/>
      <c r="NUT64" s="94"/>
      <c r="NUU64" s="94"/>
      <c r="NUV64" s="94"/>
      <c r="NUW64" s="94"/>
      <c r="NUX64" s="94"/>
      <c r="NUY64" s="94"/>
      <c r="NUZ64" s="94"/>
      <c r="NVA64" s="94"/>
      <c r="NVB64" s="94"/>
      <c r="NVC64" s="94"/>
      <c r="NVD64" s="94"/>
      <c r="NVE64" s="94"/>
      <c r="NVF64" s="94"/>
      <c r="NVG64" s="94"/>
      <c r="NVH64" s="94"/>
      <c r="NVI64" s="94"/>
      <c r="NVJ64" s="94"/>
      <c r="NVK64" s="94"/>
      <c r="NVL64" s="94"/>
      <c r="NVM64" s="94"/>
      <c r="NVN64" s="94"/>
      <c r="NVO64" s="94"/>
      <c r="NVP64" s="94"/>
      <c r="NVQ64" s="94"/>
      <c r="NVR64" s="94"/>
      <c r="NVS64" s="94"/>
      <c r="NVT64" s="94"/>
      <c r="NVU64" s="94"/>
      <c r="NVV64" s="94"/>
      <c r="NVW64" s="94"/>
      <c r="NVX64" s="94"/>
      <c r="NVY64" s="94"/>
      <c r="NVZ64" s="94"/>
      <c r="NWA64" s="94"/>
      <c r="NWB64" s="94"/>
      <c r="NWC64" s="94"/>
      <c r="NWD64" s="94"/>
      <c r="NWE64" s="94"/>
      <c r="NWF64" s="94"/>
      <c r="NWG64" s="94"/>
      <c r="NWH64" s="94"/>
      <c r="NWI64" s="94"/>
      <c r="NWJ64" s="94"/>
      <c r="NWK64" s="94"/>
      <c r="NWL64" s="94"/>
      <c r="NWM64" s="94"/>
      <c r="NWN64" s="94"/>
      <c r="NWO64" s="94"/>
      <c r="NWP64" s="94"/>
      <c r="NWQ64" s="94"/>
      <c r="NWR64" s="94"/>
      <c r="NWS64" s="94"/>
      <c r="NWT64" s="94"/>
      <c r="NWU64" s="94"/>
      <c r="NWV64" s="94"/>
      <c r="NWW64" s="94"/>
      <c r="NWX64" s="94"/>
      <c r="NWY64" s="94"/>
      <c r="NWZ64" s="94"/>
      <c r="NXA64" s="94"/>
      <c r="NXB64" s="94"/>
      <c r="NXC64" s="94"/>
      <c r="NXD64" s="94"/>
      <c r="NXE64" s="94"/>
      <c r="NXF64" s="94"/>
      <c r="NXG64" s="94"/>
      <c r="NXH64" s="94"/>
      <c r="NXI64" s="94"/>
      <c r="NXJ64" s="94"/>
      <c r="NXK64" s="94"/>
      <c r="NXL64" s="94"/>
      <c r="NXM64" s="94"/>
      <c r="NXN64" s="94"/>
      <c r="NXO64" s="94"/>
      <c r="NXP64" s="94"/>
      <c r="NXQ64" s="94"/>
      <c r="NXR64" s="94"/>
      <c r="NXS64" s="94"/>
      <c r="NXT64" s="94"/>
      <c r="NXU64" s="94"/>
      <c r="NXV64" s="94"/>
      <c r="NXW64" s="94"/>
      <c r="NXX64" s="94"/>
      <c r="NXY64" s="94"/>
      <c r="NXZ64" s="94"/>
      <c r="NYA64" s="94"/>
      <c r="NYB64" s="94"/>
      <c r="NYC64" s="94"/>
      <c r="NYD64" s="94"/>
      <c r="NYE64" s="94"/>
      <c r="NYF64" s="94"/>
      <c r="NYG64" s="94"/>
      <c r="NYH64" s="94"/>
      <c r="NYI64" s="94"/>
      <c r="NYJ64" s="94"/>
      <c r="NYK64" s="94"/>
      <c r="NYL64" s="94"/>
      <c r="NYM64" s="94"/>
      <c r="NYN64" s="94"/>
      <c r="NYO64" s="94"/>
      <c r="NYP64" s="94"/>
      <c r="NYQ64" s="94"/>
      <c r="NYR64" s="94"/>
      <c r="NYS64" s="94"/>
      <c r="NYT64" s="94"/>
      <c r="NYU64" s="94"/>
      <c r="NYV64" s="94"/>
      <c r="NYW64" s="94"/>
      <c r="NYX64" s="94"/>
      <c r="NYY64" s="94"/>
      <c r="NYZ64" s="94"/>
      <c r="NZA64" s="94"/>
      <c r="NZB64" s="94"/>
      <c r="NZC64" s="94"/>
      <c r="NZD64" s="94"/>
      <c r="NZE64" s="94"/>
      <c r="NZF64" s="94"/>
      <c r="NZG64" s="94"/>
      <c r="NZH64" s="94"/>
      <c r="NZI64" s="94"/>
      <c r="NZJ64" s="94"/>
      <c r="NZK64" s="94"/>
      <c r="NZL64" s="94"/>
      <c r="NZM64" s="94"/>
      <c r="NZN64" s="94"/>
      <c r="NZO64" s="94"/>
      <c r="NZP64" s="94"/>
      <c r="NZQ64" s="94"/>
      <c r="NZR64" s="94"/>
      <c r="NZS64" s="94"/>
      <c r="NZT64" s="94"/>
      <c r="NZU64" s="94"/>
      <c r="NZV64" s="94"/>
      <c r="NZW64" s="94"/>
      <c r="NZX64" s="94"/>
      <c r="NZY64" s="94"/>
      <c r="NZZ64" s="94"/>
      <c r="OAA64" s="94"/>
      <c r="OAB64" s="94"/>
      <c r="OAC64" s="94"/>
      <c r="OAD64" s="94"/>
      <c r="OAE64" s="94"/>
      <c r="OAF64" s="94"/>
      <c r="OAG64" s="94"/>
      <c r="OAH64" s="94"/>
      <c r="OAI64" s="94"/>
      <c r="OAJ64" s="94"/>
      <c r="OAK64" s="94"/>
      <c r="OAL64" s="94"/>
      <c r="OAM64" s="94"/>
      <c r="OAN64" s="94"/>
      <c r="OAO64" s="94"/>
      <c r="OAP64" s="94"/>
      <c r="OAQ64" s="94"/>
      <c r="OAR64" s="94"/>
      <c r="OAS64" s="94"/>
      <c r="OAT64" s="94"/>
      <c r="OAU64" s="94"/>
      <c r="OAV64" s="94"/>
      <c r="OAW64" s="94"/>
      <c r="OAX64" s="94"/>
      <c r="OAY64" s="94"/>
      <c r="OAZ64" s="94"/>
      <c r="OBA64" s="94"/>
      <c r="OBB64" s="94"/>
      <c r="OBC64" s="94"/>
      <c r="OBD64" s="94"/>
      <c r="OBE64" s="94"/>
      <c r="OBF64" s="94"/>
      <c r="OBG64" s="94"/>
      <c r="OBH64" s="94"/>
      <c r="OBI64" s="94"/>
      <c r="OBJ64" s="94"/>
      <c r="OBK64" s="94"/>
      <c r="OBL64" s="94"/>
      <c r="OBM64" s="94"/>
      <c r="OBN64" s="94"/>
      <c r="OBO64" s="94"/>
      <c r="OBP64" s="94"/>
      <c r="OBQ64" s="94"/>
      <c r="OBR64" s="94"/>
      <c r="OBS64" s="94"/>
      <c r="OBT64" s="94"/>
      <c r="OBU64" s="94"/>
      <c r="OBV64" s="94"/>
      <c r="OBW64" s="94"/>
      <c r="OBX64" s="94"/>
      <c r="OBY64" s="94"/>
      <c r="OBZ64" s="94"/>
      <c r="OCA64" s="94"/>
      <c r="OCB64" s="94"/>
      <c r="OCC64" s="94"/>
      <c r="OCD64" s="94"/>
      <c r="OCE64" s="94"/>
      <c r="OCF64" s="94"/>
      <c r="OCG64" s="94"/>
      <c r="OCH64" s="94"/>
      <c r="OCI64" s="94"/>
      <c r="OCJ64" s="94"/>
      <c r="OCK64" s="94"/>
      <c r="OCL64" s="94"/>
      <c r="OCM64" s="94"/>
      <c r="OCN64" s="94"/>
      <c r="OCO64" s="94"/>
      <c r="OCP64" s="94"/>
      <c r="OCQ64" s="94"/>
      <c r="OCR64" s="94"/>
      <c r="OCS64" s="94"/>
      <c r="OCT64" s="94"/>
      <c r="OCU64" s="94"/>
      <c r="OCV64" s="94"/>
      <c r="OCW64" s="94"/>
      <c r="OCX64" s="94"/>
      <c r="OCY64" s="94"/>
      <c r="OCZ64" s="94"/>
      <c r="ODA64" s="94"/>
      <c r="ODB64" s="94"/>
      <c r="ODC64" s="94"/>
      <c r="ODD64" s="94"/>
      <c r="ODE64" s="94"/>
      <c r="ODF64" s="94"/>
      <c r="ODG64" s="94"/>
      <c r="ODH64" s="94"/>
      <c r="ODI64" s="94"/>
      <c r="ODJ64" s="94"/>
      <c r="ODK64" s="94"/>
      <c r="ODL64" s="94"/>
      <c r="ODM64" s="94"/>
      <c r="ODN64" s="94"/>
      <c r="ODO64" s="94"/>
      <c r="ODP64" s="94"/>
      <c r="ODQ64" s="94"/>
      <c r="ODR64" s="94"/>
      <c r="ODS64" s="94"/>
      <c r="ODT64" s="94"/>
      <c r="ODU64" s="94"/>
      <c r="ODV64" s="94"/>
      <c r="ODW64" s="94"/>
      <c r="ODX64" s="94"/>
      <c r="ODY64" s="94"/>
      <c r="ODZ64" s="94"/>
      <c r="OEA64" s="94"/>
      <c r="OEB64" s="94"/>
      <c r="OEC64" s="94"/>
      <c r="OED64" s="94"/>
      <c r="OEE64" s="94"/>
      <c r="OEF64" s="94"/>
      <c r="OEG64" s="94"/>
      <c r="OEH64" s="94"/>
      <c r="OEI64" s="94"/>
      <c r="OEJ64" s="94"/>
      <c r="OEK64" s="94"/>
      <c r="OEL64" s="94"/>
      <c r="OEM64" s="94"/>
      <c r="OEN64" s="94"/>
      <c r="OEO64" s="94"/>
      <c r="OEP64" s="94"/>
      <c r="OEQ64" s="94"/>
      <c r="OER64" s="94"/>
      <c r="OES64" s="94"/>
      <c r="OET64" s="94"/>
      <c r="OEU64" s="94"/>
      <c r="OEV64" s="94"/>
      <c r="OEW64" s="94"/>
      <c r="OEX64" s="94"/>
      <c r="OEY64" s="94"/>
      <c r="OEZ64" s="94"/>
      <c r="OFA64" s="94"/>
      <c r="OFB64" s="94"/>
      <c r="OFC64" s="94"/>
      <c r="OFD64" s="94"/>
      <c r="OFE64" s="94"/>
      <c r="OFF64" s="94"/>
      <c r="OFG64" s="94"/>
      <c r="OFH64" s="94"/>
      <c r="OFI64" s="94"/>
      <c r="OFJ64" s="94"/>
      <c r="OFK64" s="94"/>
      <c r="OFL64" s="94"/>
      <c r="OFM64" s="94"/>
      <c r="OFN64" s="94"/>
      <c r="OFO64" s="94"/>
      <c r="OFP64" s="94"/>
      <c r="OFQ64" s="94"/>
      <c r="OFR64" s="94"/>
      <c r="OFS64" s="94"/>
      <c r="OFT64" s="94"/>
      <c r="OFU64" s="94"/>
      <c r="OFV64" s="94"/>
      <c r="OFW64" s="94"/>
      <c r="OFX64" s="94"/>
      <c r="OFY64" s="94"/>
      <c r="OFZ64" s="94"/>
      <c r="OGA64" s="94"/>
      <c r="OGB64" s="94"/>
      <c r="OGC64" s="94"/>
      <c r="OGD64" s="94"/>
      <c r="OGE64" s="94"/>
      <c r="OGF64" s="94"/>
      <c r="OGG64" s="94"/>
      <c r="OGH64" s="94"/>
      <c r="OGI64" s="94"/>
      <c r="OGJ64" s="94"/>
      <c r="OGK64" s="94"/>
      <c r="OGL64" s="94"/>
      <c r="OGM64" s="94"/>
      <c r="OGN64" s="94"/>
      <c r="OGO64" s="94"/>
      <c r="OGP64" s="94"/>
      <c r="OGQ64" s="94"/>
      <c r="OGR64" s="94"/>
      <c r="OGS64" s="94"/>
      <c r="OGT64" s="94"/>
      <c r="OGU64" s="94"/>
      <c r="OGV64" s="94"/>
      <c r="OGW64" s="94"/>
      <c r="OGX64" s="94"/>
      <c r="OGY64" s="94"/>
      <c r="OGZ64" s="94"/>
      <c r="OHA64" s="94"/>
      <c r="OHB64" s="94"/>
      <c r="OHC64" s="94"/>
      <c r="OHD64" s="94"/>
      <c r="OHE64" s="94"/>
      <c r="OHF64" s="94"/>
      <c r="OHG64" s="94"/>
      <c r="OHH64" s="94"/>
      <c r="OHI64" s="94"/>
      <c r="OHJ64" s="94"/>
      <c r="OHK64" s="94"/>
      <c r="OHL64" s="94"/>
      <c r="OHM64" s="94"/>
      <c r="OHN64" s="94"/>
      <c r="OHO64" s="94"/>
      <c r="OHP64" s="94"/>
      <c r="OHQ64" s="94"/>
      <c r="OHR64" s="94"/>
      <c r="OHS64" s="94"/>
      <c r="OHT64" s="94"/>
      <c r="OHU64" s="94"/>
      <c r="OHV64" s="94"/>
      <c r="OHW64" s="94"/>
      <c r="OHX64" s="94"/>
      <c r="OHY64" s="94"/>
      <c r="OHZ64" s="94"/>
      <c r="OIA64" s="94"/>
      <c r="OIB64" s="94"/>
      <c r="OIC64" s="94"/>
      <c r="OID64" s="94"/>
      <c r="OIE64" s="94"/>
      <c r="OIF64" s="94"/>
      <c r="OIG64" s="94"/>
      <c r="OIH64" s="94"/>
      <c r="OII64" s="94"/>
      <c r="OIJ64" s="94"/>
      <c r="OIK64" s="94"/>
      <c r="OIL64" s="94"/>
      <c r="OIM64" s="94"/>
      <c r="OIN64" s="94"/>
      <c r="OIO64" s="94"/>
      <c r="OIP64" s="94"/>
      <c r="OIQ64" s="94"/>
      <c r="OIR64" s="94"/>
      <c r="OIS64" s="94"/>
      <c r="OIT64" s="94"/>
      <c r="OIU64" s="94"/>
      <c r="OIV64" s="94"/>
      <c r="OIW64" s="94"/>
      <c r="OIX64" s="94"/>
      <c r="OIY64" s="94"/>
      <c r="OIZ64" s="94"/>
      <c r="OJA64" s="94"/>
      <c r="OJB64" s="94"/>
      <c r="OJC64" s="94"/>
      <c r="OJD64" s="94"/>
      <c r="OJE64" s="94"/>
      <c r="OJF64" s="94"/>
      <c r="OJG64" s="94"/>
      <c r="OJH64" s="94"/>
      <c r="OJI64" s="94"/>
      <c r="OJJ64" s="94"/>
      <c r="OJK64" s="94"/>
      <c r="OJL64" s="94"/>
      <c r="OJM64" s="94"/>
      <c r="OJN64" s="94"/>
      <c r="OJO64" s="94"/>
      <c r="OJP64" s="94"/>
      <c r="OJQ64" s="94"/>
      <c r="OJR64" s="94"/>
      <c r="OJS64" s="94"/>
      <c r="OJT64" s="94"/>
      <c r="OJU64" s="94"/>
      <c r="OJV64" s="94"/>
      <c r="OJW64" s="94"/>
      <c r="OJX64" s="94"/>
      <c r="OJY64" s="94"/>
      <c r="OJZ64" s="94"/>
      <c r="OKA64" s="94"/>
      <c r="OKB64" s="94"/>
      <c r="OKC64" s="94"/>
      <c r="OKD64" s="94"/>
      <c r="OKE64" s="94"/>
      <c r="OKF64" s="94"/>
      <c r="OKG64" s="94"/>
      <c r="OKH64" s="94"/>
      <c r="OKI64" s="94"/>
      <c r="OKJ64" s="94"/>
      <c r="OKK64" s="94"/>
      <c r="OKL64" s="94"/>
      <c r="OKM64" s="94"/>
      <c r="OKN64" s="94"/>
      <c r="OKO64" s="94"/>
      <c r="OKP64" s="94"/>
      <c r="OKQ64" s="94"/>
      <c r="OKR64" s="94"/>
      <c r="OKS64" s="94"/>
      <c r="OKT64" s="94"/>
      <c r="OKU64" s="94"/>
      <c r="OKV64" s="94"/>
      <c r="OKW64" s="94"/>
      <c r="OKX64" s="94"/>
      <c r="OKY64" s="94"/>
      <c r="OKZ64" s="94"/>
      <c r="OLA64" s="94"/>
      <c r="OLB64" s="94"/>
      <c r="OLC64" s="94"/>
      <c r="OLD64" s="94"/>
      <c r="OLE64" s="94"/>
      <c r="OLF64" s="94"/>
      <c r="OLG64" s="94"/>
      <c r="OLH64" s="94"/>
      <c r="OLI64" s="94"/>
      <c r="OLJ64" s="94"/>
      <c r="OLK64" s="94"/>
      <c r="OLL64" s="94"/>
      <c r="OLM64" s="94"/>
      <c r="OLN64" s="94"/>
      <c r="OLO64" s="94"/>
      <c r="OLP64" s="94"/>
      <c r="OLQ64" s="94"/>
      <c r="OLR64" s="94"/>
      <c r="OLS64" s="94"/>
      <c r="OLT64" s="94"/>
      <c r="OLU64" s="94"/>
      <c r="OLV64" s="94"/>
      <c r="OLW64" s="94"/>
      <c r="OLX64" s="94"/>
      <c r="OLY64" s="94"/>
      <c r="OLZ64" s="94"/>
      <c r="OMA64" s="94"/>
      <c r="OMB64" s="94"/>
      <c r="OMC64" s="94"/>
      <c r="OMD64" s="94"/>
      <c r="OME64" s="94"/>
      <c r="OMF64" s="94"/>
      <c r="OMG64" s="94"/>
      <c r="OMH64" s="94"/>
      <c r="OMI64" s="94"/>
      <c r="OMJ64" s="94"/>
      <c r="OMK64" s="94"/>
      <c r="OML64" s="94"/>
      <c r="OMM64" s="94"/>
      <c r="OMN64" s="94"/>
      <c r="OMO64" s="94"/>
      <c r="OMP64" s="94"/>
      <c r="OMQ64" s="94"/>
      <c r="OMR64" s="94"/>
      <c r="OMS64" s="94"/>
      <c r="OMT64" s="94"/>
      <c r="OMU64" s="94"/>
      <c r="OMV64" s="94"/>
      <c r="OMW64" s="94"/>
      <c r="OMX64" s="94"/>
      <c r="OMY64" s="94"/>
      <c r="OMZ64" s="94"/>
      <c r="ONA64" s="94"/>
      <c r="ONB64" s="94"/>
      <c r="ONC64" s="94"/>
      <c r="OND64" s="94"/>
      <c r="ONE64" s="94"/>
      <c r="ONF64" s="94"/>
      <c r="ONG64" s="94"/>
      <c r="ONH64" s="94"/>
      <c r="ONI64" s="94"/>
      <c r="ONJ64" s="94"/>
      <c r="ONK64" s="94"/>
      <c r="ONL64" s="94"/>
      <c r="ONM64" s="94"/>
      <c r="ONN64" s="94"/>
      <c r="ONO64" s="94"/>
      <c r="ONP64" s="94"/>
      <c r="ONQ64" s="94"/>
      <c r="ONR64" s="94"/>
      <c r="ONS64" s="94"/>
      <c r="ONT64" s="94"/>
      <c r="ONU64" s="94"/>
      <c r="ONV64" s="94"/>
      <c r="ONW64" s="94"/>
      <c r="ONX64" s="94"/>
      <c r="ONY64" s="94"/>
      <c r="ONZ64" s="94"/>
      <c r="OOA64" s="94"/>
      <c r="OOB64" s="94"/>
      <c r="OOC64" s="94"/>
      <c r="OOD64" s="94"/>
      <c r="OOE64" s="94"/>
      <c r="OOF64" s="94"/>
      <c r="OOG64" s="94"/>
      <c r="OOH64" s="94"/>
      <c r="OOI64" s="94"/>
      <c r="OOJ64" s="94"/>
      <c r="OOK64" s="94"/>
      <c r="OOL64" s="94"/>
      <c r="OOM64" s="94"/>
      <c r="OON64" s="94"/>
      <c r="OOO64" s="94"/>
      <c r="OOP64" s="94"/>
      <c r="OOQ64" s="94"/>
      <c r="OOR64" s="94"/>
      <c r="OOS64" s="94"/>
      <c r="OOT64" s="94"/>
      <c r="OOU64" s="94"/>
      <c r="OOV64" s="94"/>
      <c r="OOW64" s="94"/>
      <c r="OOX64" s="94"/>
      <c r="OOY64" s="94"/>
      <c r="OOZ64" s="94"/>
      <c r="OPA64" s="94"/>
      <c r="OPB64" s="94"/>
      <c r="OPC64" s="94"/>
      <c r="OPD64" s="94"/>
      <c r="OPE64" s="94"/>
      <c r="OPF64" s="94"/>
      <c r="OPG64" s="94"/>
      <c r="OPH64" s="94"/>
      <c r="OPI64" s="94"/>
      <c r="OPJ64" s="94"/>
      <c r="OPK64" s="94"/>
      <c r="OPL64" s="94"/>
      <c r="OPM64" s="94"/>
      <c r="OPN64" s="94"/>
      <c r="OPO64" s="94"/>
      <c r="OPP64" s="94"/>
      <c r="OPQ64" s="94"/>
      <c r="OPR64" s="94"/>
      <c r="OPS64" s="94"/>
      <c r="OPT64" s="94"/>
      <c r="OPU64" s="94"/>
      <c r="OPV64" s="94"/>
      <c r="OPW64" s="94"/>
      <c r="OPX64" s="94"/>
      <c r="OPY64" s="94"/>
      <c r="OPZ64" s="94"/>
      <c r="OQA64" s="94"/>
      <c r="OQB64" s="94"/>
      <c r="OQC64" s="94"/>
      <c r="OQD64" s="94"/>
      <c r="OQE64" s="94"/>
      <c r="OQF64" s="94"/>
      <c r="OQG64" s="94"/>
      <c r="OQH64" s="94"/>
      <c r="OQI64" s="94"/>
      <c r="OQJ64" s="94"/>
      <c r="OQK64" s="94"/>
      <c r="OQL64" s="94"/>
      <c r="OQM64" s="94"/>
      <c r="OQN64" s="94"/>
      <c r="OQO64" s="94"/>
      <c r="OQP64" s="94"/>
      <c r="OQQ64" s="94"/>
      <c r="OQR64" s="94"/>
      <c r="OQS64" s="94"/>
      <c r="OQT64" s="94"/>
      <c r="OQU64" s="94"/>
      <c r="OQV64" s="94"/>
      <c r="OQW64" s="94"/>
      <c r="OQX64" s="94"/>
      <c r="OQY64" s="94"/>
      <c r="OQZ64" s="94"/>
      <c r="ORA64" s="94"/>
      <c r="ORB64" s="94"/>
      <c r="ORC64" s="94"/>
      <c r="ORD64" s="94"/>
      <c r="ORE64" s="94"/>
      <c r="ORF64" s="94"/>
      <c r="ORG64" s="94"/>
      <c r="ORH64" s="94"/>
      <c r="ORI64" s="94"/>
      <c r="ORJ64" s="94"/>
      <c r="ORK64" s="94"/>
      <c r="ORL64" s="94"/>
      <c r="ORM64" s="94"/>
      <c r="ORN64" s="94"/>
      <c r="ORO64" s="94"/>
      <c r="ORP64" s="94"/>
      <c r="ORQ64" s="94"/>
      <c r="ORR64" s="94"/>
      <c r="ORS64" s="94"/>
      <c r="ORT64" s="94"/>
      <c r="ORU64" s="94"/>
      <c r="ORV64" s="94"/>
      <c r="ORW64" s="94"/>
      <c r="ORX64" s="94"/>
      <c r="ORY64" s="94"/>
      <c r="ORZ64" s="94"/>
      <c r="OSA64" s="94"/>
      <c r="OSB64" s="94"/>
      <c r="OSC64" s="94"/>
      <c r="OSD64" s="94"/>
      <c r="OSE64" s="94"/>
      <c r="OSF64" s="94"/>
      <c r="OSG64" s="94"/>
      <c r="OSH64" s="94"/>
      <c r="OSI64" s="94"/>
      <c r="OSJ64" s="94"/>
      <c r="OSK64" s="94"/>
      <c r="OSL64" s="94"/>
      <c r="OSM64" s="94"/>
      <c r="OSN64" s="94"/>
      <c r="OSO64" s="94"/>
      <c r="OSP64" s="94"/>
      <c r="OSQ64" s="94"/>
      <c r="OSR64" s="94"/>
      <c r="OSS64" s="94"/>
      <c r="OST64" s="94"/>
      <c r="OSU64" s="94"/>
      <c r="OSV64" s="94"/>
      <c r="OSW64" s="94"/>
      <c r="OSX64" s="94"/>
      <c r="OSY64" s="94"/>
      <c r="OSZ64" s="94"/>
      <c r="OTA64" s="94"/>
      <c r="OTB64" s="94"/>
      <c r="OTC64" s="94"/>
      <c r="OTD64" s="94"/>
      <c r="OTE64" s="94"/>
      <c r="OTF64" s="94"/>
      <c r="OTG64" s="94"/>
      <c r="OTH64" s="94"/>
      <c r="OTI64" s="94"/>
      <c r="OTJ64" s="94"/>
      <c r="OTK64" s="94"/>
      <c r="OTL64" s="94"/>
      <c r="OTM64" s="94"/>
      <c r="OTN64" s="94"/>
      <c r="OTO64" s="94"/>
      <c r="OTP64" s="94"/>
      <c r="OTQ64" s="94"/>
      <c r="OTR64" s="94"/>
      <c r="OTS64" s="94"/>
      <c r="OTT64" s="94"/>
      <c r="OTU64" s="94"/>
      <c r="OTV64" s="94"/>
      <c r="OTW64" s="94"/>
      <c r="OTX64" s="94"/>
      <c r="OTY64" s="94"/>
      <c r="OTZ64" s="94"/>
      <c r="OUA64" s="94"/>
      <c r="OUB64" s="94"/>
      <c r="OUC64" s="94"/>
      <c r="OUD64" s="94"/>
      <c r="OUE64" s="94"/>
      <c r="OUF64" s="94"/>
      <c r="OUG64" s="94"/>
      <c r="OUH64" s="94"/>
      <c r="OUI64" s="94"/>
      <c r="OUJ64" s="94"/>
      <c r="OUK64" s="94"/>
      <c r="OUL64" s="94"/>
      <c r="OUM64" s="94"/>
      <c r="OUN64" s="94"/>
      <c r="OUO64" s="94"/>
      <c r="OUP64" s="94"/>
      <c r="OUQ64" s="94"/>
      <c r="OUR64" s="94"/>
      <c r="OUS64" s="94"/>
      <c r="OUT64" s="94"/>
      <c r="OUU64" s="94"/>
      <c r="OUV64" s="94"/>
      <c r="OUW64" s="94"/>
      <c r="OUX64" s="94"/>
      <c r="OUY64" s="94"/>
      <c r="OUZ64" s="94"/>
      <c r="OVA64" s="94"/>
      <c r="OVB64" s="94"/>
      <c r="OVC64" s="94"/>
      <c r="OVD64" s="94"/>
      <c r="OVE64" s="94"/>
      <c r="OVF64" s="94"/>
      <c r="OVG64" s="94"/>
      <c r="OVH64" s="94"/>
      <c r="OVI64" s="94"/>
      <c r="OVJ64" s="94"/>
      <c r="OVK64" s="94"/>
      <c r="OVL64" s="94"/>
      <c r="OVM64" s="94"/>
      <c r="OVN64" s="94"/>
      <c r="OVO64" s="94"/>
      <c r="OVP64" s="94"/>
      <c r="OVQ64" s="94"/>
      <c r="OVR64" s="94"/>
      <c r="OVS64" s="94"/>
      <c r="OVT64" s="94"/>
      <c r="OVU64" s="94"/>
      <c r="OVV64" s="94"/>
      <c r="OVW64" s="94"/>
      <c r="OVX64" s="94"/>
      <c r="OVY64" s="94"/>
      <c r="OVZ64" s="94"/>
      <c r="OWA64" s="94"/>
      <c r="OWB64" s="94"/>
      <c r="OWC64" s="94"/>
      <c r="OWD64" s="94"/>
      <c r="OWE64" s="94"/>
      <c r="OWF64" s="94"/>
      <c r="OWG64" s="94"/>
      <c r="OWH64" s="94"/>
      <c r="OWI64" s="94"/>
      <c r="OWJ64" s="94"/>
      <c r="OWK64" s="94"/>
      <c r="OWL64" s="94"/>
      <c r="OWM64" s="94"/>
      <c r="OWN64" s="94"/>
      <c r="OWO64" s="94"/>
      <c r="OWP64" s="94"/>
      <c r="OWQ64" s="94"/>
      <c r="OWR64" s="94"/>
      <c r="OWS64" s="94"/>
      <c r="OWT64" s="94"/>
      <c r="OWU64" s="94"/>
      <c r="OWV64" s="94"/>
      <c r="OWW64" s="94"/>
      <c r="OWX64" s="94"/>
      <c r="OWY64" s="94"/>
      <c r="OWZ64" s="94"/>
      <c r="OXA64" s="94"/>
      <c r="OXB64" s="94"/>
      <c r="OXC64" s="94"/>
      <c r="OXD64" s="94"/>
      <c r="OXE64" s="94"/>
      <c r="OXF64" s="94"/>
      <c r="OXG64" s="94"/>
      <c r="OXH64" s="94"/>
      <c r="OXI64" s="94"/>
      <c r="OXJ64" s="94"/>
      <c r="OXK64" s="94"/>
      <c r="OXL64" s="94"/>
      <c r="OXM64" s="94"/>
      <c r="OXN64" s="94"/>
      <c r="OXO64" s="94"/>
      <c r="OXP64" s="94"/>
      <c r="OXQ64" s="94"/>
      <c r="OXR64" s="94"/>
      <c r="OXS64" s="94"/>
      <c r="OXT64" s="94"/>
      <c r="OXU64" s="94"/>
      <c r="OXV64" s="94"/>
      <c r="OXW64" s="94"/>
      <c r="OXX64" s="94"/>
      <c r="OXY64" s="94"/>
      <c r="OXZ64" s="94"/>
      <c r="OYA64" s="94"/>
      <c r="OYB64" s="94"/>
      <c r="OYC64" s="94"/>
      <c r="OYD64" s="94"/>
      <c r="OYE64" s="94"/>
      <c r="OYF64" s="94"/>
      <c r="OYG64" s="94"/>
      <c r="OYH64" s="94"/>
      <c r="OYI64" s="94"/>
      <c r="OYJ64" s="94"/>
      <c r="OYK64" s="94"/>
      <c r="OYL64" s="94"/>
      <c r="OYM64" s="94"/>
      <c r="OYN64" s="94"/>
      <c r="OYO64" s="94"/>
      <c r="OYP64" s="94"/>
      <c r="OYQ64" s="94"/>
      <c r="OYR64" s="94"/>
      <c r="OYS64" s="94"/>
      <c r="OYT64" s="94"/>
      <c r="OYU64" s="94"/>
      <c r="OYV64" s="94"/>
      <c r="OYW64" s="94"/>
      <c r="OYX64" s="94"/>
      <c r="OYY64" s="94"/>
      <c r="OYZ64" s="94"/>
      <c r="OZA64" s="94"/>
      <c r="OZB64" s="94"/>
      <c r="OZC64" s="94"/>
      <c r="OZD64" s="94"/>
      <c r="OZE64" s="94"/>
      <c r="OZF64" s="94"/>
      <c r="OZG64" s="94"/>
      <c r="OZH64" s="94"/>
      <c r="OZI64" s="94"/>
      <c r="OZJ64" s="94"/>
      <c r="OZK64" s="94"/>
      <c r="OZL64" s="94"/>
      <c r="OZM64" s="94"/>
      <c r="OZN64" s="94"/>
      <c r="OZO64" s="94"/>
      <c r="OZP64" s="94"/>
      <c r="OZQ64" s="94"/>
      <c r="OZR64" s="94"/>
      <c r="OZS64" s="94"/>
      <c r="OZT64" s="94"/>
      <c r="OZU64" s="94"/>
      <c r="OZV64" s="94"/>
      <c r="OZW64" s="94"/>
      <c r="OZX64" s="94"/>
      <c r="OZY64" s="94"/>
      <c r="OZZ64" s="94"/>
      <c r="PAA64" s="94"/>
      <c r="PAB64" s="94"/>
      <c r="PAC64" s="94"/>
      <c r="PAD64" s="94"/>
      <c r="PAE64" s="94"/>
      <c r="PAF64" s="94"/>
      <c r="PAG64" s="94"/>
      <c r="PAH64" s="94"/>
      <c r="PAI64" s="94"/>
      <c r="PAJ64" s="94"/>
      <c r="PAK64" s="94"/>
      <c r="PAL64" s="94"/>
      <c r="PAM64" s="94"/>
      <c r="PAN64" s="94"/>
      <c r="PAO64" s="94"/>
      <c r="PAP64" s="94"/>
      <c r="PAQ64" s="94"/>
      <c r="PAR64" s="94"/>
      <c r="PAS64" s="94"/>
      <c r="PAT64" s="94"/>
      <c r="PAU64" s="94"/>
      <c r="PAV64" s="94"/>
      <c r="PAW64" s="94"/>
      <c r="PAX64" s="94"/>
      <c r="PAY64" s="94"/>
      <c r="PAZ64" s="94"/>
      <c r="PBA64" s="94"/>
      <c r="PBB64" s="94"/>
      <c r="PBC64" s="94"/>
      <c r="PBD64" s="94"/>
      <c r="PBE64" s="94"/>
      <c r="PBF64" s="94"/>
      <c r="PBG64" s="94"/>
      <c r="PBH64" s="94"/>
      <c r="PBI64" s="94"/>
      <c r="PBJ64" s="94"/>
      <c r="PBK64" s="94"/>
      <c r="PBL64" s="94"/>
      <c r="PBM64" s="94"/>
      <c r="PBN64" s="94"/>
      <c r="PBO64" s="94"/>
      <c r="PBP64" s="94"/>
      <c r="PBQ64" s="94"/>
      <c r="PBR64" s="94"/>
      <c r="PBS64" s="94"/>
      <c r="PBT64" s="94"/>
      <c r="PBU64" s="94"/>
      <c r="PBV64" s="94"/>
      <c r="PBW64" s="94"/>
      <c r="PBX64" s="94"/>
      <c r="PBY64" s="94"/>
      <c r="PBZ64" s="94"/>
      <c r="PCA64" s="94"/>
      <c r="PCB64" s="94"/>
      <c r="PCC64" s="94"/>
      <c r="PCD64" s="94"/>
      <c r="PCE64" s="94"/>
      <c r="PCF64" s="94"/>
      <c r="PCG64" s="94"/>
      <c r="PCH64" s="94"/>
      <c r="PCI64" s="94"/>
      <c r="PCJ64" s="94"/>
      <c r="PCK64" s="94"/>
      <c r="PCL64" s="94"/>
      <c r="PCM64" s="94"/>
      <c r="PCN64" s="94"/>
      <c r="PCO64" s="94"/>
      <c r="PCP64" s="94"/>
      <c r="PCQ64" s="94"/>
      <c r="PCR64" s="94"/>
      <c r="PCS64" s="94"/>
      <c r="PCT64" s="94"/>
      <c r="PCU64" s="94"/>
      <c r="PCV64" s="94"/>
      <c r="PCW64" s="94"/>
      <c r="PCX64" s="94"/>
      <c r="PCY64" s="94"/>
      <c r="PCZ64" s="94"/>
      <c r="PDA64" s="94"/>
      <c r="PDB64" s="94"/>
      <c r="PDC64" s="94"/>
      <c r="PDD64" s="94"/>
      <c r="PDE64" s="94"/>
      <c r="PDF64" s="94"/>
      <c r="PDG64" s="94"/>
      <c r="PDH64" s="94"/>
      <c r="PDI64" s="94"/>
      <c r="PDJ64" s="94"/>
      <c r="PDK64" s="94"/>
      <c r="PDL64" s="94"/>
      <c r="PDM64" s="94"/>
      <c r="PDN64" s="94"/>
      <c r="PDO64" s="94"/>
      <c r="PDP64" s="94"/>
      <c r="PDQ64" s="94"/>
      <c r="PDR64" s="94"/>
      <c r="PDS64" s="94"/>
      <c r="PDT64" s="94"/>
      <c r="PDU64" s="94"/>
      <c r="PDV64" s="94"/>
      <c r="PDW64" s="94"/>
      <c r="PDX64" s="94"/>
      <c r="PDY64" s="94"/>
      <c r="PDZ64" s="94"/>
      <c r="PEA64" s="94"/>
      <c r="PEB64" s="94"/>
      <c r="PEC64" s="94"/>
      <c r="PED64" s="94"/>
      <c r="PEE64" s="94"/>
      <c r="PEF64" s="94"/>
      <c r="PEG64" s="94"/>
      <c r="PEH64" s="94"/>
      <c r="PEI64" s="94"/>
      <c r="PEJ64" s="94"/>
      <c r="PEK64" s="94"/>
      <c r="PEL64" s="94"/>
      <c r="PEM64" s="94"/>
      <c r="PEN64" s="94"/>
      <c r="PEO64" s="94"/>
      <c r="PEP64" s="94"/>
      <c r="PEQ64" s="94"/>
      <c r="PER64" s="94"/>
      <c r="PES64" s="94"/>
      <c r="PET64" s="94"/>
      <c r="PEU64" s="94"/>
      <c r="PEV64" s="94"/>
      <c r="PEW64" s="94"/>
      <c r="PEX64" s="94"/>
      <c r="PEY64" s="94"/>
      <c r="PEZ64" s="94"/>
      <c r="PFA64" s="94"/>
      <c r="PFB64" s="94"/>
      <c r="PFC64" s="94"/>
      <c r="PFD64" s="94"/>
      <c r="PFE64" s="94"/>
      <c r="PFF64" s="94"/>
      <c r="PFG64" s="94"/>
      <c r="PFH64" s="94"/>
      <c r="PFI64" s="94"/>
      <c r="PFJ64" s="94"/>
      <c r="PFK64" s="94"/>
      <c r="PFL64" s="94"/>
      <c r="PFM64" s="94"/>
      <c r="PFN64" s="94"/>
      <c r="PFO64" s="94"/>
      <c r="PFP64" s="94"/>
      <c r="PFQ64" s="94"/>
      <c r="PFR64" s="94"/>
      <c r="PFS64" s="94"/>
      <c r="PFT64" s="94"/>
      <c r="PFU64" s="94"/>
      <c r="PFV64" s="94"/>
      <c r="PFW64" s="94"/>
      <c r="PFX64" s="94"/>
      <c r="PFY64" s="94"/>
      <c r="PFZ64" s="94"/>
      <c r="PGA64" s="94"/>
      <c r="PGB64" s="94"/>
      <c r="PGC64" s="94"/>
      <c r="PGD64" s="94"/>
      <c r="PGE64" s="94"/>
      <c r="PGF64" s="94"/>
      <c r="PGG64" s="94"/>
      <c r="PGH64" s="94"/>
      <c r="PGI64" s="94"/>
      <c r="PGJ64" s="94"/>
      <c r="PGK64" s="94"/>
      <c r="PGL64" s="94"/>
      <c r="PGM64" s="94"/>
      <c r="PGN64" s="94"/>
      <c r="PGO64" s="94"/>
      <c r="PGP64" s="94"/>
      <c r="PGQ64" s="94"/>
      <c r="PGR64" s="94"/>
      <c r="PGS64" s="94"/>
      <c r="PGT64" s="94"/>
      <c r="PGU64" s="94"/>
      <c r="PGV64" s="94"/>
      <c r="PGW64" s="94"/>
      <c r="PGX64" s="94"/>
      <c r="PGY64" s="94"/>
      <c r="PGZ64" s="94"/>
      <c r="PHA64" s="94"/>
      <c r="PHB64" s="94"/>
      <c r="PHC64" s="94"/>
      <c r="PHD64" s="94"/>
      <c r="PHE64" s="94"/>
      <c r="PHF64" s="94"/>
      <c r="PHG64" s="94"/>
      <c r="PHH64" s="94"/>
      <c r="PHI64" s="94"/>
      <c r="PHJ64" s="94"/>
      <c r="PHK64" s="94"/>
      <c r="PHL64" s="94"/>
      <c r="PHM64" s="94"/>
      <c r="PHN64" s="94"/>
      <c r="PHO64" s="94"/>
      <c r="PHP64" s="94"/>
      <c r="PHQ64" s="94"/>
      <c r="PHR64" s="94"/>
      <c r="PHS64" s="94"/>
      <c r="PHT64" s="94"/>
      <c r="PHU64" s="94"/>
      <c r="PHV64" s="94"/>
      <c r="PHW64" s="94"/>
      <c r="PHX64" s="94"/>
      <c r="PHY64" s="94"/>
      <c r="PHZ64" s="94"/>
      <c r="PIA64" s="94"/>
      <c r="PIB64" s="94"/>
      <c r="PIC64" s="94"/>
      <c r="PID64" s="94"/>
      <c r="PIE64" s="94"/>
      <c r="PIF64" s="94"/>
      <c r="PIG64" s="94"/>
      <c r="PIH64" s="94"/>
      <c r="PII64" s="94"/>
      <c r="PIJ64" s="94"/>
      <c r="PIK64" s="94"/>
      <c r="PIL64" s="94"/>
      <c r="PIM64" s="94"/>
      <c r="PIN64" s="94"/>
      <c r="PIO64" s="94"/>
      <c r="PIP64" s="94"/>
      <c r="PIQ64" s="94"/>
      <c r="PIR64" s="94"/>
      <c r="PIS64" s="94"/>
      <c r="PIT64" s="94"/>
      <c r="PIU64" s="94"/>
      <c r="PIV64" s="94"/>
      <c r="PIW64" s="94"/>
      <c r="PIX64" s="94"/>
      <c r="PIY64" s="94"/>
      <c r="PIZ64" s="94"/>
      <c r="PJA64" s="94"/>
      <c r="PJB64" s="94"/>
      <c r="PJC64" s="94"/>
      <c r="PJD64" s="94"/>
      <c r="PJE64" s="94"/>
      <c r="PJF64" s="94"/>
      <c r="PJG64" s="94"/>
      <c r="PJH64" s="94"/>
      <c r="PJI64" s="94"/>
      <c r="PJJ64" s="94"/>
      <c r="PJK64" s="94"/>
      <c r="PJL64" s="94"/>
      <c r="PJM64" s="94"/>
      <c r="PJN64" s="94"/>
      <c r="PJO64" s="94"/>
      <c r="PJP64" s="94"/>
      <c r="PJQ64" s="94"/>
      <c r="PJR64" s="94"/>
      <c r="PJS64" s="94"/>
      <c r="PJT64" s="94"/>
      <c r="PJU64" s="94"/>
      <c r="PJV64" s="94"/>
      <c r="PJW64" s="94"/>
      <c r="PJX64" s="94"/>
      <c r="PJY64" s="94"/>
      <c r="PJZ64" s="94"/>
      <c r="PKA64" s="94"/>
      <c r="PKB64" s="94"/>
      <c r="PKC64" s="94"/>
      <c r="PKD64" s="94"/>
      <c r="PKE64" s="94"/>
      <c r="PKF64" s="94"/>
      <c r="PKG64" s="94"/>
      <c r="PKH64" s="94"/>
      <c r="PKI64" s="94"/>
      <c r="PKJ64" s="94"/>
      <c r="PKK64" s="94"/>
      <c r="PKL64" s="94"/>
      <c r="PKM64" s="94"/>
      <c r="PKN64" s="94"/>
      <c r="PKO64" s="94"/>
      <c r="PKP64" s="94"/>
      <c r="PKQ64" s="94"/>
      <c r="PKR64" s="94"/>
      <c r="PKS64" s="94"/>
      <c r="PKT64" s="94"/>
      <c r="PKU64" s="94"/>
      <c r="PKV64" s="94"/>
      <c r="PKW64" s="94"/>
      <c r="PKX64" s="94"/>
      <c r="PKY64" s="94"/>
      <c r="PKZ64" s="94"/>
      <c r="PLA64" s="94"/>
      <c r="PLB64" s="94"/>
      <c r="PLC64" s="94"/>
      <c r="PLD64" s="94"/>
      <c r="PLE64" s="94"/>
      <c r="PLF64" s="94"/>
      <c r="PLG64" s="94"/>
      <c r="PLH64" s="94"/>
      <c r="PLI64" s="94"/>
      <c r="PLJ64" s="94"/>
      <c r="PLK64" s="94"/>
      <c r="PLL64" s="94"/>
      <c r="PLM64" s="94"/>
      <c r="PLN64" s="94"/>
      <c r="PLO64" s="94"/>
      <c r="PLP64" s="94"/>
      <c r="PLQ64" s="94"/>
      <c r="PLR64" s="94"/>
      <c r="PLS64" s="94"/>
      <c r="PLT64" s="94"/>
      <c r="PLU64" s="94"/>
      <c r="PLV64" s="94"/>
      <c r="PLW64" s="94"/>
      <c r="PLX64" s="94"/>
      <c r="PLY64" s="94"/>
      <c r="PLZ64" s="94"/>
      <c r="PMA64" s="94"/>
      <c r="PMB64" s="94"/>
      <c r="PMC64" s="94"/>
      <c r="PMD64" s="94"/>
      <c r="PME64" s="94"/>
      <c r="PMF64" s="94"/>
      <c r="PMG64" s="94"/>
      <c r="PMH64" s="94"/>
      <c r="PMI64" s="94"/>
      <c r="PMJ64" s="94"/>
      <c r="PMK64" s="94"/>
      <c r="PML64" s="94"/>
      <c r="PMM64" s="94"/>
      <c r="PMN64" s="94"/>
      <c r="PMO64" s="94"/>
      <c r="PMP64" s="94"/>
      <c r="PMQ64" s="94"/>
      <c r="PMR64" s="94"/>
      <c r="PMS64" s="94"/>
      <c r="PMT64" s="94"/>
      <c r="PMU64" s="94"/>
      <c r="PMV64" s="94"/>
      <c r="PMW64" s="94"/>
      <c r="PMX64" s="94"/>
      <c r="PMY64" s="94"/>
      <c r="PMZ64" s="94"/>
      <c r="PNA64" s="94"/>
      <c r="PNB64" s="94"/>
      <c r="PNC64" s="94"/>
      <c r="PND64" s="94"/>
      <c r="PNE64" s="94"/>
      <c r="PNF64" s="94"/>
      <c r="PNG64" s="94"/>
      <c r="PNH64" s="94"/>
      <c r="PNI64" s="94"/>
      <c r="PNJ64" s="94"/>
      <c r="PNK64" s="94"/>
      <c r="PNL64" s="94"/>
      <c r="PNM64" s="94"/>
      <c r="PNN64" s="94"/>
      <c r="PNO64" s="94"/>
      <c r="PNP64" s="94"/>
      <c r="PNQ64" s="94"/>
      <c r="PNR64" s="94"/>
      <c r="PNS64" s="94"/>
      <c r="PNT64" s="94"/>
      <c r="PNU64" s="94"/>
      <c r="PNV64" s="94"/>
      <c r="PNW64" s="94"/>
      <c r="PNX64" s="94"/>
      <c r="PNY64" s="94"/>
      <c r="PNZ64" s="94"/>
      <c r="POA64" s="94"/>
      <c r="POB64" s="94"/>
      <c r="POC64" s="94"/>
      <c r="POD64" s="94"/>
      <c r="POE64" s="94"/>
      <c r="POF64" s="94"/>
      <c r="POG64" s="94"/>
      <c r="POH64" s="94"/>
      <c r="POI64" s="94"/>
      <c r="POJ64" s="94"/>
      <c r="POK64" s="94"/>
      <c r="POL64" s="94"/>
      <c r="POM64" s="94"/>
      <c r="PON64" s="94"/>
      <c r="POO64" s="94"/>
      <c r="POP64" s="94"/>
      <c r="POQ64" s="94"/>
      <c r="POR64" s="94"/>
      <c r="POS64" s="94"/>
      <c r="POT64" s="94"/>
      <c r="POU64" s="94"/>
      <c r="POV64" s="94"/>
      <c r="POW64" s="94"/>
      <c r="POX64" s="94"/>
      <c r="POY64" s="94"/>
      <c r="POZ64" s="94"/>
      <c r="PPA64" s="94"/>
      <c r="PPB64" s="94"/>
      <c r="PPC64" s="94"/>
      <c r="PPD64" s="94"/>
      <c r="PPE64" s="94"/>
      <c r="PPF64" s="94"/>
      <c r="PPG64" s="94"/>
      <c r="PPH64" s="94"/>
      <c r="PPI64" s="94"/>
      <c r="PPJ64" s="94"/>
      <c r="PPK64" s="94"/>
      <c r="PPL64" s="94"/>
      <c r="PPM64" s="94"/>
      <c r="PPN64" s="94"/>
      <c r="PPO64" s="94"/>
      <c r="PPP64" s="94"/>
      <c r="PPQ64" s="94"/>
      <c r="PPR64" s="94"/>
      <c r="PPS64" s="94"/>
      <c r="PPT64" s="94"/>
      <c r="PPU64" s="94"/>
      <c r="PPV64" s="94"/>
      <c r="PPW64" s="94"/>
      <c r="PPX64" s="94"/>
      <c r="PPY64" s="94"/>
      <c r="PPZ64" s="94"/>
      <c r="PQA64" s="94"/>
      <c r="PQB64" s="94"/>
      <c r="PQC64" s="94"/>
      <c r="PQD64" s="94"/>
      <c r="PQE64" s="94"/>
      <c r="PQF64" s="94"/>
      <c r="PQG64" s="94"/>
      <c r="PQH64" s="94"/>
      <c r="PQI64" s="94"/>
      <c r="PQJ64" s="94"/>
      <c r="PQK64" s="94"/>
      <c r="PQL64" s="94"/>
      <c r="PQM64" s="94"/>
      <c r="PQN64" s="94"/>
      <c r="PQO64" s="94"/>
      <c r="PQP64" s="94"/>
      <c r="PQQ64" s="94"/>
      <c r="PQR64" s="94"/>
      <c r="PQS64" s="94"/>
      <c r="PQT64" s="94"/>
      <c r="PQU64" s="94"/>
      <c r="PQV64" s="94"/>
      <c r="PQW64" s="94"/>
      <c r="PQX64" s="94"/>
      <c r="PQY64" s="94"/>
      <c r="PQZ64" s="94"/>
      <c r="PRA64" s="94"/>
      <c r="PRB64" s="94"/>
      <c r="PRC64" s="94"/>
      <c r="PRD64" s="94"/>
      <c r="PRE64" s="94"/>
      <c r="PRF64" s="94"/>
      <c r="PRG64" s="94"/>
      <c r="PRH64" s="94"/>
      <c r="PRI64" s="94"/>
      <c r="PRJ64" s="94"/>
      <c r="PRK64" s="94"/>
      <c r="PRL64" s="94"/>
      <c r="PRM64" s="94"/>
      <c r="PRN64" s="94"/>
      <c r="PRO64" s="94"/>
      <c r="PRP64" s="94"/>
      <c r="PRQ64" s="94"/>
      <c r="PRR64" s="94"/>
      <c r="PRS64" s="94"/>
      <c r="PRT64" s="94"/>
      <c r="PRU64" s="94"/>
      <c r="PRV64" s="94"/>
      <c r="PRW64" s="94"/>
      <c r="PRX64" s="94"/>
      <c r="PRY64" s="94"/>
      <c r="PRZ64" s="94"/>
      <c r="PSA64" s="94"/>
      <c r="PSB64" s="94"/>
      <c r="PSC64" s="94"/>
      <c r="PSD64" s="94"/>
      <c r="PSE64" s="94"/>
      <c r="PSF64" s="94"/>
      <c r="PSG64" s="94"/>
      <c r="PSH64" s="94"/>
      <c r="PSI64" s="94"/>
      <c r="PSJ64" s="94"/>
      <c r="PSK64" s="94"/>
      <c r="PSL64" s="94"/>
      <c r="PSM64" s="94"/>
      <c r="PSN64" s="94"/>
      <c r="PSO64" s="94"/>
      <c r="PSP64" s="94"/>
      <c r="PSQ64" s="94"/>
      <c r="PSR64" s="94"/>
      <c r="PSS64" s="94"/>
      <c r="PST64" s="94"/>
      <c r="PSU64" s="94"/>
      <c r="PSV64" s="94"/>
      <c r="PSW64" s="94"/>
      <c r="PSX64" s="94"/>
      <c r="PSY64" s="94"/>
      <c r="PSZ64" s="94"/>
      <c r="PTA64" s="94"/>
      <c r="PTB64" s="94"/>
      <c r="PTC64" s="94"/>
      <c r="PTD64" s="94"/>
      <c r="PTE64" s="94"/>
      <c r="PTF64" s="94"/>
      <c r="PTG64" s="94"/>
      <c r="PTH64" s="94"/>
      <c r="PTI64" s="94"/>
      <c r="PTJ64" s="94"/>
      <c r="PTK64" s="94"/>
      <c r="PTL64" s="94"/>
      <c r="PTM64" s="94"/>
      <c r="PTN64" s="94"/>
      <c r="PTO64" s="94"/>
      <c r="PTP64" s="94"/>
      <c r="PTQ64" s="94"/>
      <c r="PTR64" s="94"/>
      <c r="PTS64" s="94"/>
      <c r="PTT64" s="94"/>
      <c r="PTU64" s="94"/>
      <c r="PTV64" s="94"/>
      <c r="PTW64" s="94"/>
      <c r="PTX64" s="94"/>
      <c r="PTY64" s="94"/>
      <c r="PTZ64" s="94"/>
      <c r="PUA64" s="94"/>
      <c r="PUB64" s="94"/>
      <c r="PUC64" s="94"/>
      <c r="PUD64" s="94"/>
      <c r="PUE64" s="94"/>
      <c r="PUF64" s="94"/>
      <c r="PUG64" s="94"/>
      <c r="PUH64" s="94"/>
      <c r="PUI64" s="94"/>
      <c r="PUJ64" s="94"/>
      <c r="PUK64" s="94"/>
      <c r="PUL64" s="94"/>
      <c r="PUM64" s="94"/>
      <c r="PUN64" s="94"/>
      <c r="PUO64" s="94"/>
      <c r="PUP64" s="94"/>
      <c r="PUQ64" s="94"/>
      <c r="PUR64" s="94"/>
      <c r="PUS64" s="94"/>
      <c r="PUT64" s="94"/>
      <c r="PUU64" s="94"/>
      <c r="PUV64" s="94"/>
      <c r="PUW64" s="94"/>
      <c r="PUX64" s="94"/>
      <c r="PUY64" s="94"/>
      <c r="PUZ64" s="94"/>
      <c r="PVA64" s="94"/>
      <c r="PVB64" s="94"/>
      <c r="PVC64" s="94"/>
      <c r="PVD64" s="94"/>
      <c r="PVE64" s="94"/>
      <c r="PVF64" s="94"/>
      <c r="PVG64" s="94"/>
      <c r="PVH64" s="94"/>
      <c r="PVI64" s="94"/>
      <c r="PVJ64" s="94"/>
      <c r="PVK64" s="94"/>
      <c r="PVL64" s="94"/>
      <c r="PVM64" s="94"/>
      <c r="PVN64" s="94"/>
      <c r="PVO64" s="94"/>
      <c r="PVP64" s="94"/>
      <c r="PVQ64" s="94"/>
      <c r="PVR64" s="94"/>
      <c r="PVS64" s="94"/>
      <c r="PVT64" s="94"/>
      <c r="PVU64" s="94"/>
      <c r="PVV64" s="94"/>
      <c r="PVW64" s="94"/>
      <c r="PVX64" s="94"/>
      <c r="PVY64" s="94"/>
      <c r="PVZ64" s="94"/>
      <c r="PWA64" s="94"/>
      <c r="PWB64" s="94"/>
      <c r="PWC64" s="94"/>
      <c r="PWD64" s="94"/>
      <c r="PWE64" s="94"/>
      <c r="PWF64" s="94"/>
      <c r="PWG64" s="94"/>
      <c r="PWH64" s="94"/>
      <c r="PWI64" s="94"/>
      <c r="PWJ64" s="94"/>
      <c r="PWK64" s="94"/>
      <c r="PWL64" s="94"/>
      <c r="PWM64" s="94"/>
      <c r="PWN64" s="94"/>
      <c r="PWO64" s="94"/>
      <c r="PWP64" s="94"/>
      <c r="PWQ64" s="94"/>
      <c r="PWR64" s="94"/>
      <c r="PWS64" s="94"/>
      <c r="PWT64" s="94"/>
      <c r="PWU64" s="94"/>
      <c r="PWV64" s="94"/>
      <c r="PWW64" s="94"/>
      <c r="PWX64" s="94"/>
      <c r="PWY64" s="94"/>
      <c r="PWZ64" s="94"/>
      <c r="PXA64" s="94"/>
      <c r="PXB64" s="94"/>
      <c r="PXC64" s="94"/>
      <c r="PXD64" s="94"/>
      <c r="PXE64" s="94"/>
      <c r="PXF64" s="94"/>
      <c r="PXG64" s="94"/>
      <c r="PXH64" s="94"/>
      <c r="PXI64" s="94"/>
      <c r="PXJ64" s="94"/>
      <c r="PXK64" s="94"/>
      <c r="PXL64" s="94"/>
      <c r="PXM64" s="94"/>
      <c r="PXN64" s="94"/>
      <c r="PXO64" s="94"/>
      <c r="PXP64" s="94"/>
      <c r="PXQ64" s="94"/>
      <c r="PXR64" s="94"/>
      <c r="PXS64" s="94"/>
      <c r="PXT64" s="94"/>
      <c r="PXU64" s="94"/>
      <c r="PXV64" s="94"/>
      <c r="PXW64" s="94"/>
      <c r="PXX64" s="94"/>
      <c r="PXY64" s="94"/>
      <c r="PXZ64" s="94"/>
      <c r="PYA64" s="94"/>
      <c r="PYB64" s="94"/>
      <c r="PYC64" s="94"/>
      <c r="PYD64" s="94"/>
      <c r="PYE64" s="94"/>
      <c r="PYF64" s="94"/>
      <c r="PYG64" s="94"/>
      <c r="PYH64" s="94"/>
      <c r="PYI64" s="94"/>
      <c r="PYJ64" s="94"/>
      <c r="PYK64" s="94"/>
      <c r="PYL64" s="94"/>
      <c r="PYM64" s="94"/>
      <c r="PYN64" s="94"/>
      <c r="PYO64" s="94"/>
      <c r="PYP64" s="94"/>
      <c r="PYQ64" s="94"/>
      <c r="PYR64" s="94"/>
      <c r="PYS64" s="94"/>
      <c r="PYT64" s="94"/>
      <c r="PYU64" s="94"/>
      <c r="PYV64" s="94"/>
      <c r="PYW64" s="94"/>
      <c r="PYX64" s="94"/>
      <c r="PYY64" s="94"/>
      <c r="PYZ64" s="94"/>
      <c r="PZA64" s="94"/>
      <c r="PZB64" s="94"/>
      <c r="PZC64" s="94"/>
      <c r="PZD64" s="94"/>
      <c r="PZE64" s="94"/>
      <c r="PZF64" s="94"/>
      <c r="PZG64" s="94"/>
      <c r="PZH64" s="94"/>
      <c r="PZI64" s="94"/>
      <c r="PZJ64" s="94"/>
      <c r="PZK64" s="94"/>
      <c r="PZL64" s="94"/>
      <c r="PZM64" s="94"/>
      <c r="PZN64" s="94"/>
      <c r="PZO64" s="94"/>
      <c r="PZP64" s="94"/>
      <c r="PZQ64" s="94"/>
      <c r="PZR64" s="94"/>
      <c r="PZS64" s="94"/>
      <c r="PZT64" s="94"/>
      <c r="PZU64" s="94"/>
      <c r="PZV64" s="94"/>
      <c r="PZW64" s="94"/>
      <c r="PZX64" s="94"/>
      <c r="PZY64" s="94"/>
      <c r="PZZ64" s="94"/>
      <c r="QAA64" s="94"/>
      <c r="QAB64" s="94"/>
      <c r="QAC64" s="94"/>
      <c r="QAD64" s="94"/>
      <c r="QAE64" s="94"/>
      <c r="QAF64" s="94"/>
      <c r="QAG64" s="94"/>
      <c r="QAH64" s="94"/>
      <c r="QAI64" s="94"/>
      <c r="QAJ64" s="94"/>
      <c r="QAK64" s="94"/>
      <c r="QAL64" s="94"/>
      <c r="QAM64" s="94"/>
      <c r="QAN64" s="94"/>
      <c r="QAO64" s="94"/>
      <c r="QAP64" s="94"/>
      <c r="QAQ64" s="94"/>
      <c r="QAR64" s="94"/>
      <c r="QAS64" s="94"/>
      <c r="QAT64" s="94"/>
      <c r="QAU64" s="94"/>
      <c r="QAV64" s="94"/>
      <c r="QAW64" s="94"/>
      <c r="QAX64" s="94"/>
      <c r="QAY64" s="94"/>
      <c r="QAZ64" s="94"/>
      <c r="QBA64" s="94"/>
      <c r="QBB64" s="94"/>
      <c r="QBC64" s="94"/>
      <c r="QBD64" s="94"/>
      <c r="QBE64" s="94"/>
      <c r="QBF64" s="94"/>
      <c r="QBG64" s="94"/>
      <c r="QBH64" s="94"/>
      <c r="QBI64" s="94"/>
      <c r="QBJ64" s="94"/>
      <c r="QBK64" s="94"/>
      <c r="QBL64" s="94"/>
      <c r="QBM64" s="94"/>
      <c r="QBN64" s="94"/>
      <c r="QBO64" s="94"/>
      <c r="QBP64" s="94"/>
      <c r="QBQ64" s="94"/>
      <c r="QBR64" s="94"/>
      <c r="QBS64" s="94"/>
      <c r="QBT64" s="94"/>
      <c r="QBU64" s="94"/>
      <c r="QBV64" s="94"/>
      <c r="QBW64" s="94"/>
      <c r="QBX64" s="94"/>
      <c r="QBY64" s="94"/>
      <c r="QBZ64" s="94"/>
      <c r="QCA64" s="94"/>
      <c r="QCB64" s="94"/>
      <c r="QCC64" s="94"/>
      <c r="QCD64" s="94"/>
      <c r="QCE64" s="94"/>
      <c r="QCF64" s="94"/>
      <c r="QCG64" s="94"/>
      <c r="QCH64" s="94"/>
      <c r="QCI64" s="94"/>
      <c r="QCJ64" s="94"/>
      <c r="QCK64" s="94"/>
      <c r="QCL64" s="94"/>
      <c r="QCM64" s="94"/>
      <c r="QCN64" s="94"/>
      <c r="QCO64" s="94"/>
      <c r="QCP64" s="94"/>
      <c r="QCQ64" s="94"/>
      <c r="QCR64" s="94"/>
      <c r="QCS64" s="94"/>
      <c r="QCT64" s="94"/>
      <c r="QCU64" s="94"/>
      <c r="QCV64" s="94"/>
      <c r="QCW64" s="94"/>
      <c r="QCX64" s="94"/>
      <c r="QCY64" s="94"/>
      <c r="QCZ64" s="94"/>
      <c r="QDA64" s="94"/>
      <c r="QDB64" s="94"/>
      <c r="QDC64" s="94"/>
      <c r="QDD64" s="94"/>
      <c r="QDE64" s="94"/>
      <c r="QDF64" s="94"/>
      <c r="QDG64" s="94"/>
      <c r="QDH64" s="94"/>
      <c r="QDI64" s="94"/>
      <c r="QDJ64" s="94"/>
      <c r="QDK64" s="94"/>
      <c r="QDL64" s="94"/>
      <c r="QDM64" s="94"/>
      <c r="QDN64" s="94"/>
      <c r="QDO64" s="94"/>
      <c r="QDP64" s="94"/>
      <c r="QDQ64" s="94"/>
      <c r="QDR64" s="94"/>
      <c r="QDS64" s="94"/>
      <c r="QDT64" s="94"/>
      <c r="QDU64" s="94"/>
      <c r="QDV64" s="94"/>
      <c r="QDW64" s="94"/>
      <c r="QDX64" s="94"/>
      <c r="QDY64" s="94"/>
      <c r="QDZ64" s="94"/>
      <c r="QEA64" s="94"/>
      <c r="QEB64" s="94"/>
      <c r="QEC64" s="94"/>
      <c r="QED64" s="94"/>
      <c r="QEE64" s="94"/>
      <c r="QEF64" s="94"/>
      <c r="QEG64" s="94"/>
      <c r="QEH64" s="94"/>
      <c r="QEI64" s="94"/>
      <c r="QEJ64" s="94"/>
      <c r="QEK64" s="94"/>
      <c r="QEL64" s="94"/>
      <c r="QEM64" s="94"/>
      <c r="QEN64" s="94"/>
      <c r="QEO64" s="94"/>
      <c r="QEP64" s="94"/>
      <c r="QEQ64" s="94"/>
      <c r="QER64" s="94"/>
      <c r="QES64" s="94"/>
      <c r="QET64" s="94"/>
      <c r="QEU64" s="94"/>
      <c r="QEV64" s="94"/>
      <c r="QEW64" s="94"/>
      <c r="QEX64" s="94"/>
      <c r="QEY64" s="94"/>
      <c r="QEZ64" s="94"/>
      <c r="QFA64" s="94"/>
      <c r="QFB64" s="94"/>
      <c r="QFC64" s="94"/>
      <c r="QFD64" s="94"/>
      <c r="QFE64" s="94"/>
      <c r="QFF64" s="94"/>
      <c r="QFG64" s="94"/>
      <c r="QFH64" s="94"/>
      <c r="QFI64" s="94"/>
      <c r="QFJ64" s="94"/>
      <c r="QFK64" s="94"/>
      <c r="QFL64" s="94"/>
      <c r="QFM64" s="94"/>
      <c r="QFN64" s="94"/>
      <c r="QFO64" s="94"/>
      <c r="QFP64" s="94"/>
      <c r="QFQ64" s="94"/>
      <c r="QFR64" s="94"/>
      <c r="QFS64" s="94"/>
      <c r="QFT64" s="94"/>
      <c r="QFU64" s="94"/>
      <c r="QFV64" s="94"/>
      <c r="QFW64" s="94"/>
      <c r="QFX64" s="94"/>
      <c r="QFY64" s="94"/>
      <c r="QFZ64" s="94"/>
      <c r="QGA64" s="94"/>
      <c r="QGB64" s="94"/>
      <c r="QGC64" s="94"/>
      <c r="QGD64" s="94"/>
      <c r="QGE64" s="94"/>
      <c r="QGF64" s="94"/>
      <c r="QGG64" s="94"/>
      <c r="QGH64" s="94"/>
      <c r="QGI64" s="94"/>
      <c r="QGJ64" s="94"/>
      <c r="QGK64" s="94"/>
      <c r="QGL64" s="94"/>
      <c r="QGM64" s="94"/>
      <c r="QGN64" s="94"/>
      <c r="QGO64" s="94"/>
      <c r="QGP64" s="94"/>
      <c r="QGQ64" s="94"/>
      <c r="QGR64" s="94"/>
      <c r="QGS64" s="94"/>
      <c r="QGT64" s="94"/>
      <c r="QGU64" s="94"/>
      <c r="QGV64" s="94"/>
      <c r="QGW64" s="94"/>
      <c r="QGX64" s="94"/>
      <c r="QGY64" s="94"/>
      <c r="QGZ64" s="94"/>
      <c r="QHA64" s="94"/>
      <c r="QHB64" s="94"/>
      <c r="QHC64" s="94"/>
      <c r="QHD64" s="94"/>
      <c r="QHE64" s="94"/>
      <c r="QHF64" s="94"/>
      <c r="QHG64" s="94"/>
      <c r="QHH64" s="94"/>
      <c r="QHI64" s="94"/>
      <c r="QHJ64" s="94"/>
      <c r="QHK64" s="94"/>
      <c r="QHL64" s="94"/>
      <c r="QHM64" s="94"/>
      <c r="QHN64" s="94"/>
      <c r="QHO64" s="94"/>
      <c r="QHP64" s="94"/>
      <c r="QHQ64" s="94"/>
      <c r="QHR64" s="94"/>
      <c r="QHS64" s="94"/>
      <c r="QHT64" s="94"/>
      <c r="QHU64" s="94"/>
      <c r="QHV64" s="94"/>
      <c r="QHW64" s="94"/>
      <c r="QHX64" s="94"/>
      <c r="QHY64" s="94"/>
      <c r="QHZ64" s="94"/>
      <c r="QIA64" s="94"/>
      <c r="QIB64" s="94"/>
      <c r="QIC64" s="94"/>
      <c r="QID64" s="94"/>
      <c r="QIE64" s="94"/>
      <c r="QIF64" s="94"/>
      <c r="QIG64" s="94"/>
      <c r="QIH64" s="94"/>
      <c r="QII64" s="94"/>
      <c r="QIJ64" s="94"/>
      <c r="QIK64" s="94"/>
      <c r="QIL64" s="94"/>
      <c r="QIM64" s="94"/>
      <c r="QIN64" s="94"/>
      <c r="QIO64" s="94"/>
      <c r="QIP64" s="94"/>
      <c r="QIQ64" s="94"/>
      <c r="QIR64" s="94"/>
      <c r="QIS64" s="94"/>
      <c r="QIT64" s="94"/>
      <c r="QIU64" s="94"/>
      <c r="QIV64" s="94"/>
      <c r="QIW64" s="94"/>
      <c r="QIX64" s="94"/>
      <c r="QIY64" s="94"/>
      <c r="QIZ64" s="94"/>
      <c r="QJA64" s="94"/>
      <c r="QJB64" s="94"/>
      <c r="QJC64" s="94"/>
      <c r="QJD64" s="94"/>
      <c r="QJE64" s="94"/>
      <c r="QJF64" s="94"/>
      <c r="QJG64" s="94"/>
      <c r="QJH64" s="94"/>
      <c r="QJI64" s="94"/>
      <c r="QJJ64" s="94"/>
      <c r="QJK64" s="94"/>
      <c r="QJL64" s="94"/>
      <c r="QJM64" s="94"/>
      <c r="QJN64" s="94"/>
      <c r="QJO64" s="94"/>
      <c r="QJP64" s="94"/>
      <c r="QJQ64" s="94"/>
      <c r="QJR64" s="94"/>
      <c r="QJS64" s="94"/>
      <c r="QJT64" s="94"/>
      <c r="QJU64" s="94"/>
      <c r="QJV64" s="94"/>
      <c r="QJW64" s="94"/>
      <c r="QJX64" s="94"/>
      <c r="QJY64" s="94"/>
      <c r="QJZ64" s="94"/>
      <c r="QKA64" s="94"/>
      <c r="QKB64" s="94"/>
      <c r="QKC64" s="94"/>
      <c r="QKD64" s="94"/>
      <c r="QKE64" s="94"/>
      <c r="QKF64" s="94"/>
      <c r="QKG64" s="94"/>
      <c r="QKH64" s="94"/>
      <c r="QKI64" s="94"/>
      <c r="QKJ64" s="94"/>
      <c r="QKK64" s="94"/>
      <c r="QKL64" s="94"/>
      <c r="QKM64" s="94"/>
      <c r="QKN64" s="94"/>
      <c r="QKO64" s="94"/>
      <c r="QKP64" s="94"/>
      <c r="QKQ64" s="94"/>
      <c r="QKR64" s="94"/>
      <c r="QKS64" s="94"/>
      <c r="QKT64" s="94"/>
      <c r="QKU64" s="94"/>
      <c r="QKV64" s="94"/>
      <c r="QKW64" s="94"/>
      <c r="QKX64" s="94"/>
      <c r="QKY64" s="94"/>
      <c r="QKZ64" s="94"/>
      <c r="QLA64" s="94"/>
      <c r="QLB64" s="94"/>
      <c r="QLC64" s="94"/>
      <c r="QLD64" s="94"/>
      <c r="QLE64" s="94"/>
      <c r="QLF64" s="94"/>
      <c r="QLG64" s="94"/>
      <c r="QLH64" s="94"/>
      <c r="QLI64" s="94"/>
      <c r="QLJ64" s="94"/>
      <c r="QLK64" s="94"/>
      <c r="QLL64" s="94"/>
      <c r="QLM64" s="94"/>
      <c r="QLN64" s="94"/>
      <c r="QLO64" s="94"/>
      <c r="QLP64" s="94"/>
      <c r="QLQ64" s="94"/>
      <c r="QLR64" s="94"/>
      <c r="QLS64" s="94"/>
      <c r="QLT64" s="94"/>
      <c r="QLU64" s="94"/>
      <c r="QLV64" s="94"/>
      <c r="QLW64" s="94"/>
      <c r="QLX64" s="94"/>
      <c r="QLY64" s="94"/>
      <c r="QLZ64" s="94"/>
      <c r="QMA64" s="94"/>
      <c r="QMB64" s="94"/>
      <c r="QMC64" s="94"/>
      <c r="QMD64" s="94"/>
      <c r="QME64" s="94"/>
      <c r="QMF64" s="94"/>
      <c r="QMG64" s="94"/>
      <c r="QMH64" s="94"/>
      <c r="QMI64" s="94"/>
      <c r="QMJ64" s="94"/>
      <c r="QMK64" s="94"/>
      <c r="QML64" s="94"/>
      <c r="QMM64" s="94"/>
      <c r="QMN64" s="94"/>
      <c r="QMO64" s="94"/>
      <c r="QMP64" s="94"/>
      <c r="QMQ64" s="94"/>
      <c r="QMR64" s="94"/>
      <c r="QMS64" s="94"/>
      <c r="QMT64" s="94"/>
      <c r="QMU64" s="94"/>
      <c r="QMV64" s="94"/>
      <c r="QMW64" s="94"/>
      <c r="QMX64" s="94"/>
      <c r="QMY64" s="94"/>
      <c r="QMZ64" s="94"/>
      <c r="QNA64" s="94"/>
      <c r="QNB64" s="94"/>
      <c r="QNC64" s="94"/>
      <c r="QND64" s="94"/>
      <c r="QNE64" s="94"/>
      <c r="QNF64" s="94"/>
      <c r="QNG64" s="94"/>
      <c r="QNH64" s="94"/>
      <c r="QNI64" s="94"/>
      <c r="QNJ64" s="94"/>
      <c r="QNK64" s="94"/>
      <c r="QNL64" s="94"/>
      <c r="QNM64" s="94"/>
      <c r="QNN64" s="94"/>
      <c r="QNO64" s="94"/>
      <c r="QNP64" s="94"/>
      <c r="QNQ64" s="94"/>
      <c r="QNR64" s="94"/>
      <c r="QNS64" s="94"/>
      <c r="QNT64" s="94"/>
      <c r="QNU64" s="94"/>
      <c r="QNV64" s="94"/>
      <c r="QNW64" s="94"/>
      <c r="QNX64" s="94"/>
      <c r="QNY64" s="94"/>
      <c r="QNZ64" s="94"/>
      <c r="QOA64" s="94"/>
      <c r="QOB64" s="94"/>
      <c r="QOC64" s="94"/>
      <c r="QOD64" s="94"/>
      <c r="QOE64" s="94"/>
      <c r="QOF64" s="94"/>
      <c r="QOG64" s="94"/>
      <c r="QOH64" s="94"/>
      <c r="QOI64" s="94"/>
      <c r="QOJ64" s="94"/>
      <c r="QOK64" s="94"/>
      <c r="QOL64" s="94"/>
      <c r="QOM64" s="94"/>
      <c r="QON64" s="94"/>
      <c r="QOO64" s="94"/>
      <c r="QOP64" s="94"/>
      <c r="QOQ64" s="94"/>
      <c r="QOR64" s="94"/>
      <c r="QOS64" s="94"/>
      <c r="QOT64" s="94"/>
      <c r="QOU64" s="94"/>
      <c r="QOV64" s="94"/>
      <c r="QOW64" s="94"/>
      <c r="QOX64" s="94"/>
      <c r="QOY64" s="94"/>
      <c r="QOZ64" s="94"/>
      <c r="QPA64" s="94"/>
      <c r="QPB64" s="94"/>
      <c r="QPC64" s="94"/>
      <c r="QPD64" s="94"/>
      <c r="QPE64" s="94"/>
      <c r="QPF64" s="94"/>
      <c r="QPG64" s="94"/>
      <c r="QPH64" s="94"/>
      <c r="QPI64" s="94"/>
      <c r="QPJ64" s="94"/>
      <c r="QPK64" s="94"/>
      <c r="QPL64" s="94"/>
      <c r="QPM64" s="94"/>
      <c r="QPN64" s="94"/>
      <c r="QPO64" s="94"/>
      <c r="QPP64" s="94"/>
      <c r="QPQ64" s="94"/>
      <c r="QPR64" s="94"/>
      <c r="QPS64" s="94"/>
      <c r="QPT64" s="94"/>
      <c r="QPU64" s="94"/>
      <c r="QPV64" s="94"/>
      <c r="QPW64" s="94"/>
      <c r="QPX64" s="94"/>
      <c r="QPY64" s="94"/>
      <c r="QPZ64" s="94"/>
      <c r="QQA64" s="94"/>
      <c r="QQB64" s="94"/>
      <c r="QQC64" s="94"/>
      <c r="QQD64" s="94"/>
      <c r="QQE64" s="94"/>
      <c r="QQF64" s="94"/>
      <c r="QQG64" s="94"/>
      <c r="QQH64" s="94"/>
      <c r="QQI64" s="94"/>
      <c r="QQJ64" s="94"/>
      <c r="QQK64" s="94"/>
      <c r="QQL64" s="94"/>
      <c r="QQM64" s="94"/>
      <c r="QQN64" s="94"/>
      <c r="QQO64" s="94"/>
      <c r="QQP64" s="94"/>
      <c r="QQQ64" s="94"/>
      <c r="QQR64" s="94"/>
      <c r="QQS64" s="94"/>
      <c r="QQT64" s="94"/>
      <c r="QQU64" s="94"/>
      <c r="QQV64" s="94"/>
      <c r="QQW64" s="94"/>
      <c r="QQX64" s="94"/>
      <c r="QQY64" s="94"/>
      <c r="QQZ64" s="94"/>
      <c r="QRA64" s="94"/>
      <c r="QRB64" s="94"/>
      <c r="QRC64" s="94"/>
      <c r="QRD64" s="94"/>
      <c r="QRE64" s="94"/>
      <c r="QRF64" s="94"/>
      <c r="QRG64" s="94"/>
      <c r="QRH64" s="94"/>
      <c r="QRI64" s="94"/>
      <c r="QRJ64" s="94"/>
      <c r="QRK64" s="94"/>
      <c r="QRL64" s="94"/>
      <c r="QRM64" s="94"/>
      <c r="QRN64" s="94"/>
      <c r="QRO64" s="94"/>
      <c r="QRP64" s="94"/>
      <c r="QRQ64" s="94"/>
      <c r="QRR64" s="94"/>
      <c r="QRS64" s="94"/>
      <c r="QRT64" s="94"/>
      <c r="QRU64" s="94"/>
      <c r="QRV64" s="94"/>
      <c r="QRW64" s="94"/>
      <c r="QRX64" s="94"/>
      <c r="QRY64" s="94"/>
      <c r="QRZ64" s="94"/>
      <c r="QSA64" s="94"/>
      <c r="QSB64" s="94"/>
      <c r="QSC64" s="94"/>
      <c r="QSD64" s="94"/>
      <c r="QSE64" s="94"/>
      <c r="QSF64" s="94"/>
      <c r="QSG64" s="94"/>
      <c r="QSH64" s="94"/>
      <c r="QSI64" s="94"/>
      <c r="QSJ64" s="94"/>
      <c r="QSK64" s="94"/>
      <c r="QSL64" s="94"/>
      <c r="QSM64" s="94"/>
      <c r="QSN64" s="94"/>
      <c r="QSO64" s="94"/>
      <c r="QSP64" s="94"/>
      <c r="QSQ64" s="94"/>
      <c r="QSR64" s="94"/>
      <c r="QSS64" s="94"/>
      <c r="QST64" s="94"/>
      <c r="QSU64" s="94"/>
      <c r="QSV64" s="94"/>
      <c r="QSW64" s="94"/>
      <c r="QSX64" s="94"/>
      <c r="QSY64" s="94"/>
      <c r="QSZ64" s="94"/>
      <c r="QTA64" s="94"/>
      <c r="QTB64" s="94"/>
      <c r="QTC64" s="94"/>
      <c r="QTD64" s="94"/>
      <c r="QTE64" s="94"/>
      <c r="QTF64" s="94"/>
      <c r="QTG64" s="94"/>
      <c r="QTH64" s="94"/>
      <c r="QTI64" s="94"/>
      <c r="QTJ64" s="94"/>
      <c r="QTK64" s="94"/>
      <c r="QTL64" s="94"/>
      <c r="QTM64" s="94"/>
      <c r="QTN64" s="94"/>
      <c r="QTO64" s="94"/>
      <c r="QTP64" s="94"/>
      <c r="QTQ64" s="94"/>
      <c r="QTR64" s="94"/>
      <c r="QTS64" s="94"/>
      <c r="QTT64" s="94"/>
      <c r="QTU64" s="94"/>
      <c r="QTV64" s="94"/>
      <c r="QTW64" s="94"/>
      <c r="QTX64" s="94"/>
      <c r="QTY64" s="94"/>
      <c r="QTZ64" s="94"/>
      <c r="QUA64" s="94"/>
      <c r="QUB64" s="94"/>
      <c r="QUC64" s="94"/>
      <c r="QUD64" s="94"/>
      <c r="QUE64" s="94"/>
      <c r="QUF64" s="94"/>
      <c r="QUG64" s="94"/>
      <c r="QUH64" s="94"/>
      <c r="QUI64" s="94"/>
      <c r="QUJ64" s="94"/>
      <c r="QUK64" s="94"/>
      <c r="QUL64" s="94"/>
      <c r="QUM64" s="94"/>
      <c r="QUN64" s="94"/>
      <c r="QUO64" s="94"/>
      <c r="QUP64" s="94"/>
      <c r="QUQ64" s="94"/>
      <c r="QUR64" s="94"/>
      <c r="QUS64" s="94"/>
      <c r="QUT64" s="94"/>
      <c r="QUU64" s="94"/>
      <c r="QUV64" s="94"/>
      <c r="QUW64" s="94"/>
      <c r="QUX64" s="94"/>
      <c r="QUY64" s="94"/>
      <c r="QUZ64" s="94"/>
      <c r="QVA64" s="94"/>
      <c r="QVB64" s="94"/>
      <c r="QVC64" s="94"/>
      <c r="QVD64" s="94"/>
      <c r="QVE64" s="94"/>
      <c r="QVF64" s="94"/>
      <c r="QVG64" s="94"/>
      <c r="QVH64" s="94"/>
      <c r="QVI64" s="94"/>
      <c r="QVJ64" s="94"/>
      <c r="QVK64" s="94"/>
      <c r="QVL64" s="94"/>
      <c r="QVM64" s="94"/>
      <c r="QVN64" s="94"/>
      <c r="QVO64" s="94"/>
      <c r="QVP64" s="94"/>
      <c r="QVQ64" s="94"/>
      <c r="QVR64" s="94"/>
      <c r="QVS64" s="94"/>
      <c r="QVT64" s="94"/>
      <c r="QVU64" s="94"/>
      <c r="QVV64" s="94"/>
      <c r="QVW64" s="94"/>
      <c r="QVX64" s="94"/>
      <c r="QVY64" s="94"/>
      <c r="QVZ64" s="94"/>
      <c r="QWA64" s="94"/>
      <c r="QWB64" s="94"/>
      <c r="QWC64" s="94"/>
      <c r="QWD64" s="94"/>
      <c r="QWE64" s="94"/>
      <c r="QWF64" s="94"/>
      <c r="QWG64" s="94"/>
      <c r="QWH64" s="94"/>
      <c r="QWI64" s="94"/>
      <c r="QWJ64" s="94"/>
      <c r="QWK64" s="94"/>
      <c r="QWL64" s="94"/>
      <c r="QWM64" s="94"/>
      <c r="QWN64" s="94"/>
      <c r="QWO64" s="94"/>
      <c r="QWP64" s="94"/>
      <c r="QWQ64" s="94"/>
      <c r="QWR64" s="94"/>
      <c r="QWS64" s="94"/>
      <c r="QWT64" s="94"/>
      <c r="QWU64" s="94"/>
      <c r="QWV64" s="94"/>
      <c r="QWW64" s="94"/>
      <c r="QWX64" s="94"/>
      <c r="QWY64" s="94"/>
      <c r="QWZ64" s="94"/>
      <c r="QXA64" s="94"/>
      <c r="QXB64" s="94"/>
      <c r="QXC64" s="94"/>
      <c r="QXD64" s="94"/>
      <c r="QXE64" s="94"/>
      <c r="QXF64" s="94"/>
      <c r="QXG64" s="94"/>
      <c r="QXH64" s="94"/>
      <c r="QXI64" s="94"/>
      <c r="QXJ64" s="94"/>
      <c r="QXK64" s="94"/>
      <c r="QXL64" s="94"/>
      <c r="QXM64" s="94"/>
      <c r="QXN64" s="94"/>
      <c r="QXO64" s="94"/>
      <c r="QXP64" s="94"/>
      <c r="QXQ64" s="94"/>
      <c r="QXR64" s="94"/>
      <c r="QXS64" s="94"/>
      <c r="QXT64" s="94"/>
      <c r="QXU64" s="94"/>
      <c r="QXV64" s="94"/>
      <c r="QXW64" s="94"/>
      <c r="QXX64" s="94"/>
      <c r="QXY64" s="94"/>
      <c r="QXZ64" s="94"/>
      <c r="QYA64" s="94"/>
      <c r="QYB64" s="94"/>
      <c r="QYC64" s="94"/>
      <c r="QYD64" s="94"/>
      <c r="QYE64" s="94"/>
      <c r="QYF64" s="94"/>
      <c r="QYG64" s="94"/>
      <c r="QYH64" s="94"/>
      <c r="QYI64" s="94"/>
      <c r="QYJ64" s="94"/>
      <c r="QYK64" s="94"/>
      <c r="QYL64" s="94"/>
      <c r="QYM64" s="94"/>
      <c r="QYN64" s="94"/>
      <c r="QYO64" s="94"/>
      <c r="QYP64" s="94"/>
      <c r="QYQ64" s="94"/>
      <c r="QYR64" s="94"/>
      <c r="QYS64" s="94"/>
      <c r="QYT64" s="94"/>
      <c r="QYU64" s="94"/>
      <c r="QYV64" s="94"/>
      <c r="QYW64" s="94"/>
      <c r="QYX64" s="94"/>
      <c r="QYY64" s="94"/>
      <c r="QYZ64" s="94"/>
      <c r="QZA64" s="94"/>
      <c r="QZB64" s="94"/>
      <c r="QZC64" s="94"/>
      <c r="QZD64" s="94"/>
      <c r="QZE64" s="94"/>
      <c r="QZF64" s="94"/>
      <c r="QZG64" s="94"/>
      <c r="QZH64" s="94"/>
      <c r="QZI64" s="94"/>
      <c r="QZJ64" s="94"/>
      <c r="QZK64" s="94"/>
      <c r="QZL64" s="94"/>
      <c r="QZM64" s="94"/>
      <c r="QZN64" s="94"/>
      <c r="QZO64" s="94"/>
      <c r="QZP64" s="94"/>
      <c r="QZQ64" s="94"/>
      <c r="QZR64" s="94"/>
      <c r="QZS64" s="94"/>
      <c r="QZT64" s="94"/>
      <c r="QZU64" s="94"/>
      <c r="QZV64" s="94"/>
      <c r="QZW64" s="94"/>
      <c r="QZX64" s="94"/>
      <c r="QZY64" s="94"/>
      <c r="QZZ64" s="94"/>
      <c r="RAA64" s="94"/>
      <c r="RAB64" s="94"/>
      <c r="RAC64" s="94"/>
      <c r="RAD64" s="94"/>
      <c r="RAE64" s="94"/>
      <c r="RAF64" s="94"/>
      <c r="RAG64" s="94"/>
      <c r="RAH64" s="94"/>
      <c r="RAI64" s="94"/>
      <c r="RAJ64" s="94"/>
      <c r="RAK64" s="94"/>
      <c r="RAL64" s="94"/>
      <c r="RAM64" s="94"/>
      <c r="RAN64" s="94"/>
      <c r="RAO64" s="94"/>
      <c r="RAP64" s="94"/>
      <c r="RAQ64" s="94"/>
      <c r="RAR64" s="94"/>
      <c r="RAS64" s="94"/>
      <c r="RAT64" s="94"/>
      <c r="RAU64" s="94"/>
      <c r="RAV64" s="94"/>
      <c r="RAW64" s="94"/>
      <c r="RAX64" s="94"/>
      <c r="RAY64" s="94"/>
      <c r="RAZ64" s="94"/>
      <c r="RBA64" s="94"/>
      <c r="RBB64" s="94"/>
      <c r="RBC64" s="94"/>
      <c r="RBD64" s="94"/>
      <c r="RBE64" s="94"/>
      <c r="RBF64" s="94"/>
      <c r="RBG64" s="94"/>
      <c r="RBH64" s="94"/>
      <c r="RBI64" s="94"/>
      <c r="RBJ64" s="94"/>
      <c r="RBK64" s="94"/>
      <c r="RBL64" s="94"/>
      <c r="RBM64" s="94"/>
      <c r="RBN64" s="94"/>
      <c r="RBO64" s="94"/>
      <c r="RBP64" s="94"/>
      <c r="RBQ64" s="94"/>
      <c r="RBR64" s="94"/>
      <c r="RBS64" s="94"/>
      <c r="RBT64" s="94"/>
      <c r="RBU64" s="94"/>
      <c r="RBV64" s="94"/>
      <c r="RBW64" s="94"/>
      <c r="RBX64" s="94"/>
      <c r="RBY64" s="94"/>
      <c r="RBZ64" s="94"/>
      <c r="RCA64" s="94"/>
      <c r="RCB64" s="94"/>
      <c r="RCC64" s="94"/>
      <c r="RCD64" s="94"/>
      <c r="RCE64" s="94"/>
      <c r="RCF64" s="94"/>
      <c r="RCG64" s="94"/>
      <c r="RCH64" s="94"/>
      <c r="RCI64" s="94"/>
      <c r="RCJ64" s="94"/>
      <c r="RCK64" s="94"/>
      <c r="RCL64" s="94"/>
      <c r="RCM64" s="94"/>
      <c r="RCN64" s="94"/>
      <c r="RCO64" s="94"/>
      <c r="RCP64" s="94"/>
      <c r="RCQ64" s="94"/>
      <c r="RCR64" s="94"/>
      <c r="RCS64" s="94"/>
      <c r="RCT64" s="94"/>
      <c r="RCU64" s="94"/>
      <c r="RCV64" s="94"/>
      <c r="RCW64" s="94"/>
      <c r="RCX64" s="94"/>
      <c r="RCY64" s="94"/>
      <c r="RCZ64" s="94"/>
      <c r="RDA64" s="94"/>
      <c r="RDB64" s="94"/>
      <c r="RDC64" s="94"/>
      <c r="RDD64" s="94"/>
      <c r="RDE64" s="94"/>
      <c r="RDF64" s="94"/>
      <c r="RDG64" s="94"/>
      <c r="RDH64" s="94"/>
      <c r="RDI64" s="94"/>
      <c r="RDJ64" s="94"/>
      <c r="RDK64" s="94"/>
      <c r="RDL64" s="94"/>
      <c r="RDM64" s="94"/>
      <c r="RDN64" s="94"/>
      <c r="RDO64" s="94"/>
      <c r="RDP64" s="94"/>
      <c r="RDQ64" s="94"/>
      <c r="RDR64" s="94"/>
      <c r="RDS64" s="94"/>
      <c r="RDT64" s="94"/>
      <c r="RDU64" s="94"/>
      <c r="RDV64" s="94"/>
      <c r="RDW64" s="94"/>
      <c r="RDX64" s="94"/>
      <c r="RDY64" s="94"/>
      <c r="RDZ64" s="94"/>
      <c r="REA64" s="94"/>
      <c r="REB64" s="94"/>
      <c r="REC64" s="94"/>
      <c r="RED64" s="94"/>
      <c r="REE64" s="94"/>
      <c r="REF64" s="94"/>
      <c r="REG64" s="94"/>
      <c r="REH64" s="94"/>
      <c r="REI64" s="94"/>
      <c r="REJ64" s="94"/>
      <c r="REK64" s="94"/>
      <c r="REL64" s="94"/>
      <c r="REM64" s="94"/>
      <c r="REN64" s="94"/>
      <c r="REO64" s="94"/>
      <c r="REP64" s="94"/>
      <c r="REQ64" s="94"/>
      <c r="RER64" s="94"/>
      <c r="RES64" s="94"/>
      <c r="RET64" s="94"/>
      <c r="REU64" s="94"/>
      <c r="REV64" s="94"/>
      <c r="REW64" s="94"/>
      <c r="REX64" s="94"/>
      <c r="REY64" s="94"/>
      <c r="REZ64" s="94"/>
      <c r="RFA64" s="94"/>
      <c r="RFB64" s="94"/>
      <c r="RFC64" s="94"/>
      <c r="RFD64" s="94"/>
      <c r="RFE64" s="94"/>
      <c r="RFF64" s="94"/>
      <c r="RFG64" s="94"/>
      <c r="RFH64" s="94"/>
      <c r="RFI64" s="94"/>
      <c r="RFJ64" s="94"/>
      <c r="RFK64" s="94"/>
      <c r="RFL64" s="94"/>
      <c r="RFM64" s="94"/>
      <c r="RFN64" s="94"/>
      <c r="RFO64" s="94"/>
      <c r="RFP64" s="94"/>
      <c r="RFQ64" s="94"/>
      <c r="RFR64" s="94"/>
      <c r="RFS64" s="94"/>
      <c r="RFT64" s="94"/>
      <c r="RFU64" s="94"/>
      <c r="RFV64" s="94"/>
      <c r="RFW64" s="94"/>
      <c r="RFX64" s="94"/>
      <c r="RFY64" s="94"/>
      <c r="RFZ64" s="94"/>
      <c r="RGA64" s="94"/>
      <c r="RGB64" s="94"/>
      <c r="RGC64" s="94"/>
      <c r="RGD64" s="94"/>
      <c r="RGE64" s="94"/>
      <c r="RGF64" s="94"/>
      <c r="RGG64" s="94"/>
      <c r="RGH64" s="94"/>
      <c r="RGI64" s="94"/>
      <c r="RGJ64" s="94"/>
      <c r="RGK64" s="94"/>
      <c r="RGL64" s="94"/>
      <c r="RGM64" s="94"/>
      <c r="RGN64" s="94"/>
      <c r="RGO64" s="94"/>
      <c r="RGP64" s="94"/>
      <c r="RGQ64" s="94"/>
      <c r="RGR64" s="94"/>
      <c r="RGS64" s="94"/>
      <c r="RGT64" s="94"/>
      <c r="RGU64" s="94"/>
      <c r="RGV64" s="94"/>
      <c r="RGW64" s="94"/>
      <c r="RGX64" s="94"/>
      <c r="RGY64" s="94"/>
      <c r="RGZ64" s="94"/>
      <c r="RHA64" s="94"/>
      <c r="RHB64" s="94"/>
      <c r="RHC64" s="94"/>
      <c r="RHD64" s="94"/>
      <c r="RHE64" s="94"/>
      <c r="RHF64" s="94"/>
      <c r="RHG64" s="94"/>
      <c r="RHH64" s="94"/>
      <c r="RHI64" s="94"/>
      <c r="RHJ64" s="94"/>
      <c r="RHK64" s="94"/>
      <c r="RHL64" s="94"/>
      <c r="RHM64" s="94"/>
      <c r="RHN64" s="94"/>
      <c r="RHO64" s="94"/>
      <c r="RHP64" s="94"/>
      <c r="RHQ64" s="94"/>
      <c r="RHR64" s="94"/>
      <c r="RHS64" s="94"/>
      <c r="RHT64" s="94"/>
      <c r="RHU64" s="94"/>
      <c r="RHV64" s="94"/>
      <c r="RHW64" s="94"/>
      <c r="RHX64" s="94"/>
      <c r="RHY64" s="94"/>
      <c r="RHZ64" s="94"/>
      <c r="RIA64" s="94"/>
      <c r="RIB64" s="94"/>
      <c r="RIC64" s="94"/>
      <c r="RID64" s="94"/>
      <c r="RIE64" s="94"/>
      <c r="RIF64" s="94"/>
      <c r="RIG64" s="94"/>
      <c r="RIH64" s="94"/>
      <c r="RII64" s="94"/>
      <c r="RIJ64" s="94"/>
      <c r="RIK64" s="94"/>
      <c r="RIL64" s="94"/>
      <c r="RIM64" s="94"/>
      <c r="RIN64" s="94"/>
      <c r="RIO64" s="94"/>
      <c r="RIP64" s="94"/>
      <c r="RIQ64" s="94"/>
      <c r="RIR64" s="94"/>
      <c r="RIS64" s="94"/>
      <c r="RIT64" s="94"/>
      <c r="RIU64" s="94"/>
      <c r="RIV64" s="94"/>
      <c r="RIW64" s="94"/>
      <c r="RIX64" s="94"/>
      <c r="RIY64" s="94"/>
      <c r="RIZ64" s="94"/>
      <c r="RJA64" s="94"/>
      <c r="RJB64" s="94"/>
      <c r="RJC64" s="94"/>
      <c r="RJD64" s="94"/>
      <c r="RJE64" s="94"/>
      <c r="RJF64" s="94"/>
      <c r="RJG64" s="94"/>
      <c r="RJH64" s="94"/>
      <c r="RJI64" s="94"/>
      <c r="RJJ64" s="94"/>
      <c r="RJK64" s="94"/>
      <c r="RJL64" s="94"/>
      <c r="RJM64" s="94"/>
      <c r="RJN64" s="94"/>
      <c r="RJO64" s="94"/>
      <c r="RJP64" s="94"/>
      <c r="RJQ64" s="94"/>
      <c r="RJR64" s="94"/>
      <c r="RJS64" s="94"/>
      <c r="RJT64" s="94"/>
      <c r="RJU64" s="94"/>
      <c r="RJV64" s="94"/>
      <c r="RJW64" s="94"/>
      <c r="RJX64" s="94"/>
      <c r="RJY64" s="94"/>
      <c r="RJZ64" s="94"/>
      <c r="RKA64" s="94"/>
      <c r="RKB64" s="94"/>
      <c r="RKC64" s="94"/>
      <c r="RKD64" s="94"/>
      <c r="RKE64" s="94"/>
      <c r="RKF64" s="94"/>
      <c r="RKG64" s="94"/>
      <c r="RKH64" s="94"/>
      <c r="RKI64" s="94"/>
      <c r="RKJ64" s="94"/>
      <c r="RKK64" s="94"/>
      <c r="RKL64" s="94"/>
      <c r="RKM64" s="94"/>
      <c r="RKN64" s="94"/>
      <c r="RKO64" s="94"/>
      <c r="RKP64" s="94"/>
      <c r="RKQ64" s="94"/>
      <c r="RKR64" s="94"/>
      <c r="RKS64" s="94"/>
      <c r="RKT64" s="94"/>
      <c r="RKU64" s="94"/>
      <c r="RKV64" s="94"/>
      <c r="RKW64" s="94"/>
      <c r="RKX64" s="94"/>
      <c r="RKY64" s="94"/>
      <c r="RKZ64" s="94"/>
      <c r="RLA64" s="94"/>
      <c r="RLB64" s="94"/>
      <c r="RLC64" s="94"/>
      <c r="RLD64" s="94"/>
      <c r="RLE64" s="94"/>
      <c r="RLF64" s="94"/>
      <c r="RLG64" s="94"/>
      <c r="RLH64" s="94"/>
      <c r="RLI64" s="94"/>
      <c r="RLJ64" s="94"/>
      <c r="RLK64" s="94"/>
      <c r="RLL64" s="94"/>
      <c r="RLM64" s="94"/>
      <c r="RLN64" s="94"/>
      <c r="RLO64" s="94"/>
      <c r="RLP64" s="94"/>
      <c r="RLQ64" s="94"/>
      <c r="RLR64" s="94"/>
      <c r="RLS64" s="94"/>
      <c r="RLT64" s="94"/>
      <c r="RLU64" s="94"/>
      <c r="RLV64" s="94"/>
      <c r="RLW64" s="94"/>
      <c r="RLX64" s="94"/>
      <c r="RLY64" s="94"/>
      <c r="RLZ64" s="94"/>
      <c r="RMA64" s="94"/>
      <c r="RMB64" s="94"/>
      <c r="RMC64" s="94"/>
      <c r="RMD64" s="94"/>
      <c r="RME64" s="94"/>
      <c r="RMF64" s="94"/>
      <c r="RMG64" s="94"/>
      <c r="RMH64" s="94"/>
      <c r="RMI64" s="94"/>
      <c r="RMJ64" s="94"/>
      <c r="RMK64" s="94"/>
      <c r="RML64" s="94"/>
      <c r="RMM64" s="94"/>
      <c r="RMN64" s="94"/>
      <c r="RMO64" s="94"/>
      <c r="RMP64" s="94"/>
      <c r="RMQ64" s="94"/>
      <c r="RMR64" s="94"/>
      <c r="RMS64" s="94"/>
      <c r="RMT64" s="94"/>
      <c r="RMU64" s="94"/>
      <c r="RMV64" s="94"/>
      <c r="RMW64" s="94"/>
      <c r="RMX64" s="94"/>
      <c r="RMY64" s="94"/>
      <c r="RMZ64" s="94"/>
      <c r="RNA64" s="94"/>
      <c r="RNB64" s="94"/>
      <c r="RNC64" s="94"/>
      <c r="RND64" s="94"/>
      <c r="RNE64" s="94"/>
      <c r="RNF64" s="94"/>
      <c r="RNG64" s="94"/>
      <c r="RNH64" s="94"/>
      <c r="RNI64" s="94"/>
      <c r="RNJ64" s="94"/>
      <c r="RNK64" s="94"/>
      <c r="RNL64" s="94"/>
      <c r="RNM64" s="94"/>
      <c r="RNN64" s="94"/>
      <c r="RNO64" s="94"/>
      <c r="RNP64" s="94"/>
      <c r="RNQ64" s="94"/>
      <c r="RNR64" s="94"/>
      <c r="RNS64" s="94"/>
      <c r="RNT64" s="94"/>
      <c r="RNU64" s="94"/>
      <c r="RNV64" s="94"/>
      <c r="RNW64" s="94"/>
      <c r="RNX64" s="94"/>
      <c r="RNY64" s="94"/>
      <c r="RNZ64" s="94"/>
      <c r="ROA64" s="94"/>
      <c r="ROB64" s="94"/>
      <c r="ROC64" s="94"/>
      <c r="ROD64" s="94"/>
      <c r="ROE64" s="94"/>
      <c r="ROF64" s="94"/>
      <c r="ROG64" s="94"/>
      <c r="ROH64" s="94"/>
      <c r="ROI64" s="94"/>
      <c r="ROJ64" s="94"/>
      <c r="ROK64" s="94"/>
      <c r="ROL64" s="94"/>
      <c r="ROM64" s="94"/>
      <c r="RON64" s="94"/>
      <c r="ROO64" s="94"/>
      <c r="ROP64" s="94"/>
      <c r="ROQ64" s="94"/>
      <c r="ROR64" s="94"/>
      <c r="ROS64" s="94"/>
      <c r="ROT64" s="94"/>
      <c r="ROU64" s="94"/>
      <c r="ROV64" s="94"/>
      <c r="ROW64" s="94"/>
      <c r="ROX64" s="94"/>
      <c r="ROY64" s="94"/>
      <c r="ROZ64" s="94"/>
      <c r="RPA64" s="94"/>
      <c r="RPB64" s="94"/>
      <c r="RPC64" s="94"/>
      <c r="RPD64" s="94"/>
      <c r="RPE64" s="94"/>
      <c r="RPF64" s="94"/>
      <c r="RPG64" s="94"/>
      <c r="RPH64" s="94"/>
      <c r="RPI64" s="94"/>
      <c r="RPJ64" s="94"/>
      <c r="RPK64" s="94"/>
      <c r="RPL64" s="94"/>
      <c r="RPM64" s="94"/>
      <c r="RPN64" s="94"/>
      <c r="RPO64" s="94"/>
      <c r="RPP64" s="94"/>
      <c r="RPQ64" s="94"/>
      <c r="RPR64" s="94"/>
      <c r="RPS64" s="94"/>
      <c r="RPT64" s="94"/>
      <c r="RPU64" s="94"/>
      <c r="RPV64" s="94"/>
      <c r="RPW64" s="94"/>
      <c r="RPX64" s="94"/>
      <c r="RPY64" s="94"/>
      <c r="RPZ64" s="94"/>
      <c r="RQA64" s="94"/>
      <c r="RQB64" s="94"/>
      <c r="RQC64" s="94"/>
      <c r="RQD64" s="94"/>
      <c r="RQE64" s="94"/>
      <c r="RQF64" s="94"/>
      <c r="RQG64" s="94"/>
      <c r="RQH64" s="94"/>
      <c r="RQI64" s="94"/>
      <c r="RQJ64" s="94"/>
      <c r="RQK64" s="94"/>
      <c r="RQL64" s="94"/>
      <c r="RQM64" s="94"/>
      <c r="RQN64" s="94"/>
      <c r="RQO64" s="94"/>
      <c r="RQP64" s="94"/>
      <c r="RQQ64" s="94"/>
      <c r="RQR64" s="94"/>
      <c r="RQS64" s="94"/>
      <c r="RQT64" s="94"/>
      <c r="RQU64" s="94"/>
      <c r="RQV64" s="94"/>
      <c r="RQW64" s="94"/>
      <c r="RQX64" s="94"/>
      <c r="RQY64" s="94"/>
      <c r="RQZ64" s="94"/>
      <c r="RRA64" s="94"/>
      <c r="RRB64" s="94"/>
      <c r="RRC64" s="94"/>
      <c r="RRD64" s="94"/>
      <c r="RRE64" s="94"/>
      <c r="RRF64" s="94"/>
      <c r="RRG64" s="94"/>
      <c r="RRH64" s="94"/>
      <c r="RRI64" s="94"/>
      <c r="RRJ64" s="94"/>
      <c r="RRK64" s="94"/>
      <c r="RRL64" s="94"/>
      <c r="RRM64" s="94"/>
      <c r="RRN64" s="94"/>
      <c r="RRO64" s="94"/>
      <c r="RRP64" s="94"/>
      <c r="RRQ64" s="94"/>
      <c r="RRR64" s="94"/>
      <c r="RRS64" s="94"/>
      <c r="RRT64" s="94"/>
      <c r="RRU64" s="94"/>
      <c r="RRV64" s="94"/>
      <c r="RRW64" s="94"/>
      <c r="RRX64" s="94"/>
      <c r="RRY64" s="94"/>
      <c r="RRZ64" s="94"/>
      <c r="RSA64" s="94"/>
      <c r="RSB64" s="94"/>
      <c r="RSC64" s="94"/>
      <c r="RSD64" s="94"/>
      <c r="RSE64" s="94"/>
      <c r="RSF64" s="94"/>
      <c r="RSG64" s="94"/>
      <c r="RSH64" s="94"/>
      <c r="RSI64" s="94"/>
      <c r="RSJ64" s="94"/>
      <c r="RSK64" s="94"/>
      <c r="RSL64" s="94"/>
      <c r="RSM64" s="94"/>
      <c r="RSN64" s="94"/>
      <c r="RSO64" s="94"/>
      <c r="RSP64" s="94"/>
      <c r="RSQ64" s="94"/>
      <c r="RSR64" s="94"/>
      <c r="RSS64" s="94"/>
      <c r="RST64" s="94"/>
      <c r="RSU64" s="94"/>
      <c r="RSV64" s="94"/>
      <c r="RSW64" s="94"/>
      <c r="RSX64" s="94"/>
      <c r="RSY64" s="94"/>
      <c r="RSZ64" s="94"/>
      <c r="RTA64" s="94"/>
      <c r="RTB64" s="94"/>
      <c r="RTC64" s="94"/>
      <c r="RTD64" s="94"/>
      <c r="RTE64" s="94"/>
      <c r="RTF64" s="94"/>
      <c r="RTG64" s="94"/>
      <c r="RTH64" s="94"/>
      <c r="RTI64" s="94"/>
      <c r="RTJ64" s="94"/>
      <c r="RTK64" s="94"/>
      <c r="RTL64" s="94"/>
      <c r="RTM64" s="94"/>
      <c r="RTN64" s="94"/>
      <c r="RTO64" s="94"/>
      <c r="RTP64" s="94"/>
      <c r="RTQ64" s="94"/>
      <c r="RTR64" s="94"/>
      <c r="RTS64" s="94"/>
      <c r="RTT64" s="94"/>
      <c r="RTU64" s="94"/>
      <c r="RTV64" s="94"/>
      <c r="RTW64" s="94"/>
      <c r="RTX64" s="94"/>
      <c r="RTY64" s="94"/>
      <c r="RTZ64" s="94"/>
      <c r="RUA64" s="94"/>
      <c r="RUB64" s="94"/>
      <c r="RUC64" s="94"/>
      <c r="RUD64" s="94"/>
      <c r="RUE64" s="94"/>
      <c r="RUF64" s="94"/>
      <c r="RUG64" s="94"/>
      <c r="RUH64" s="94"/>
      <c r="RUI64" s="94"/>
      <c r="RUJ64" s="94"/>
      <c r="RUK64" s="94"/>
      <c r="RUL64" s="94"/>
      <c r="RUM64" s="94"/>
      <c r="RUN64" s="94"/>
      <c r="RUO64" s="94"/>
      <c r="RUP64" s="94"/>
      <c r="RUQ64" s="94"/>
      <c r="RUR64" s="94"/>
      <c r="RUS64" s="94"/>
      <c r="RUT64" s="94"/>
      <c r="RUU64" s="94"/>
      <c r="RUV64" s="94"/>
      <c r="RUW64" s="94"/>
      <c r="RUX64" s="94"/>
      <c r="RUY64" s="94"/>
      <c r="RUZ64" s="94"/>
      <c r="RVA64" s="94"/>
      <c r="RVB64" s="94"/>
      <c r="RVC64" s="94"/>
      <c r="RVD64" s="94"/>
      <c r="RVE64" s="94"/>
      <c r="RVF64" s="94"/>
      <c r="RVG64" s="94"/>
      <c r="RVH64" s="94"/>
      <c r="RVI64" s="94"/>
      <c r="RVJ64" s="94"/>
      <c r="RVK64" s="94"/>
      <c r="RVL64" s="94"/>
      <c r="RVM64" s="94"/>
      <c r="RVN64" s="94"/>
      <c r="RVO64" s="94"/>
      <c r="RVP64" s="94"/>
      <c r="RVQ64" s="94"/>
      <c r="RVR64" s="94"/>
      <c r="RVS64" s="94"/>
      <c r="RVT64" s="94"/>
      <c r="RVU64" s="94"/>
      <c r="RVV64" s="94"/>
      <c r="RVW64" s="94"/>
      <c r="RVX64" s="94"/>
      <c r="RVY64" s="94"/>
      <c r="RVZ64" s="94"/>
      <c r="RWA64" s="94"/>
      <c r="RWB64" s="94"/>
      <c r="RWC64" s="94"/>
      <c r="RWD64" s="94"/>
      <c r="RWE64" s="94"/>
      <c r="RWF64" s="94"/>
      <c r="RWG64" s="94"/>
      <c r="RWH64" s="94"/>
      <c r="RWI64" s="94"/>
      <c r="RWJ64" s="94"/>
      <c r="RWK64" s="94"/>
      <c r="RWL64" s="94"/>
      <c r="RWM64" s="94"/>
      <c r="RWN64" s="94"/>
      <c r="RWO64" s="94"/>
      <c r="RWP64" s="94"/>
      <c r="RWQ64" s="94"/>
      <c r="RWR64" s="94"/>
      <c r="RWS64" s="94"/>
      <c r="RWT64" s="94"/>
      <c r="RWU64" s="94"/>
      <c r="RWV64" s="94"/>
      <c r="RWW64" s="94"/>
      <c r="RWX64" s="94"/>
      <c r="RWY64" s="94"/>
      <c r="RWZ64" s="94"/>
      <c r="RXA64" s="94"/>
      <c r="RXB64" s="94"/>
      <c r="RXC64" s="94"/>
      <c r="RXD64" s="94"/>
      <c r="RXE64" s="94"/>
      <c r="RXF64" s="94"/>
      <c r="RXG64" s="94"/>
      <c r="RXH64" s="94"/>
      <c r="RXI64" s="94"/>
      <c r="RXJ64" s="94"/>
      <c r="RXK64" s="94"/>
      <c r="RXL64" s="94"/>
      <c r="RXM64" s="94"/>
      <c r="RXN64" s="94"/>
      <c r="RXO64" s="94"/>
      <c r="RXP64" s="94"/>
      <c r="RXQ64" s="94"/>
      <c r="RXR64" s="94"/>
      <c r="RXS64" s="94"/>
      <c r="RXT64" s="94"/>
      <c r="RXU64" s="94"/>
      <c r="RXV64" s="94"/>
      <c r="RXW64" s="94"/>
      <c r="RXX64" s="94"/>
      <c r="RXY64" s="94"/>
      <c r="RXZ64" s="94"/>
      <c r="RYA64" s="94"/>
      <c r="RYB64" s="94"/>
      <c r="RYC64" s="94"/>
      <c r="RYD64" s="94"/>
      <c r="RYE64" s="94"/>
      <c r="RYF64" s="94"/>
      <c r="RYG64" s="94"/>
      <c r="RYH64" s="94"/>
      <c r="RYI64" s="94"/>
      <c r="RYJ64" s="94"/>
      <c r="RYK64" s="94"/>
      <c r="RYL64" s="94"/>
      <c r="RYM64" s="94"/>
      <c r="RYN64" s="94"/>
      <c r="RYO64" s="94"/>
      <c r="RYP64" s="94"/>
      <c r="RYQ64" s="94"/>
      <c r="RYR64" s="94"/>
      <c r="RYS64" s="94"/>
      <c r="RYT64" s="94"/>
      <c r="RYU64" s="94"/>
      <c r="RYV64" s="94"/>
      <c r="RYW64" s="94"/>
      <c r="RYX64" s="94"/>
      <c r="RYY64" s="94"/>
      <c r="RYZ64" s="94"/>
      <c r="RZA64" s="94"/>
      <c r="RZB64" s="94"/>
      <c r="RZC64" s="94"/>
      <c r="RZD64" s="94"/>
      <c r="RZE64" s="94"/>
      <c r="RZF64" s="94"/>
      <c r="RZG64" s="94"/>
      <c r="RZH64" s="94"/>
      <c r="RZI64" s="94"/>
      <c r="RZJ64" s="94"/>
      <c r="RZK64" s="94"/>
      <c r="RZL64" s="94"/>
      <c r="RZM64" s="94"/>
      <c r="RZN64" s="94"/>
      <c r="RZO64" s="94"/>
      <c r="RZP64" s="94"/>
      <c r="RZQ64" s="94"/>
      <c r="RZR64" s="94"/>
      <c r="RZS64" s="94"/>
      <c r="RZT64" s="94"/>
      <c r="RZU64" s="94"/>
      <c r="RZV64" s="94"/>
      <c r="RZW64" s="94"/>
      <c r="RZX64" s="94"/>
      <c r="RZY64" s="94"/>
      <c r="RZZ64" s="94"/>
      <c r="SAA64" s="94"/>
      <c r="SAB64" s="94"/>
      <c r="SAC64" s="94"/>
      <c r="SAD64" s="94"/>
      <c r="SAE64" s="94"/>
      <c r="SAF64" s="94"/>
      <c r="SAG64" s="94"/>
      <c r="SAH64" s="94"/>
      <c r="SAI64" s="94"/>
      <c r="SAJ64" s="94"/>
      <c r="SAK64" s="94"/>
      <c r="SAL64" s="94"/>
      <c r="SAM64" s="94"/>
      <c r="SAN64" s="94"/>
      <c r="SAO64" s="94"/>
      <c r="SAP64" s="94"/>
      <c r="SAQ64" s="94"/>
      <c r="SAR64" s="94"/>
      <c r="SAS64" s="94"/>
      <c r="SAT64" s="94"/>
      <c r="SAU64" s="94"/>
      <c r="SAV64" s="94"/>
      <c r="SAW64" s="94"/>
      <c r="SAX64" s="94"/>
      <c r="SAY64" s="94"/>
      <c r="SAZ64" s="94"/>
      <c r="SBA64" s="94"/>
      <c r="SBB64" s="94"/>
      <c r="SBC64" s="94"/>
      <c r="SBD64" s="94"/>
      <c r="SBE64" s="94"/>
      <c r="SBF64" s="94"/>
      <c r="SBG64" s="94"/>
      <c r="SBH64" s="94"/>
      <c r="SBI64" s="94"/>
      <c r="SBJ64" s="94"/>
      <c r="SBK64" s="94"/>
      <c r="SBL64" s="94"/>
      <c r="SBM64" s="94"/>
      <c r="SBN64" s="94"/>
      <c r="SBO64" s="94"/>
      <c r="SBP64" s="94"/>
      <c r="SBQ64" s="94"/>
      <c r="SBR64" s="94"/>
      <c r="SBS64" s="94"/>
      <c r="SBT64" s="94"/>
      <c r="SBU64" s="94"/>
      <c r="SBV64" s="94"/>
      <c r="SBW64" s="94"/>
      <c r="SBX64" s="94"/>
      <c r="SBY64" s="94"/>
      <c r="SBZ64" s="94"/>
      <c r="SCA64" s="94"/>
      <c r="SCB64" s="94"/>
      <c r="SCC64" s="94"/>
      <c r="SCD64" s="94"/>
      <c r="SCE64" s="94"/>
      <c r="SCF64" s="94"/>
      <c r="SCG64" s="94"/>
      <c r="SCH64" s="94"/>
      <c r="SCI64" s="94"/>
      <c r="SCJ64" s="94"/>
      <c r="SCK64" s="94"/>
      <c r="SCL64" s="94"/>
      <c r="SCM64" s="94"/>
      <c r="SCN64" s="94"/>
      <c r="SCO64" s="94"/>
      <c r="SCP64" s="94"/>
      <c r="SCQ64" s="94"/>
      <c r="SCR64" s="94"/>
      <c r="SCS64" s="94"/>
      <c r="SCT64" s="94"/>
      <c r="SCU64" s="94"/>
      <c r="SCV64" s="94"/>
      <c r="SCW64" s="94"/>
      <c r="SCX64" s="94"/>
      <c r="SCY64" s="94"/>
      <c r="SCZ64" s="94"/>
      <c r="SDA64" s="94"/>
      <c r="SDB64" s="94"/>
      <c r="SDC64" s="94"/>
      <c r="SDD64" s="94"/>
      <c r="SDE64" s="94"/>
      <c r="SDF64" s="94"/>
      <c r="SDG64" s="94"/>
      <c r="SDH64" s="94"/>
      <c r="SDI64" s="94"/>
      <c r="SDJ64" s="94"/>
      <c r="SDK64" s="94"/>
      <c r="SDL64" s="94"/>
      <c r="SDM64" s="94"/>
      <c r="SDN64" s="94"/>
      <c r="SDO64" s="94"/>
      <c r="SDP64" s="94"/>
      <c r="SDQ64" s="94"/>
      <c r="SDR64" s="94"/>
      <c r="SDS64" s="94"/>
      <c r="SDT64" s="94"/>
      <c r="SDU64" s="94"/>
      <c r="SDV64" s="94"/>
      <c r="SDW64" s="94"/>
      <c r="SDX64" s="94"/>
      <c r="SDY64" s="94"/>
      <c r="SDZ64" s="94"/>
      <c r="SEA64" s="94"/>
      <c r="SEB64" s="94"/>
      <c r="SEC64" s="94"/>
      <c r="SED64" s="94"/>
      <c r="SEE64" s="94"/>
      <c r="SEF64" s="94"/>
      <c r="SEG64" s="94"/>
      <c r="SEH64" s="94"/>
      <c r="SEI64" s="94"/>
      <c r="SEJ64" s="94"/>
      <c r="SEK64" s="94"/>
      <c r="SEL64" s="94"/>
      <c r="SEM64" s="94"/>
      <c r="SEN64" s="94"/>
      <c r="SEO64" s="94"/>
      <c r="SEP64" s="94"/>
      <c r="SEQ64" s="94"/>
      <c r="SER64" s="94"/>
      <c r="SES64" s="94"/>
      <c r="SET64" s="94"/>
      <c r="SEU64" s="94"/>
      <c r="SEV64" s="94"/>
      <c r="SEW64" s="94"/>
      <c r="SEX64" s="94"/>
      <c r="SEY64" s="94"/>
      <c r="SEZ64" s="94"/>
      <c r="SFA64" s="94"/>
      <c r="SFB64" s="94"/>
      <c r="SFC64" s="94"/>
      <c r="SFD64" s="94"/>
      <c r="SFE64" s="94"/>
      <c r="SFF64" s="94"/>
      <c r="SFG64" s="94"/>
      <c r="SFH64" s="94"/>
      <c r="SFI64" s="94"/>
      <c r="SFJ64" s="94"/>
      <c r="SFK64" s="94"/>
      <c r="SFL64" s="94"/>
      <c r="SFM64" s="94"/>
      <c r="SFN64" s="94"/>
      <c r="SFO64" s="94"/>
      <c r="SFP64" s="94"/>
      <c r="SFQ64" s="94"/>
      <c r="SFR64" s="94"/>
      <c r="SFS64" s="94"/>
      <c r="SFT64" s="94"/>
      <c r="SFU64" s="94"/>
      <c r="SFV64" s="94"/>
      <c r="SFW64" s="94"/>
      <c r="SFX64" s="94"/>
      <c r="SFY64" s="94"/>
      <c r="SFZ64" s="94"/>
      <c r="SGA64" s="94"/>
      <c r="SGB64" s="94"/>
      <c r="SGC64" s="94"/>
      <c r="SGD64" s="94"/>
      <c r="SGE64" s="94"/>
      <c r="SGF64" s="94"/>
      <c r="SGG64" s="94"/>
      <c r="SGH64" s="94"/>
      <c r="SGI64" s="94"/>
      <c r="SGJ64" s="94"/>
      <c r="SGK64" s="94"/>
      <c r="SGL64" s="94"/>
      <c r="SGM64" s="94"/>
      <c r="SGN64" s="94"/>
      <c r="SGO64" s="94"/>
      <c r="SGP64" s="94"/>
      <c r="SGQ64" s="94"/>
      <c r="SGR64" s="94"/>
      <c r="SGS64" s="94"/>
      <c r="SGT64" s="94"/>
      <c r="SGU64" s="94"/>
      <c r="SGV64" s="94"/>
      <c r="SGW64" s="94"/>
      <c r="SGX64" s="94"/>
      <c r="SGY64" s="94"/>
      <c r="SGZ64" s="94"/>
      <c r="SHA64" s="94"/>
      <c r="SHB64" s="94"/>
      <c r="SHC64" s="94"/>
      <c r="SHD64" s="94"/>
      <c r="SHE64" s="94"/>
      <c r="SHF64" s="94"/>
      <c r="SHG64" s="94"/>
      <c r="SHH64" s="94"/>
      <c r="SHI64" s="94"/>
      <c r="SHJ64" s="94"/>
      <c r="SHK64" s="94"/>
      <c r="SHL64" s="94"/>
      <c r="SHM64" s="94"/>
      <c r="SHN64" s="94"/>
      <c r="SHO64" s="94"/>
      <c r="SHP64" s="94"/>
      <c r="SHQ64" s="94"/>
      <c r="SHR64" s="94"/>
      <c r="SHS64" s="94"/>
      <c r="SHT64" s="94"/>
      <c r="SHU64" s="94"/>
      <c r="SHV64" s="94"/>
      <c r="SHW64" s="94"/>
      <c r="SHX64" s="94"/>
      <c r="SHY64" s="94"/>
      <c r="SHZ64" s="94"/>
      <c r="SIA64" s="94"/>
      <c r="SIB64" s="94"/>
      <c r="SIC64" s="94"/>
      <c r="SID64" s="94"/>
      <c r="SIE64" s="94"/>
      <c r="SIF64" s="94"/>
      <c r="SIG64" s="94"/>
      <c r="SIH64" s="94"/>
      <c r="SII64" s="94"/>
      <c r="SIJ64" s="94"/>
      <c r="SIK64" s="94"/>
      <c r="SIL64" s="94"/>
      <c r="SIM64" s="94"/>
      <c r="SIN64" s="94"/>
      <c r="SIO64" s="94"/>
      <c r="SIP64" s="94"/>
      <c r="SIQ64" s="94"/>
      <c r="SIR64" s="94"/>
      <c r="SIS64" s="94"/>
      <c r="SIT64" s="94"/>
      <c r="SIU64" s="94"/>
      <c r="SIV64" s="94"/>
      <c r="SIW64" s="94"/>
      <c r="SIX64" s="94"/>
      <c r="SIY64" s="94"/>
      <c r="SIZ64" s="94"/>
      <c r="SJA64" s="94"/>
      <c r="SJB64" s="94"/>
      <c r="SJC64" s="94"/>
      <c r="SJD64" s="94"/>
      <c r="SJE64" s="94"/>
      <c r="SJF64" s="94"/>
      <c r="SJG64" s="94"/>
      <c r="SJH64" s="94"/>
      <c r="SJI64" s="94"/>
      <c r="SJJ64" s="94"/>
      <c r="SJK64" s="94"/>
      <c r="SJL64" s="94"/>
      <c r="SJM64" s="94"/>
      <c r="SJN64" s="94"/>
      <c r="SJO64" s="94"/>
      <c r="SJP64" s="94"/>
      <c r="SJQ64" s="94"/>
      <c r="SJR64" s="94"/>
      <c r="SJS64" s="94"/>
      <c r="SJT64" s="94"/>
      <c r="SJU64" s="94"/>
      <c r="SJV64" s="94"/>
      <c r="SJW64" s="94"/>
      <c r="SJX64" s="94"/>
      <c r="SJY64" s="94"/>
      <c r="SJZ64" s="94"/>
      <c r="SKA64" s="94"/>
      <c r="SKB64" s="94"/>
      <c r="SKC64" s="94"/>
      <c r="SKD64" s="94"/>
      <c r="SKE64" s="94"/>
      <c r="SKF64" s="94"/>
      <c r="SKG64" s="94"/>
      <c r="SKH64" s="94"/>
      <c r="SKI64" s="94"/>
      <c r="SKJ64" s="94"/>
      <c r="SKK64" s="94"/>
      <c r="SKL64" s="94"/>
      <c r="SKM64" s="94"/>
      <c r="SKN64" s="94"/>
      <c r="SKO64" s="94"/>
      <c r="SKP64" s="94"/>
      <c r="SKQ64" s="94"/>
      <c r="SKR64" s="94"/>
      <c r="SKS64" s="94"/>
      <c r="SKT64" s="94"/>
      <c r="SKU64" s="94"/>
      <c r="SKV64" s="94"/>
      <c r="SKW64" s="94"/>
      <c r="SKX64" s="94"/>
      <c r="SKY64" s="94"/>
      <c r="SKZ64" s="94"/>
      <c r="SLA64" s="94"/>
      <c r="SLB64" s="94"/>
      <c r="SLC64" s="94"/>
      <c r="SLD64" s="94"/>
      <c r="SLE64" s="94"/>
      <c r="SLF64" s="94"/>
      <c r="SLG64" s="94"/>
      <c r="SLH64" s="94"/>
      <c r="SLI64" s="94"/>
      <c r="SLJ64" s="94"/>
      <c r="SLK64" s="94"/>
      <c r="SLL64" s="94"/>
      <c r="SLM64" s="94"/>
      <c r="SLN64" s="94"/>
      <c r="SLO64" s="94"/>
      <c r="SLP64" s="94"/>
      <c r="SLQ64" s="94"/>
      <c r="SLR64" s="94"/>
      <c r="SLS64" s="94"/>
      <c r="SLT64" s="94"/>
      <c r="SLU64" s="94"/>
      <c r="SLV64" s="94"/>
      <c r="SLW64" s="94"/>
      <c r="SLX64" s="94"/>
      <c r="SLY64" s="94"/>
      <c r="SLZ64" s="94"/>
      <c r="SMA64" s="94"/>
      <c r="SMB64" s="94"/>
      <c r="SMC64" s="94"/>
      <c r="SMD64" s="94"/>
      <c r="SME64" s="94"/>
      <c r="SMF64" s="94"/>
      <c r="SMG64" s="94"/>
      <c r="SMH64" s="94"/>
      <c r="SMI64" s="94"/>
      <c r="SMJ64" s="94"/>
      <c r="SMK64" s="94"/>
      <c r="SML64" s="94"/>
      <c r="SMM64" s="94"/>
      <c r="SMN64" s="94"/>
      <c r="SMO64" s="94"/>
      <c r="SMP64" s="94"/>
      <c r="SMQ64" s="94"/>
      <c r="SMR64" s="94"/>
      <c r="SMS64" s="94"/>
      <c r="SMT64" s="94"/>
      <c r="SMU64" s="94"/>
      <c r="SMV64" s="94"/>
      <c r="SMW64" s="94"/>
      <c r="SMX64" s="94"/>
      <c r="SMY64" s="94"/>
      <c r="SMZ64" s="94"/>
      <c r="SNA64" s="94"/>
      <c r="SNB64" s="94"/>
      <c r="SNC64" s="94"/>
      <c r="SND64" s="94"/>
      <c r="SNE64" s="94"/>
      <c r="SNF64" s="94"/>
      <c r="SNG64" s="94"/>
      <c r="SNH64" s="94"/>
      <c r="SNI64" s="94"/>
      <c r="SNJ64" s="94"/>
      <c r="SNK64" s="94"/>
      <c r="SNL64" s="94"/>
      <c r="SNM64" s="94"/>
      <c r="SNN64" s="94"/>
      <c r="SNO64" s="94"/>
      <c r="SNP64" s="94"/>
      <c r="SNQ64" s="94"/>
      <c r="SNR64" s="94"/>
      <c r="SNS64" s="94"/>
      <c r="SNT64" s="94"/>
      <c r="SNU64" s="94"/>
      <c r="SNV64" s="94"/>
      <c r="SNW64" s="94"/>
      <c r="SNX64" s="94"/>
      <c r="SNY64" s="94"/>
      <c r="SNZ64" s="94"/>
      <c r="SOA64" s="94"/>
      <c r="SOB64" s="94"/>
      <c r="SOC64" s="94"/>
      <c r="SOD64" s="94"/>
      <c r="SOE64" s="94"/>
      <c r="SOF64" s="94"/>
      <c r="SOG64" s="94"/>
      <c r="SOH64" s="94"/>
      <c r="SOI64" s="94"/>
      <c r="SOJ64" s="94"/>
      <c r="SOK64" s="94"/>
      <c r="SOL64" s="94"/>
      <c r="SOM64" s="94"/>
      <c r="SON64" s="94"/>
      <c r="SOO64" s="94"/>
      <c r="SOP64" s="94"/>
      <c r="SOQ64" s="94"/>
      <c r="SOR64" s="94"/>
      <c r="SOS64" s="94"/>
      <c r="SOT64" s="94"/>
      <c r="SOU64" s="94"/>
      <c r="SOV64" s="94"/>
      <c r="SOW64" s="94"/>
      <c r="SOX64" s="94"/>
      <c r="SOY64" s="94"/>
      <c r="SOZ64" s="94"/>
      <c r="SPA64" s="94"/>
      <c r="SPB64" s="94"/>
      <c r="SPC64" s="94"/>
      <c r="SPD64" s="94"/>
      <c r="SPE64" s="94"/>
      <c r="SPF64" s="94"/>
      <c r="SPG64" s="94"/>
      <c r="SPH64" s="94"/>
      <c r="SPI64" s="94"/>
      <c r="SPJ64" s="94"/>
      <c r="SPK64" s="94"/>
      <c r="SPL64" s="94"/>
      <c r="SPM64" s="94"/>
      <c r="SPN64" s="94"/>
      <c r="SPO64" s="94"/>
      <c r="SPP64" s="94"/>
      <c r="SPQ64" s="94"/>
      <c r="SPR64" s="94"/>
      <c r="SPS64" s="94"/>
      <c r="SPT64" s="94"/>
      <c r="SPU64" s="94"/>
      <c r="SPV64" s="94"/>
      <c r="SPW64" s="94"/>
      <c r="SPX64" s="94"/>
      <c r="SPY64" s="94"/>
      <c r="SPZ64" s="94"/>
      <c r="SQA64" s="94"/>
      <c r="SQB64" s="94"/>
      <c r="SQC64" s="94"/>
      <c r="SQD64" s="94"/>
      <c r="SQE64" s="94"/>
      <c r="SQF64" s="94"/>
      <c r="SQG64" s="94"/>
      <c r="SQH64" s="94"/>
      <c r="SQI64" s="94"/>
      <c r="SQJ64" s="94"/>
      <c r="SQK64" s="94"/>
      <c r="SQL64" s="94"/>
      <c r="SQM64" s="94"/>
      <c r="SQN64" s="94"/>
      <c r="SQO64" s="94"/>
      <c r="SQP64" s="94"/>
      <c r="SQQ64" s="94"/>
      <c r="SQR64" s="94"/>
      <c r="SQS64" s="94"/>
      <c r="SQT64" s="94"/>
      <c r="SQU64" s="94"/>
      <c r="SQV64" s="94"/>
      <c r="SQW64" s="94"/>
      <c r="SQX64" s="94"/>
      <c r="SQY64" s="94"/>
      <c r="SQZ64" s="94"/>
      <c r="SRA64" s="94"/>
      <c r="SRB64" s="94"/>
      <c r="SRC64" s="94"/>
      <c r="SRD64" s="94"/>
      <c r="SRE64" s="94"/>
      <c r="SRF64" s="94"/>
      <c r="SRG64" s="94"/>
      <c r="SRH64" s="94"/>
      <c r="SRI64" s="94"/>
      <c r="SRJ64" s="94"/>
      <c r="SRK64" s="94"/>
      <c r="SRL64" s="94"/>
      <c r="SRM64" s="94"/>
      <c r="SRN64" s="94"/>
      <c r="SRO64" s="94"/>
      <c r="SRP64" s="94"/>
      <c r="SRQ64" s="94"/>
      <c r="SRR64" s="94"/>
      <c r="SRS64" s="94"/>
      <c r="SRT64" s="94"/>
      <c r="SRU64" s="94"/>
      <c r="SRV64" s="94"/>
      <c r="SRW64" s="94"/>
      <c r="SRX64" s="94"/>
      <c r="SRY64" s="94"/>
      <c r="SRZ64" s="94"/>
      <c r="SSA64" s="94"/>
      <c r="SSB64" s="94"/>
      <c r="SSC64" s="94"/>
      <c r="SSD64" s="94"/>
      <c r="SSE64" s="94"/>
      <c r="SSF64" s="94"/>
      <c r="SSG64" s="94"/>
      <c r="SSH64" s="94"/>
      <c r="SSI64" s="94"/>
      <c r="SSJ64" s="94"/>
      <c r="SSK64" s="94"/>
      <c r="SSL64" s="94"/>
      <c r="SSM64" s="94"/>
      <c r="SSN64" s="94"/>
      <c r="SSO64" s="94"/>
      <c r="SSP64" s="94"/>
      <c r="SSQ64" s="94"/>
      <c r="SSR64" s="94"/>
      <c r="SSS64" s="94"/>
      <c r="SST64" s="94"/>
      <c r="SSU64" s="94"/>
      <c r="SSV64" s="94"/>
      <c r="SSW64" s="94"/>
      <c r="SSX64" s="94"/>
      <c r="SSY64" s="94"/>
      <c r="SSZ64" s="94"/>
      <c r="STA64" s="94"/>
      <c r="STB64" s="94"/>
      <c r="STC64" s="94"/>
      <c r="STD64" s="94"/>
      <c r="STE64" s="94"/>
      <c r="STF64" s="94"/>
      <c r="STG64" s="94"/>
      <c r="STH64" s="94"/>
      <c r="STI64" s="94"/>
      <c r="STJ64" s="94"/>
      <c r="STK64" s="94"/>
      <c r="STL64" s="94"/>
      <c r="STM64" s="94"/>
      <c r="STN64" s="94"/>
      <c r="STO64" s="94"/>
      <c r="STP64" s="94"/>
      <c r="STQ64" s="94"/>
      <c r="STR64" s="94"/>
      <c r="STS64" s="94"/>
      <c r="STT64" s="94"/>
      <c r="STU64" s="94"/>
      <c r="STV64" s="94"/>
      <c r="STW64" s="94"/>
      <c r="STX64" s="94"/>
      <c r="STY64" s="94"/>
      <c r="STZ64" s="94"/>
      <c r="SUA64" s="94"/>
      <c r="SUB64" s="94"/>
      <c r="SUC64" s="94"/>
      <c r="SUD64" s="94"/>
      <c r="SUE64" s="94"/>
      <c r="SUF64" s="94"/>
      <c r="SUG64" s="94"/>
      <c r="SUH64" s="94"/>
      <c r="SUI64" s="94"/>
      <c r="SUJ64" s="94"/>
      <c r="SUK64" s="94"/>
      <c r="SUL64" s="94"/>
      <c r="SUM64" s="94"/>
      <c r="SUN64" s="94"/>
      <c r="SUO64" s="94"/>
      <c r="SUP64" s="94"/>
      <c r="SUQ64" s="94"/>
      <c r="SUR64" s="94"/>
      <c r="SUS64" s="94"/>
      <c r="SUT64" s="94"/>
      <c r="SUU64" s="94"/>
      <c r="SUV64" s="94"/>
      <c r="SUW64" s="94"/>
      <c r="SUX64" s="94"/>
      <c r="SUY64" s="94"/>
      <c r="SUZ64" s="94"/>
      <c r="SVA64" s="94"/>
      <c r="SVB64" s="94"/>
      <c r="SVC64" s="94"/>
      <c r="SVD64" s="94"/>
      <c r="SVE64" s="94"/>
      <c r="SVF64" s="94"/>
      <c r="SVG64" s="94"/>
      <c r="SVH64" s="94"/>
      <c r="SVI64" s="94"/>
      <c r="SVJ64" s="94"/>
      <c r="SVK64" s="94"/>
      <c r="SVL64" s="94"/>
      <c r="SVM64" s="94"/>
      <c r="SVN64" s="94"/>
      <c r="SVO64" s="94"/>
      <c r="SVP64" s="94"/>
      <c r="SVQ64" s="94"/>
      <c r="SVR64" s="94"/>
      <c r="SVS64" s="94"/>
      <c r="SVT64" s="94"/>
      <c r="SVU64" s="94"/>
      <c r="SVV64" s="94"/>
      <c r="SVW64" s="94"/>
      <c r="SVX64" s="94"/>
      <c r="SVY64" s="94"/>
      <c r="SVZ64" s="94"/>
      <c r="SWA64" s="94"/>
      <c r="SWB64" s="94"/>
      <c r="SWC64" s="94"/>
      <c r="SWD64" s="94"/>
      <c r="SWE64" s="94"/>
      <c r="SWF64" s="94"/>
      <c r="SWG64" s="94"/>
      <c r="SWH64" s="94"/>
      <c r="SWI64" s="94"/>
      <c r="SWJ64" s="94"/>
      <c r="SWK64" s="94"/>
      <c r="SWL64" s="94"/>
      <c r="SWM64" s="94"/>
      <c r="SWN64" s="94"/>
      <c r="SWO64" s="94"/>
      <c r="SWP64" s="94"/>
      <c r="SWQ64" s="94"/>
      <c r="SWR64" s="94"/>
      <c r="SWS64" s="94"/>
      <c r="SWT64" s="94"/>
      <c r="SWU64" s="94"/>
      <c r="SWV64" s="94"/>
      <c r="SWW64" s="94"/>
      <c r="SWX64" s="94"/>
      <c r="SWY64" s="94"/>
      <c r="SWZ64" s="94"/>
      <c r="SXA64" s="94"/>
      <c r="SXB64" s="94"/>
      <c r="SXC64" s="94"/>
      <c r="SXD64" s="94"/>
      <c r="SXE64" s="94"/>
      <c r="SXF64" s="94"/>
      <c r="SXG64" s="94"/>
      <c r="SXH64" s="94"/>
      <c r="SXI64" s="94"/>
      <c r="SXJ64" s="94"/>
      <c r="SXK64" s="94"/>
      <c r="SXL64" s="94"/>
      <c r="SXM64" s="94"/>
      <c r="SXN64" s="94"/>
      <c r="SXO64" s="94"/>
      <c r="SXP64" s="94"/>
      <c r="SXQ64" s="94"/>
      <c r="SXR64" s="94"/>
      <c r="SXS64" s="94"/>
      <c r="SXT64" s="94"/>
      <c r="SXU64" s="94"/>
      <c r="SXV64" s="94"/>
      <c r="SXW64" s="94"/>
      <c r="SXX64" s="94"/>
      <c r="SXY64" s="94"/>
      <c r="SXZ64" s="94"/>
      <c r="SYA64" s="94"/>
      <c r="SYB64" s="94"/>
      <c r="SYC64" s="94"/>
      <c r="SYD64" s="94"/>
      <c r="SYE64" s="94"/>
      <c r="SYF64" s="94"/>
      <c r="SYG64" s="94"/>
      <c r="SYH64" s="94"/>
      <c r="SYI64" s="94"/>
      <c r="SYJ64" s="94"/>
      <c r="SYK64" s="94"/>
      <c r="SYL64" s="94"/>
      <c r="SYM64" s="94"/>
      <c r="SYN64" s="94"/>
      <c r="SYO64" s="94"/>
      <c r="SYP64" s="94"/>
      <c r="SYQ64" s="94"/>
      <c r="SYR64" s="94"/>
      <c r="SYS64" s="94"/>
      <c r="SYT64" s="94"/>
      <c r="SYU64" s="94"/>
      <c r="SYV64" s="94"/>
      <c r="SYW64" s="94"/>
      <c r="SYX64" s="94"/>
      <c r="SYY64" s="94"/>
      <c r="SYZ64" s="94"/>
      <c r="SZA64" s="94"/>
      <c r="SZB64" s="94"/>
      <c r="SZC64" s="94"/>
      <c r="SZD64" s="94"/>
      <c r="SZE64" s="94"/>
      <c r="SZF64" s="94"/>
      <c r="SZG64" s="94"/>
      <c r="SZH64" s="94"/>
      <c r="SZI64" s="94"/>
      <c r="SZJ64" s="94"/>
      <c r="SZK64" s="94"/>
      <c r="SZL64" s="94"/>
      <c r="SZM64" s="94"/>
      <c r="SZN64" s="94"/>
      <c r="SZO64" s="94"/>
      <c r="SZP64" s="94"/>
      <c r="SZQ64" s="94"/>
      <c r="SZR64" s="94"/>
      <c r="SZS64" s="94"/>
      <c r="SZT64" s="94"/>
      <c r="SZU64" s="94"/>
      <c r="SZV64" s="94"/>
      <c r="SZW64" s="94"/>
      <c r="SZX64" s="94"/>
      <c r="SZY64" s="94"/>
      <c r="SZZ64" s="94"/>
      <c r="TAA64" s="94"/>
      <c r="TAB64" s="94"/>
      <c r="TAC64" s="94"/>
      <c r="TAD64" s="94"/>
      <c r="TAE64" s="94"/>
      <c r="TAF64" s="94"/>
      <c r="TAG64" s="94"/>
      <c r="TAH64" s="94"/>
      <c r="TAI64" s="94"/>
      <c r="TAJ64" s="94"/>
      <c r="TAK64" s="94"/>
      <c r="TAL64" s="94"/>
      <c r="TAM64" s="94"/>
      <c r="TAN64" s="94"/>
      <c r="TAO64" s="94"/>
      <c r="TAP64" s="94"/>
      <c r="TAQ64" s="94"/>
      <c r="TAR64" s="94"/>
      <c r="TAS64" s="94"/>
      <c r="TAT64" s="94"/>
      <c r="TAU64" s="94"/>
      <c r="TAV64" s="94"/>
      <c r="TAW64" s="94"/>
      <c r="TAX64" s="94"/>
      <c r="TAY64" s="94"/>
      <c r="TAZ64" s="94"/>
      <c r="TBA64" s="94"/>
      <c r="TBB64" s="94"/>
      <c r="TBC64" s="94"/>
      <c r="TBD64" s="94"/>
      <c r="TBE64" s="94"/>
      <c r="TBF64" s="94"/>
      <c r="TBG64" s="94"/>
      <c r="TBH64" s="94"/>
      <c r="TBI64" s="94"/>
      <c r="TBJ64" s="94"/>
      <c r="TBK64" s="94"/>
      <c r="TBL64" s="94"/>
      <c r="TBM64" s="94"/>
      <c r="TBN64" s="94"/>
      <c r="TBO64" s="94"/>
      <c r="TBP64" s="94"/>
      <c r="TBQ64" s="94"/>
      <c r="TBR64" s="94"/>
      <c r="TBS64" s="94"/>
      <c r="TBT64" s="94"/>
      <c r="TBU64" s="94"/>
      <c r="TBV64" s="94"/>
      <c r="TBW64" s="94"/>
      <c r="TBX64" s="94"/>
      <c r="TBY64" s="94"/>
      <c r="TBZ64" s="94"/>
      <c r="TCA64" s="94"/>
      <c r="TCB64" s="94"/>
      <c r="TCC64" s="94"/>
      <c r="TCD64" s="94"/>
      <c r="TCE64" s="94"/>
      <c r="TCF64" s="94"/>
      <c r="TCG64" s="94"/>
      <c r="TCH64" s="94"/>
      <c r="TCI64" s="94"/>
      <c r="TCJ64" s="94"/>
      <c r="TCK64" s="94"/>
      <c r="TCL64" s="94"/>
      <c r="TCM64" s="94"/>
      <c r="TCN64" s="94"/>
      <c r="TCO64" s="94"/>
      <c r="TCP64" s="94"/>
      <c r="TCQ64" s="94"/>
      <c r="TCR64" s="94"/>
      <c r="TCS64" s="94"/>
      <c r="TCT64" s="94"/>
      <c r="TCU64" s="94"/>
      <c r="TCV64" s="94"/>
      <c r="TCW64" s="94"/>
      <c r="TCX64" s="94"/>
      <c r="TCY64" s="94"/>
      <c r="TCZ64" s="94"/>
      <c r="TDA64" s="94"/>
      <c r="TDB64" s="94"/>
      <c r="TDC64" s="94"/>
      <c r="TDD64" s="94"/>
      <c r="TDE64" s="94"/>
      <c r="TDF64" s="94"/>
      <c r="TDG64" s="94"/>
      <c r="TDH64" s="94"/>
      <c r="TDI64" s="94"/>
      <c r="TDJ64" s="94"/>
      <c r="TDK64" s="94"/>
      <c r="TDL64" s="94"/>
      <c r="TDM64" s="94"/>
      <c r="TDN64" s="94"/>
      <c r="TDO64" s="94"/>
      <c r="TDP64" s="94"/>
      <c r="TDQ64" s="94"/>
      <c r="TDR64" s="94"/>
      <c r="TDS64" s="94"/>
      <c r="TDT64" s="94"/>
      <c r="TDU64" s="94"/>
      <c r="TDV64" s="94"/>
      <c r="TDW64" s="94"/>
      <c r="TDX64" s="94"/>
      <c r="TDY64" s="94"/>
      <c r="TDZ64" s="94"/>
      <c r="TEA64" s="94"/>
      <c r="TEB64" s="94"/>
      <c r="TEC64" s="94"/>
      <c r="TED64" s="94"/>
      <c r="TEE64" s="94"/>
      <c r="TEF64" s="94"/>
      <c r="TEG64" s="94"/>
      <c r="TEH64" s="94"/>
      <c r="TEI64" s="94"/>
      <c r="TEJ64" s="94"/>
      <c r="TEK64" s="94"/>
      <c r="TEL64" s="94"/>
      <c r="TEM64" s="94"/>
      <c r="TEN64" s="94"/>
      <c r="TEO64" s="94"/>
      <c r="TEP64" s="94"/>
      <c r="TEQ64" s="94"/>
      <c r="TER64" s="94"/>
      <c r="TES64" s="94"/>
      <c r="TET64" s="94"/>
      <c r="TEU64" s="94"/>
      <c r="TEV64" s="94"/>
      <c r="TEW64" s="94"/>
      <c r="TEX64" s="94"/>
      <c r="TEY64" s="94"/>
      <c r="TEZ64" s="94"/>
      <c r="TFA64" s="94"/>
      <c r="TFB64" s="94"/>
      <c r="TFC64" s="94"/>
      <c r="TFD64" s="94"/>
      <c r="TFE64" s="94"/>
      <c r="TFF64" s="94"/>
      <c r="TFG64" s="94"/>
      <c r="TFH64" s="94"/>
      <c r="TFI64" s="94"/>
      <c r="TFJ64" s="94"/>
      <c r="TFK64" s="94"/>
      <c r="TFL64" s="94"/>
      <c r="TFM64" s="94"/>
      <c r="TFN64" s="94"/>
      <c r="TFO64" s="94"/>
      <c r="TFP64" s="94"/>
      <c r="TFQ64" s="94"/>
      <c r="TFR64" s="94"/>
      <c r="TFS64" s="94"/>
      <c r="TFT64" s="94"/>
      <c r="TFU64" s="94"/>
      <c r="TFV64" s="94"/>
      <c r="TFW64" s="94"/>
      <c r="TFX64" s="94"/>
      <c r="TFY64" s="94"/>
      <c r="TFZ64" s="94"/>
      <c r="TGA64" s="94"/>
      <c r="TGB64" s="94"/>
      <c r="TGC64" s="94"/>
      <c r="TGD64" s="94"/>
      <c r="TGE64" s="94"/>
      <c r="TGF64" s="94"/>
      <c r="TGG64" s="94"/>
      <c r="TGH64" s="94"/>
      <c r="TGI64" s="94"/>
      <c r="TGJ64" s="94"/>
      <c r="TGK64" s="94"/>
      <c r="TGL64" s="94"/>
      <c r="TGM64" s="94"/>
      <c r="TGN64" s="94"/>
      <c r="TGO64" s="94"/>
      <c r="TGP64" s="94"/>
      <c r="TGQ64" s="94"/>
      <c r="TGR64" s="94"/>
      <c r="TGS64" s="94"/>
      <c r="TGT64" s="94"/>
      <c r="TGU64" s="94"/>
      <c r="TGV64" s="94"/>
      <c r="TGW64" s="94"/>
      <c r="TGX64" s="94"/>
      <c r="TGY64" s="94"/>
      <c r="TGZ64" s="94"/>
      <c r="THA64" s="94"/>
      <c r="THB64" s="94"/>
      <c r="THC64" s="94"/>
      <c r="THD64" s="94"/>
      <c r="THE64" s="94"/>
      <c r="THF64" s="94"/>
      <c r="THG64" s="94"/>
      <c r="THH64" s="94"/>
      <c r="THI64" s="94"/>
      <c r="THJ64" s="94"/>
      <c r="THK64" s="94"/>
      <c r="THL64" s="94"/>
      <c r="THM64" s="94"/>
      <c r="THN64" s="94"/>
      <c r="THO64" s="94"/>
      <c r="THP64" s="94"/>
      <c r="THQ64" s="94"/>
      <c r="THR64" s="94"/>
      <c r="THS64" s="94"/>
      <c r="THT64" s="94"/>
      <c r="THU64" s="94"/>
      <c r="THV64" s="94"/>
      <c r="THW64" s="94"/>
      <c r="THX64" s="94"/>
      <c r="THY64" s="94"/>
      <c r="THZ64" s="94"/>
      <c r="TIA64" s="94"/>
      <c r="TIB64" s="94"/>
      <c r="TIC64" s="94"/>
      <c r="TID64" s="94"/>
      <c r="TIE64" s="94"/>
      <c r="TIF64" s="94"/>
      <c r="TIG64" s="94"/>
      <c r="TIH64" s="94"/>
      <c r="TII64" s="94"/>
      <c r="TIJ64" s="94"/>
      <c r="TIK64" s="94"/>
      <c r="TIL64" s="94"/>
      <c r="TIM64" s="94"/>
      <c r="TIN64" s="94"/>
      <c r="TIO64" s="94"/>
      <c r="TIP64" s="94"/>
      <c r="TIQ64" s="94"/>
      <c r="TIR64" s="94"/>
      <c r="TIS64" s="94"/>
      <c r="TIT64" s="94"/>
      <c r="TIU64" s="94"/>
      <c r="TIV64" s="94"/>
      <c r="TIW64" s="94"/>
      <c r="TIX64" s="94"/>
      <c r="TIY64" s="94"/>
      <c r="TIZ64" s="94"/>
      <c r="TJA64" s="94"/>
      <c r="TJB64" s="94"/>
      <c r="TJC64" s="94"/>
      <c r="TJD64" s="94"/>
      <c r="TJE64" s="94"/>
      <c r="TJF64" s="94"/>
      <c r="TJG64" s="94"/>
      <c r="TJH64" s="94"/>
      <c r="TJI64" s="94"/>
      <c r="TJJ64" s="94"/>
      <c r="TJK64" s="94"/>
      <c r="TJL64" s="94"/>
      <c r="TJM64" s="94"/>
      <c r="TJN64" s="94"/>
      <c r="TJO64" s="94"/>
      <c r="TJP64" s="94"/>
      <c r="TJQ64" s="94"/>
      <c r="TJR64" s="94"/>
      <c r="TJS64" s="94"/>
      <c r="TJT64" s="94"/>
      <c r="TJU64" s="94"/>
      <c r="TJV64" s="94"/>
      <c r="TJW64" s="94"/>
      <c r="TJX64" s="94"/>
      <c r="TJY64" s="94"/>
      <c r="TJZ64" s="94"/>
      <c r="TKA64" s="94"/>
      <c r="TKB64" s="94"/>
      <c r="TKC64" s="94"/>
      <c r="TKD64" s="94"/>
      <c r="TKE64" s="94"/>
      <c r="TKF64" s="94"/>
      <c r="TKG64" s="94"/>
      <c r="TKH64" s="94"/>
      <c r="TKI64" s="94"/>
      <c r="TKJ64" s="94"/>
      <c r="TKK64" s="94"/>
      <c r="TKL64" s="94"/>
      <c r="TKM64" s="94"/>
      <c r="TKN64" s="94"/>
      <c r="TKO64" s="94"/>
      <c r="TKP64" s="94"/>
      <c r="TKQ64" s="94"/>
      <c r="TKR64" s="94"/>
      <c r="TKS64" s="94"/>
      <c r="TKT64" s="94"/>
      <c r="TKU64" s="94"/>
      <c r="TKV64" s="94"/>
      <c r="TKW64" s="94"/>
      <c r="TKX64" s="94"/>
      <c r="TKY64" s="94"/>
      <c r="TKZ64" s="94"/>
      <c r="TLA64" s="94"/>
      <c r="TLB64" s="94"/>
      <c r="TLC64" s="94"/>
      <c r="TLD64" s="94"/>
      <c r="TLE64" s="94"/>
      <c r="TLF64" s="94"/>
      <c r="TLG64" s="94"/>
      <c r="TLH64" s="94"/>
      <c r="TLI64" s="94"/>
      <c r="TLJ64" s="94"/>
      <c r="TLK64" s="94"/>
      <c r="TLL64" s="94"/>
      <c r="TLM64" s="94"/>
      <c r="TLN64" s="94"/>
      <c r="TLO64" s="94"/>
      <c r="TLP64" s="94"/>
      <c r="TLQ64" s="94"/>
      <c r="TLR64" s="94"/>
      <c r="TLS64" s="94"/>
      <c r="TLT64" s="94"/>
      <c r="TLU64" s="94"/>
      <c r="TLV64" s="94"/>
      <c r="TLW64" s="94"/>
      <c r="TLX64" s="94"/>
      <c r="TLY64" s="94"/>
      <c r="TLZ64" s="94"/>
      <c r="TMA64" s="94"/>
      <c r="TMB64" s="94"/>
      <c r="TMC64" s="94"/>
      <c r="TMD64" s="94"/>
      <c r="TME64" s="94"/>
      <c r="TMF64" s="94"/>
      <c r="TMG64" s="94"/>
      <c r="TMH64" s="94"/>
      <c r="TMI64" s="94"/>
      <c r="TMJ64" s="94"/>
      <c r="TMK64" s="94"/>
      <c r="TML64" s="94"/>
      <c r="TMM64" s="94"/>
      <c r="TMN64" s="94"/>
      <c r="TMO64" s="94"/>
      <c r="TMP64" s="94"/>
      <c r="TMQ64" s="94"/>
      <c r="TMR64" s="94"/>
      <c r="TMS64" s="94"/>
      <c r="TMT64" s="94"/>
      <c r="TMU64" s="94"/>
      <c r="TMV64" s="94"/>
      <c r="TMW64" s="94"/>
      <c r="TMX64" s="94"/>
      <c r="TMY64" s="94"/>
      <c r="TMZ64" s="94"/>
      <c r="TNA64" s="94"/>
      <c r="TNB64" s="94"/>
      <c r="TNC64" s="94"/>
      <c r="TND64" s="94"/>
      <c r="TNE64" s="94"/>
      <c r="TNF64" s="94"/>
      <c r="TNG64" s="94"/>
      <c r="TNH64" s="94"/>
      <c r="TNI64" s="94"/>
      <c r="TNJ64" s="94"/>
      <c r="TNK64" s="94"/>
      <c r="TNL64" s="94"/>
      <c r="TNM64" s="94"/>
      <c r="TNN64" s="94"/>
      <c r="TNO64" s="94"/>
      <c r="TNP64" s="94"/>
      <c r="TNQ64" s="94"/>
      <c r="TNR64" s="94"/>
      <c r="TNS64" s="94"/>
      <c r="TNT64" s="94"/>
      <c r="TNU64" s="94"/>
      <c r="TNV64" s="94"/>
      <c r="TNW64" s="94"/>
      <c r="TNX64" s="94"/>
      <c r="TNY64" s="94"/>
      <c r="TNZ64" s="94"/>
      <c r="TOA64" s="94"/>
      <c r="TOB64" s="94"/>
      <c r="TOC64" s="94"/>
      <c r="TOD64" s="94"/>
      <c r="TOE64" s="94"/>
      <c r="TOF64" s="94"/>
      <c r="TOG64" s="94"/>
      <c r="TOH64" s="94"/>
      <c r="TOI64" s="94"/>
      <c r="TOJ64" s="94"/>
      <c r="TOK64" s="94"/>
      <c r="TOL64" s="94"/>
      <c r="TOM64" s="94"/>
      <c r="TON64" s="94"/>
      <c r="TOO64" s="94"/>
      <c r="TOP64" s="94"/>
      <c r="TOQ64" s="94"/>
      <c r="TOR64" s="94"/>
      <c r="TOS64" s="94"/>
      <c r="TOT64" s="94"/>
      <c r="TOU64" s="94"/>
      <c r="TOV64" s="94"/>
      <c r="TOW64" s="94"/>
      <c r="TOX64" s="94"/>
      <c r="TOY64" s="94"/>
      <c r="TOZ64" s="94"/>
      <c r="TPA64" s="94"/>
      <c r="TPB64" s="94"/>
      <c r="TPC64" s="94"/>
      <c r="TPD64" s="94"/>
      <c r="TPE64" s="94"/>
      <c r="TPF64" s="94"/>
      <c r="TPG64" s="94"/>
      <c r="TPH64" s="94"/>
      <c r="TPI64" s="94"/>
      <c r="TPJ64" s="94"/>
      <c r="TPK64" s="94"/>
      <c r="TPL64" s="94"/>
      <c r="TPM64" s="94"/>
      <c r="TPN64" s="94"/>
      <c r="TPO64" s="94"/>
      <c r="TPP64" s="94"/>
      <c r="TPQ64" s="94"/>
      <c r="TPR64" s="94"/>
      <c r="TPS64" s="94"/>
      <c r="TPT64" s="94"/>
      <c r="TPU64" s="94"/>
      <c r="TPV64" s="94"/>
      <c r="TPW64" s="94"/>
      <c r="TPX64" s="94"/>
      <c r="TPY64" s="94"/>
      <c r="TPZ64" s="94"/>
      <c r="TQA64" s="94"/>
      <c r="TQB64" s="94"/>
      <c r="TQC64" s="94"/>
      <c r="TQD64" s="94"/>
      <c r="TQE64" s="94"/>
      <c r="TQF64" s="94"/>
      <c r="TQG64" s="94"/>
      <c r="TQH64" s="94"/>
      <c r="TQI64" s="94"/>
      <c r="TQJ64" s="94"/>
      <c r="TQK64" s="94"/>
      <c r="TQL64" s="94"/>
      <c r="TQM64" s="94"/>
      <c r="TQN64" s="94"/>
      <c r="TQO64" s="94"/>
      <c r="TQP64" s="94"/>
      <c r="TQQ64" s="94"/>
      <c r="TQR64" s="94"/>
      <c r="TQS64" s="94"/>
      <c r="TQT64" s="94"/>
      <c r="TQU64" s="94"/>
      <c r="TQV64" s="94"/>
      <c r="TQW64" s="94"/>
      <c r="TQX64" s="94"/>
      <c r="TQY64" s="94"/>
      <c r="TQZ64" s="94"/>
      <c r="TRA64" s="94"/>
      <c r="TRB64" s="94"/>
      <c r="TRC64" s="94"/>
      <c r="TRD64" s="94"/>
      <c r="TRE64" s="94"/>
      <c r="TRF64" s="94"/>
      <c r="TRG64" s="94"/>
      <c r="TRH64" s="94"/>
      <c r="TRI64" s="94"/>
      <c r="TRJ64" s="94"/>
      <c r="TRK64" s="94"/>
      <c r="TRL64" s="94"/>
      <c r="TRM64" s="94"/>
      <c r="TRN64" s="94"/>
      <c r="TRO64" s="94"/>
      <c r="TRP64" s="94"/>
      <c r="TRQ64" s="94"/>
      <c r="TRR64" s="94"/>
      <c r="TRS64" s="94"/>
      <c r="TRT64" s="94"/>
      <c r="TRU64" s="94"/>
      <c r="TRV64" s="94"/>
      <c r="TRW64" s="94"/>
      <c r="TRX64" s="94"/>
      <c r="TRY64" s="94"/>
      <c r="TRZ64" s="94"/>
      <c r="TSA64" s="94"/>
      <c r="TSB64" s="94"/>
      <c r="TSC64" s="94"/>
      <c r="TSD64" s="94"/>
      <c r="TSE64" s="94"/>
      <c r="TSF64" s="94"/>
      <c r="TSG64" s="94"/>
      <c r="TSH64" s="94"/>
      <c r="TSI64" s="94"/>
      <c r="TSJ64" s="94"/>
      <c r="TSK64" s="94"/>
      <c r="TSL64" s="94"/>
      <c r="TSM64" s="94"/>
      <c r="TSN64" s="94"/>
      <c r="TSO64" s="94"/>
      <c r="TSP64" s="94"/>
      <c r="TSQ64" s="94"/>
      <c r="TSR64" s="94"/>
      <c r="TSS64" s="94"/>
      <c r="TST64" s="94"/>
      <c r="TSU64" s="94"/>
      <c r="TSV64" s="94"/>
      <c r="TSW64" s="94"/>
      <c r="TSX64" s="94"/>
      <c r="TSY64" s="94"/>
      <c r="TSZ64" s="94"/>
      <c r="TTA64" s="94"/>
      <c r="TTB64" s="94"/>
      <c r="TTC64" s="94"/>
      <c r="TTD64" s="94"/>
      <c r="TTE64" s="94"/>
      <c r="TTF64" s="94"/>
      <c r="TTG64" s="94"/>
      <c r="TTH64" s="94"/>
      <c r="TTI64" s="94"/>
      <c r="TTJ64" s="94"/>
      <c r="TTK64" s="94"/>
      <c r="TTL64" s="94"/>
      <c r="TTM64" s="94"/>
      <c r="TTN64" s="94"/>
      <c r="TTO64" s="94"/>
      <c r="TTP64" s="94"/>
      <c r="TTQ64" s="94"/>
      <c r="TTR64" s="94"/>
      <c r="TTS64" s="94"/>
      <c r="TTT64" s="94"/>
      <c r="TTU64" s="94"/>
      <c r="TTV64" s="94"/>
      <c r="TTW64" s="94"/>
      <c r="TTX64" s="94"/>
      <c r="TTY64" s="94"/>
      <c r="TTZ64" s="94"/>
      <c r="TUA64" s="94"/>
      <c r="TUB64" s="94"/>
      <c r="TUC64" s="94"/>
      <c r="TUD64" s="94"/>
      <c r="TUE64" s="94"/>
      <c r="TUF64" s="94"/>
      <c r="TUG64" s="94"/>
      <c r="TUH64" s="94"/>
      <c r="TUI64" s="94"/>
      <c r="TUJ64" s="94"/>
      <c r="TUK64" s="94"/>
      <c r="TUL64" s="94"/>
      <c r="TUM64" s="94"/>
      <c r="TUN64" s="94"/>
      <c r="TUO64" s="94"/>
      <c r="TUP64" s="94"/>
      <c r="TUQ64" s="94"/>
      <c r="TUR64" s="94"/>
      <c r="TUS64" s="94"/>
      <c r="TUT64" s="94"/>
      <c r="TUU64" s="94"/>
      <c r="TUV64" s="94"/>
      <c r="TUW64" s="94"/>
      <c r="TUX64" s="94"/>
      <c r="TUY64" s="94"/>
      <c r="TUZ64" s="94"/>
      <c r="TVA64" s="94"/>
      <c r="TVB64" s="94"/>
      <c r="TVC64" s="94"/>
      <c r="TVD64" s="94"/>
      <c r="TVE64" s="94"/>
      <c r="TVF64" s="94"/>
      <c r="TVG64" s="94"/>
      <c r="TVH64" s="94"/>
      <c r="TVI64" s="94"/>
      <c r="TVJ64" s="94"/>
      <c r="TVK64" s="94"/>
      <c r="TVL64" s="94"/>
      <c r="TVM64" s="94"/>
      <c r="TVN64" s="94"/>
      <c r="TVO64" s="94"/>
      <c r="TVP64" s="94"/>
      <c r="TVQ64" s="94"/>
      <c r="TVR64" s="94"/>
      <c r="TVS64" s="94"/>
      <c r="TVT64" s="94"/>
      <c r="TVU64" s="94"/>
      <c r="TVV64" s="94"/>
      <c r="TVW64" s="94"/>
      <c r="TVX64" s="94"/>
      <c r="TVY64" s="94"/>
      <c r="TVZ64" s="94"/>
      <c r="TWA64" s="94"/>
      <c r="TWB64" s="94"/>
      <c r="TWC64" s="94"/>
      <c r="TWD64" s="94"/>
      <c r="TWE64" s="94"/>
      <c r="TWF64" s="94"/>
      <c r="TWG64" s="94"/>
      <c r="TWH64" s="94"/>
      <c r="TWI64" s="94"/>
      <c r="TWJ64" s="94"/>
      <c r="TWK64" s="94"/>
      <c r="TWL64" s="94"/>
      <c r="TWM64" s="94"/>
      <c r="TWN64" s="94"/>
      <c r="TWO64" s="94"/>
      <c r="TWP64" s="94"/>
      <c r="TWQ64" s="94"/>
      <c r="TWR64" s="94"/>
      <c r="TWS64" s="94"/>
      <c r="TWT64" s="94"/>
      <c r="TWU64" s="94"/>
      <c r="TWV64" s="94"/>
      <c r="TWW64" s="94"/>
      <c r="TWX64" s="94"/>
      <c r="TWY64" s="94"/>
      <c r="TWZ64" s="94"/>
      <c r="TXA64" s="94"/>
      <c r="TXB64" s="94"/>
      <c r="TXC64" s="94"/>
      <c r="TXD64" s="94"/>
      <c r="TXE64" s="94"/>
      <c r="TXF64" s="94"/>
      <c r="TXG64" s="94"/>
      <c r="TXH64" s="94"/>
      <c r="TXI64" s="94"/>
      <c r="TXJ64" s="94"/>
      <c r="TXK64" s="94"/>
      <c r="TXL64" s="94"/>
      <c r="TXM64" s="94"/>
      <c r="TXN64" s="94"/>
      <c r="TXO64" s="94"/>
      <c r="TXP64" s="94"/>
      <c r="TXQ64" s="94"/>
      <c r="TXR64" s="94"/>
      <c r="TXS64" s="94"/>
      <c r="TXT64" s="94"/>
      <c r="TXU64" s="94"/>
      <c r="TXV64" s="94"/>
      <c r="TXW64" s="94"/>
      <c r="TXX64" s="94"/>
      <c r="TXY64" s="94"/>
      <c r="TXZ64" s="94"/>
      <c r="TYA64" s="94"/>
      <c r="TYB64" s="94"/>
      <c r="TYC64" s="94"/>
      <c r="TYD64" s="94"/>
      <c r="TYE64" s="94"/>
      <c r="TYF64" s="94"/>
      <c r="TYG64" s="94"/>
      <c r="TYH64" s="94"/>
      <c r="TYI64" s="94"/>
      <c r="TYJ64" s="94"/>
      <c r="TYK64" s="94"/>
      <c r="TYL64" s="94"/>
      <c r="TYM64" s="94"/>
      <c r="TYN64" s="94"/>
      <c r="TYO64" s="94"/>
      <c r="TYP64" s="94"/>
      <c r="TYQ64" s="94"/>
      <c r="TYR64" s="94"/>
      <c r="TYS64" s="94"/>
      <c r="TYT64" s="94"/>
      <c r="TYU64" s="94"/>
      <c r="TYV64" s="94"/>
      <c r="TYW64" s="94"/>
      <c r="TYX64" s="94"/>
      <c r="TYY64" s="94"/>
      <c r="TYZ64" s="94"/>
      <c r="TZA64" s="94"/>
      <c r="TZB64" s="94"/>
      <c r="TZC64" s="94"/>
      <c r="TZD64" s="94"/>
      <c r="TZE64" s="94"/>
      <c r="TZF64" s="94"/>
      <c r="TZG64" s="94"/>
      <c r="TZH64" s="94"/>
      <c r="TZI64" s="94"/>
      <c r="TZJ64" s="94"/>
      <c r="TZK64" s="94"/>
      <c r="TZL64" s="94"/>
      <c r="TZM64" s="94"/>
      <c r="TZN64" s="94"/>
      <c r="TZO64" s="94"/>
      <c r="TZP64" s="94"/>
      <c r="TZQ64" s="94"/>
      <c r="TZR64" s="94"/>
      <c r="TZS64" s="94"/>
      <c r="TZT64" s="94"/>
      <c r="TZU64" s="94"/>
      <c r="TZV64" s="94"/>
      <c r="TZW64" s="94"/>
      <c r="TZX64" s="94"/>
      <c r="TZY64" s="94"/>
      <c r="TZZ64" s="94"/>
      <c r="UAA64" s="94"/>
      <c r="UAB64" s="94"/>
      <c r="UAC64" s="94"/>
      <c r="UAD64" s="94"/>
      <c r="UAE64" s="94"/>
      <c r="UAF64" s="94"/>
      <c r="UAG64" s="94"/>
      <c r="UAH64" s="94"/>
      <c r="UAI64" s="94"/>
      <c r="UAJ64" s="94"/>
      <c r="UAK64" s="94"/>
      <c r="UAL64" s="94"/>
      <c r="UAM64" s="94"/>
      <c r="UAN64" s="94"/>
      <c r="UAO64" s="94"/>
      <c r="UAP64" s="94"/>
      <c r="UAQ64" s="94"/>
      <c r="UAR64" s="94"/>
      <c r="UAS64" s="94"/>
      <c r="UAT64" s="94"/>
      <c r="UAU64" s="94"/>
      <c r="UAV64" s="94"/>
      <c r="UAW64" s="94"/>
      <c r="UAX64" s="94"/>
      <c r="UAY64" s="94"/>
      <c r="UAZ64" s="94"/>
      <c r="UBA64" s="94"/>
      <c r="UBB64" s="94"/>
      <c r="UBC64" s="94"/>
      <c r="UBD64" s="94"/>
      <c r="UBE64" s="94"/>
      <c r="UBF64" s="94"/>
      <c r="UBG64" s="94"/>
      <c r="UBH64" s="94"/>
      <c r="UBI64" s="94"/>
      <c r="UBJ64" s="94"/>
      <c r="UBK64" s="94"/>
      <c r="UBL64" s="94"/>
      <c r="UBM64" s="94"/>
      <c r="UBN64" s="94"/>
      <c r="UBO64" s="94"/>
      <c r="UBP64" s="94"/>
      <c r="UBQ64" s="94"/>
      <c r="UBR64" s="94"/>
      <c r="UBS64" s="94"/>
      <c r="UBT64" s="94"/>
      <c r="UBU64" s="94"/>
      <c r="UBV64" s="94"/>
      <c r="UBW64" s="94"/>
      <c r="UBX64" s="94"/>
      <c r="UBY64" s="94"/>
      <c r="UBZ64" s="94"/>
      <c r="UCA64" s="94"/>
      <c r="UCB64" s="94"/>
      <c r="UCC64" s="94"/>
      <c r="UCD64" s="94"/>
      <c r="UCE64" s="94"/>
      <c r="UCF64" s="94"/>
      <c r="UCG64" s="94"/>
      <c r="UCH64" s="94"/>
      <c r="UCI64" s="94"/>
      <c r="UCJ64" s="94"/>
      <c r="UCK64" s="94"/>
      <c r="UCL64" s="94"/>
      <c r="UCM64" s="94"/>
      <c r="UCN64" s="94"/>
      <c r="UCO64" s="94"/>
      <c r="UCP64" s="94"/>
      <c r="UCQ64" s="94"/>
      <c r="UCR64" s="94"/>
      <c r="UCS64" s="94"/>
      <c r="UCT64" s="94"/>
      <c r="UCU64" s="94"/>
      <c r="UCV64" s="94"/>
      <c r="UCW64" s="94"/>
      <c r="UCX64" s="94"/>
      <c r="UCY64" s="94"/>
      <c r="UCZ64" s="94"/>
      <c r="UDA64" s="94"/>
      <c r="UDB64" s="94"/>
      <c r="UDC64" s="94"/>
      <c r="UDD64" s="94"/>
      <c r="UDE64" s="94"/>
      <c r="UDF64" s="94"/>
      <c r="UDG64" s="94"/>
      <c r="UDH64" s="94"/>
      <c r="UDI64" s="94"/>
      <c r="UDJ64" s="94"/>
      <c r="UDK64" s="94"/>
      <c r="UDL64" s="94"/>
      <c r="UDM64" s="94"/>
      <c r="UDN64" s="94"/>
      <c r="UDO64" s="94"/>
      <c r="UDP64" s="94"/>
      <c r="UDQ64" s="94"/>
      <c r="UDR64" s="94"/>
      <c r="UDS64" s="94"/>
      <c r="UDT64" s="94"/>
      <c r="UDU64" s="94"/>
      <c r="UDV64" s="94"/>
      <c r="UDW64" s="94"/>
      <c r="UDX64" s="94"/>
      <c r="UDY64" s="94"/>
      <c r="UDZ64" s="94"/>
      <c r="UEA64" s="94"/>
      <c r="UEB64" s="94"/>
      <c r="UEC64" s="94"/>
      <c r="UED64" s="94"/>
      <c r="UEE64" s="94"/>
      <c r="UEF64" s="94"/>
      <c r="UEG64" s="94"/>
      <c r="UEH64" s="94"/>
      <c r="UEI64" s="94"/>
      <c r="UEJ64" s="94"/>
      <c r="UEK64" s="94"/>
      <c r="UEL64" s="94"/>
      <c r="UEM64" s="94"/>
      <c r="UEN64" s="94"/>
      <c r="UEO64" s="94"/>
      <c r="UEP64" s="94"/>
      <c r="UEQ64" s="94"/>
      <c r="UER64" s="94"/>
      <c r="UES64" s="94"/>
      <c r="UET64" s="94"/>
      <c r="UEU64" s="94"/>
      <c r="UEV64" s="94"/>
      <c r="UEW64" s="94"/>
      <c r="UEX64" s="94"/>
      <c r="UEY64" s="94"/>
      <c r="UEZ64" s="94"/>
      <c r="UFA64" s="94"/>
      <c r="UFB64" s="94"/>
      <c r="UFC64" s="94"/>
      <c r="UFD64" s="94"/>
      <c r="UFE64" s="94"/>
      <c r="UFF64" s="94"/>
      <c r="UFG64" s="94"/>
      <c r="UFH64" s="94"/>
      <c r="UFI64" s="94"/>
      <c r="UFJ64" s="94"/>
      <c r="UFK64" s="94"/>
      <c r="UFL64" s="94"/>
      <c r="UFM64" s="94"/>
      <c r="UFN64" s="94"/>
      <c r="UFO64" s="94"/>
      <c r="UFP64" s="94"/>
      <c r="UFQ64" s="94"/>
      <c r="UFR64" s="94"/>
      <c r="UFS64" s="94"/>
      <c r="UFT64" s="94"/>
      <c r="UFU64" s="94"/>
      <c r="UFV64" s="94"/>
      <c r="UFW64" s="94"/>
      <c r="UFX64" s="94"/>
      <c r="UFY64" s="94"/>
      <c r="UFZ64" s="94"/>
      <c r="UGA64" s="94"/>
      <c r="UGB64" s="94"/>
      <c r="UGC64" s="94"/>
      <c r="UGD64" s="94"/>
      <c r="UGE64" s="94"/>
      <c r="UGF64" s="94"/>
      <c r="UGG64" s="94"/>
      <c r="UGH64" s="94"/>
      <c r="UGI64" s="94"/>
      <c r="UGJ64" s="94"/>
      <c r="UGK64" s="94"/>
      <c r="UGL64" s="94"/>
      <c r="UGM64" s="94"/>
      <c r="UGN64" s="94"/>
      <c r="UGO64" s="94"/>
      <c r="UGP64" s="94"/>
      <c r="UGQ64" s="94"/>
      <c r="UGR64" s="94"/>
      <c r="UGS64" s="94"/>
      <c r="UGT64" s="94"/>
      <c r="UGU64" s="94"/>
      <c r="UGV64" s="94"/>
      <c r="UGW64" s="94"/>
      <c r="UGX64" s="94"/>
      <c r="UGY64" s="94"/>
      <c r="UGZ64" s="94"/>
      <c r="UHA64" s="94"/>
      <c r="UHB64" s="94"/>
      <c r="UHC64" s="94"/>
      <c r="UHD64" s="94"/>
      <c r="UHE64" s="94"/>
      <c r="UHF64" s="94"/>
      <c r="UHG64" s="94"/>
      <c r="UHH64" s="94"/>
      <c r="UHI64" s="94"/>
      <c r="UHJ64" s="94"/>
      <c r="UHK64" s="94"/>
      <c r="UHL64" s="94"/>
      <c r="UHM64" s="94"/>
      <c r="UHN64" s="94"/>
      <c r="UHO64" s="94"/>
      <c r="UHP64" s="94"/>
      <c r="UHQ64" s="94"/>
      <c r="UHR64" s="94"/>
      <c r="UHS64" s="94"/>
      <c r="UHT64" s="94"/>
      <c r="UHU64" s="94"/>
      <c r="UHV64" s="94"/>
      <c r="UHW64" s="94"/>
      <c r="UHX64" s="94"/>
      <c r="UHY64" s="94"/>
      <c r="UHZ64" s="94"/>
      <c r="UIA64" s="94"/>
      <c r="UIB64" s="94"/>
      <c r="UIC64" s="94"/>
      <c r="UID64" s="94"/>
      <c r="UIE64" s="94"/>
      <c r="UIF64" s="94"/>
      <c r="UIG64" s="94"/>
      <c r="UIH64" s="94"/>
      <c r="UII64" s="94"/>
      <c r="UIJ64" s="94"/>
      <c r="UIK64" s="94"/>
      <c r="UIL64" s="94"/>
      <c r="UIM64" s="94"/>
      <c r="UIN64" s="94"/>
      <c r="UIO64" s="94"/>
      <c r="UIP64" s="94"/>
      <c r="UIQ64" s="94"/>
      <c r="UIR64" s="94"/>
      <c r="UIS64" s="94"/>
      <c r="UIT64" s="94"/>
      <c r="UIU64" s="94"/>
      <c r="UIV64" s="94"/>
      <c r="UIW64" s="94"/>
      <c r="UIX64" s="94"/>
      <c r="UIY64" s="94"/>
      <c r="UIZ64" s="94"/>
      <c r="UJA64" s="94"/>
      <c r="UJB64" s="94"/>
      <c r="UJC64" s="94"/>
      <c r="UJD64" s="94"/>
      <c r="UJE64" s="94"/>
      <c r="UJF64" s="94"/>
      <c r="UJG64" s="94"/>
      <c r="UJH64" s="94"/>
      <c r="UJI64" s="94"/>
      <c r="UJJ64" s="94"/>
      <c r="UJK64" s="94"/>
      <c r="UJL64" s="94"/>
      <c r="UJM64" s="94"/>
      <c r="UJN64" s="94"/>
      <c r="UJO64" s="94"/>
      <c r="UJP64" s="94"/>
      <c r="UJQ64" s="94"/>
      <c r="UJR64" s="94"/>
      <c r="UJS64" s="94"/>
      <c r="UJT64" s="94"/>
      <c r="UJU64" s="94"/>
      <c r="UJV64" s="94"/>
      <c r="UJW64" s="94"/>
      <c r="UJX64" s="94"/>
      <c r="UJY64" s="94"/>
      <c r="UJZ64" s="94"/>
      <c r="UKA64" s="94"/>
      <c r="UKB64" s="94"/>
      <c r="UKC64" s="94"/>
      <c r="UKD64" s="94"/>
      <c r="UKE64" s="94"/>
      <c r="UKF64" s="94"/>
      <c r="UKG64" s="94"/>
      <c r="UKH64" s="94"/>
      <c r="UKI64" s="94"/>
      <c r="UKJ64" s="94"/>
      <c r="UKK64" s="94"/>
      <c r="UKL64" s="94"/>
      <c r="UKM64" s="94"/>
      <c r="UKN64" s="94"/>
      <c r="UKO64" s="94"/>
      <c r="UKP64" s="94"/>
      <c r="UKQ64" s="94"/>
      <c r="UKR64" s="94"/>
      <c r="UKS64" s="94"/>
      <c r="UKT64" s="94"/>
      <c r="UKU64" s="94"/>
      <c r="UKV64" s="94"/>
      <c r="UKW64" s="94"/>
      <c r="UKX64" s="94"/>
      <c r="UKY64" s="94"/>
      <c r="UKZ64" s="94"/>
      <c r="ULA64" s="94"/>
      <c r="ULB64" s="94"/>
      <c r="ULC64" s="94"/>
      <c r="ULD64" s="94"/>
      <c r="ULE64" s="94"/>
      <c r="ULF64" s="94"/>
      <c r="ULG64" s="94"/>
      <c r="ULH64" s="94"/>
      <c r="ULI64" s="94"/>
      <c r="ULJ64" s="94"/>
      <c r="ULK64" s="94"/>
      <c r="ULL64" s="94"/>
      <c r="ULM64" s="94"/>
      <c r="ULN64" s="94"/>
      <c r="ULO64" s="94"/>
      <c r="ULP64" s="94"/>
      <c r="ULQ64" s="94"/>
      <c r="ULR64" s="94"/>
      <c r="ULS64" s="94"/>
      <c r="ULT64" s="94"/>
      <c r="ULU64" s="94"/>
      <c r="ULV64" s="94"/>
      <c r="ULW64" s="94"/>
      <c r="ULX64" s="94"/>
      <c r="ULY64" s="94"/>
      <c r="ULZ64" s="94"/>
      <c r="UMA64" s="94"/>
      <c r="UMB64" s="94"/>
      <c r="UMC64" s="94"/>
      <c r="UMD64" s="94"/>
      <c r="UME64" s="94"/>
      <c r="UMF64" s="94"/>
      <c r="UMG64" s="94"/>
      <c r="UMH64" s="94"/>
      <c r="UMI64" s="94"/>
      <c r="UMJ64" s="94"/>
      <c r="UMK64" s="94"/>
      <c r="UML64" s="94"/>
      <c r="UMM64" s="94"/>
      <c r="UMN64" s="94"/>
      <c r="UMO64" s="94"/>
      <c r="UMP64" s="94"/>
      <c r="UMQ64" s="94"/>
      <c r="UMR64" s="94"/>
      <c r="UMS64" s="94"/>
      <c r="UMT64" s="94"/>
      <c r="UMU64" s="94"/>
      <c r="UMV64" s="94"/>
      <c r="UMW64" s="94"/>
      <c r="UMX64" s="94"/>
      <c r="UMY64" s="94"/>
      <c r="UMZ64" s="94"/>
      <c r="UNA64" s="94"/>
      <c r="UNB64" s="94"/>
      <c r="UNC64" s="94"/>
      <c r="UND64" s="94"/>
      <c r="UNE64" s="94"/>
      <c r="UNF64" s="94"/>
      <c r="UNG64" s="94"/>
      <c r="UNH64" s="94"/>
      <c r="UNI64" s="94"/>
      <c r="UNJ64" s="94"/>
      <c r="UNK64" s="94"/>
      <c r="UNL64" s="94"/>
      <c r="UNM64" s="94"/>
      <c r="UNN64" s="94"/>
      <c r="UNO64" s="94"/>
      <c r="UNP64" s="94"/>
      <c r="UNQ64" s="94"/>
      <c r="UNR64" s="94"/>
      <c r="UNS64" s="94"/>
      <c r="UNT64" s="94"/>
      <c r="UNU64" s="94"/>
      <c r="UNV64" s="94"/>
      <c r="UNW64" s="94"/>
      <c r="UNX64" s="94"/>
      <c r="UNY64" s="94"/>
      <c r="UNZ64" s="94"/>
      <c r="UOA64" s="94"/>
      <c r="UOB64" s="94"/>
      <c r="UOC64" s="94"/>
      <c r="UOD64" s="94"/>
      <c r="UOE64" s="94"/>
      <c r="UOF64" s="94"/>
      <c r="UOG64" s="94"/>
      <c r="UOH64" s="94"/>
      <c r="UOI64" s="94"/>
      <c r="UOJ64" s="94"/>
      <c r="UOK64" s="94"/>
      <c r="UOL64" s="94"/>
      <c r="UOM64" s="94"/>
      <c r="UON64" s="94"/>
      <c r="UOO64" s="94"/>
      <c r="UOP64" s="94"/>
      <c r="UOQ64" s="94"/>
      <c r="UOR64" s="94"/>
      <c r="UOS64" s="94"/>
      <c r="UOT64" s="94"/>
      <c r="UOU64" s="94"/>
      <c r="UOV64" s="94"/>
      <c r="UOW64" s="94"/>
      <c r="UOX64" s="94"/>
      <c r="UOY64" s="94"/>
      <c r="UOZ64" s="94"/>
      <c r="UPA64" s="94"/>
      <c r="UPB64" s="94"/>
      <c r="UPC64" s="94"/>
      <c r="UPD64" s="94"/>
      <c r="UPE64" s="94"/>
      <c r="UPF64" s="94"/>
      <c r="UPG64" s="94"/>
      <c r="UPH64" s="94"/>
      <c r="UPI64" s="94"/>
      <c r="UPJ64" s="94"/>
      <c r="UPK64" s="94"/>
      <c r="UPL64" s="94"/>
      <c r="UPM64" s="94"/>
      <c r="UPN64" s="94"/>
      <c r="UPO64" s="94"/>
      <c r="UPP64" s="94"/>
      <c r="UPQ64" s="94"/>
      <c r="UPR64" s="94"/>
      <c r="UPS64" s="94"/>
      <c r="UPT64" s="94"/>
      <c r="UPU64" s="94"/>
      <c r="UPV64" s="94"/>
      <c r="UPW64" s="94"/>
      <c r="UPX64" s="94"/>
      <c r="UPY64" s="94"/>
      <c r="UPZ64" s="94"/>
      <c r="UQA64" s="94"/>
      <c r="UQB64" s="94"/>
      <c r="UQC64" s="94"/>
      <c r="UQD64" s="94"/>
      <c r="UQE64" s="94"/>
      <c r="UQF64" s="94"/>
      <c r="UQG64" s="94"/>
      <c r="UQH64" s="94"/>
      <c r="UQI64" s="94"/>
      <c r="UQJ64" s="94"/>
      <c r="UQK64" s="94"/>
      <c r="UQL64" s="94"/>
      <c r="UQM64" s="94"/>
      <c r="UQN64" s="94"/>
      <c r="UQO64" s="94"/>
      <c r="UQP64" s="94"/>
      <c r="UQQ64" s="94"/>
      <c r="UQR64" s="94"/>
      <c r="UQS64" s="94"/>
      <c r="UQT64" s="94"/>
      <c r="UQU64" s="94"/>
      <c r="UQV64" s="94"/>
      <c r="UQW64" s="94"/>
      <c r="UQX64" s="94"/>
      <c r="UQY64" s="94"/>
      <c r="UQZ64" s="94"/>
      <c r="URA64" s="94"/>
      <c r="URB64" s="94"/>
      <c r="URC64" s="94"/>
      <c r="URD64" s="94"/>
      <c r="URE64" s="94"/>
      <c r="URF64" s="94"/>
      <c r="URG64" s="94"/>
      <c r="URH64" s="94"/>
      <c r="URI64" s="94"/>
      <c r="URJ64" s="94"/>
      <c r="URK64" s="94"/>
      <c r="URL64" s="94"/>
      <c r="URM64" s="94"/>
      <c r="URN64" s="94"/>
      <c r="URO64" s="94"/>
      <c r="URP64" s="94"/>
      <c r="URQ64" s="94"/>
      <c r="URR64" s="94"/>
      <c r="URS64" s="94"/>
      <c r="URT64" s="94"/>
      <c r="URU64" s="94"/>
      <c r="URV64" s="94"/>
      <c r="URW64" s="94"/>
      <c r="URX64" s="94"/>
      <c r="URY64" s="94"/>
      <c r="URZ64" s="94"/>
      <c r="USA64" s="94"/>
      <c r="USB64" s="94"/>
      <c r="USC64" s="94"/>
      <c r="USD64" s="94"/>
      <c r="USE64" s="94"/>
      <c r="USF64" s="94"/>
      <c r="USG64" s="94"/>
      <c r="USH64" s="94"/>
      <c r="USI64" s="94"/>
      <c r="USJ64" s="94"/>
      <c r="USK64" s="94"/>
      <c r="USL64" s="94"/>
      <c r="USM64" s="94"/>
      <c r="USN64" s="94"/>
      <c r="USO64" s="94"/>
      <c r="USP64" s="94"/>
      <c r="USQ64" s="94"/>
      <c r="USR64" s="94"/>
      <c r="USS64" s="94"/>
      <c r="UST64" s="94"/>
      <c r="USU64" s="94"/>
      <c r="USV64" s="94"/>
      <c r="USW64" s="94"/>
      <c r="USX64" s="94"/>
      <c r="USY64" s="94"/>
      <c r="USZ64" s="94"/>
      <c r="UTA64" s="94"/>
      <c r="UTB64" s="94"/>
      <c r="UTC64" s="94"/>
      <c r="UTD64" s="94"/>
      <c r="UTE64" s="94"/>
      <c r="UTF64" s="94"/>
      <c r="UTG64" s="94"/>
      <c r="UTH64" s="94"/>
      <c r="UTI64" s="94"/>
      <c r="UTJ64" s="94"/>
      <c r="UTK64" s="94"/>
      <c r="UTL64" s="94"/>
      <c r="UTM64" s="94"/>
      <c r="UTN64" s="94"/>
      <c r="UTO64" s="94"/>
      <c r="UTP64" s="94"/>
      <c r="UTQ64" s="94"/>
      <c r="UTR64" s="94"/>
      <c r="UTS64" s="94"/>
      <c r="UTT64" s="94"/>
      <c r="UTU64" s="94"/>
      <c r="UTV64" s="94"/>
      <c r="UTW64" s="94"/>
      <c r="UTX64" s="94"/>
      <c r="UTY64" s="94"/>
      <c r="UTZ64" s="94"/>
      <c r="UUA64" s="94"/>
      <c r="UUB64" s="94"/>
      <c r="UUC64" s="94"/>
      <c r="UUD64" s="94"/>
      <c r="UUE64" s="94"/>
      <c r="UUF64" s="94"/>
      <c r="UUG64" s="94"/>
      <c r="UUH64" s="94"/>
      <c r="UUI64" s="94"/>
      <c r="UUJ64" s="94"/>
      <c r="UUK64" s="94"/>
      <c r="UUL64" s="94"/>
      <c r="UUM64" s="94"/>
      <c r="UUN64" s="94"/>
      <c r="UUO64" s="94"/>
      <c r="UUP64" s="94"/>
      <c r="UUQ64" s="94"/>
      <c r="UUR64" s="94"/>
      <c r="UUS64" s="94"/>
      <c r="UUT64" s="94"/>
      <c r="UUU64" s="94"/>
      <c r="UUV64" s="94"/>
      <c r="UUW64" s="94"/>
      <c r="UUX64" s="94"/>
      <c r="UUY64" s="94"/>
      <c r="UUZ64" s="94"/>
      <c r="UVA64" s="94"/>
      <c r="UVB64" s="94"/>
      <c r="UVC64" s="94"/>
      <c r="UVD64" s="94"/>
      <c r="UVE64" s="94"/>
      <c r="UVF64" s="94"/>
      <c r="UVG64" s="94"/>
      <c r="UVH64" s="94"/>
      <c r="UVI64" s="94"/>
      <c r="UVJ64" s="94"/>
      <c r="UVK64" s="94"/>
      <c r="UVL64" s="94"/>
      <c r="UVM64" s="94"/>
      <c r="UVN64" s="94"/>
      <c r="UVO64" s="94"/>
      <c r="UVP64" s="94"/>
      <c r="UVQ64" s="94"/>
      <c r="UVR64" s="94"/>
      <c r="UVS64" s="94"/>
      <c r="UVT64" s="94"/>
      <c r="UVU64" s="94"/>
      <c r="UVV64" s="94"/>
      <c r="UVW64" s="94"/>
      <c r="UVX64" s="94"/>
      <c r="UVY64" s="94"/>
      <c r="UVZ64" s="94"/>
      <c r="UWA64" s="94"/>
      <c r="UWB64" s="94"/>
      <c r="UWC64" s="94"/>
      <c r="UWD64" s="94"/>
      <c r="UWE64" s="94"/>
      <c r="UWF64" s="94"/>
      <c r="UWG64" s="94"/>
      <c r="UWH64" s="94"/>
      <c r="UWI64" s="94"/>
      <c r="UWJ64" s="94"/>
      <c r="UWK64" s="94"/>
      <c r="UWL64" s="94"/>
      <c r="UWM64" s="94"/>
      <c r="UWN64" s="94"/>
      <c r="UWO64" s="94"/>
      <c r="UWP64" s="94"/>
      <c r="UWQ64" s="94"/>
      <c r="UWR64" s="94"/>
      <c r="UWS64" s="94"/>
      <c r="UWT64" s="94"/>
      <c r="UWU64" s="94"/>
      <c r="UWV64" s="94"/>
      <c r="UWW64" s="94"/>
      <c r="UWX64" s="94"/>
      <c r="UWY64" s="94"/>
      <c r="UWZ64" s="94"/>
      <c r="UXA64" s="94"/>
      <c r="UXB64" s="94"/>
      <c r="UXC64" s="94"/>
      <c r="UXD64" s="94"/>
      <c r="UXE64" s="94"/>
      <c r="UXF64" s="94"/>
      <c r="UXG64" s="94"/>
      <c r="UXH64" s="94"/>
      <c r="UXI64" s="94"/>
      <c r="UXJ64" s="94"/>
      <c r="UXK64" s="94"/>
      <c r="UXL64" s="94"/>
      <c r="UXM64" s="94"/>
      <c r="UXN64" s="94"/>
      <c r="UXO64" s="94"/>
      <c r="UXP64" s="94"/>
      <c r="UXQ64" s="94"/>
      <c r="UXR64" s="94"/>
      <c r="UXS64" s="94"/>
      <c r="UXT64" s="94"/>
      <c r="UXU64" s="94"/>
      <c r="UXV64" s="94"/>
      <c r="UXW64" s="94"/>
      <c r="UXX64" s="94"/>
      <c r="UXY64" s="94"/>
      <c r="UXZ64" s="94"/>
      <c r="UYA64" s="94"/>
      <c r="UYB64" s="94"/>
      <c r="UYC64" s="94"/>
      <c r="UYD64" s="94"/>
      <c r="UYE64" s="94"/>
      <c r="UYF64" s="94"/>
      <c r="UYG64" s="94"/>
      <c r="UYH64" s="94"/>
      <c r="UYI64" s="94"/>
      <c r="UYJ64" s="94"/>
      <c r="UYK64" s="94"/>
      <c r="UYL64" s="94"/>
      <c r="UYM64" s="94"/>
      <c r="UYN64" s="94"/>
      <c r="UYO64" s="94"/>
      <c r="UYP64" s="94"/>
      <c r="UYQ64" s="94"/>
      <c r="UYR64" s="94"/>
      <c r="UYS64" s="94"/>
      <c r="UYT64" s="94"/>
      <c r="UYU64" s="94"/>
      <c r="UYV64" s="94"/>
      <c r="UYW64" s="94"/>
      <c r="UYX64" s="94"/>
      <c r="UYY64" s="94"/>
      <c r="UYZ64" s="94"/>
      <c r="UZA64" s="94"/>
      <c r="UZB64" s="94"/>
      <c r="UZC64" s="94"/>
      <c r="UZD64" s="94"/>
      <c r="UZE64" s="94"/>
      <c r="UZF64" s="94"/>
      <c r="UZG64" s="94"/>
      <c r="UZH64" s="94"/>
      <c r="UZI64" s="94"/>
      <c r="UZJ64" s="94"/>
      <c r="UZK64" s="94"/>
      <c r="UZL64" s="94"/>
      <c r="UZM64" s="94"/>
      <c r="UZN64" s="94"/>
      <c r="UZO64" s="94"/>
      <c r="UZP64" s="94"/>
      <c r="UZQ64" s="94"/>
      <c r="UZR64" s="94"/>
      <c r="UZS64" s="94"/>
      <c r="UZT64" s="94"/>
      <c r="UZU64" s="94"/>
      <c r="UZV64" s="94"/>
      <c r="UZW64" s="94"/>
      <c r="UZX64" s="94"/>
      <c r="UZY64" s="94"/>
      <c r="UZZ64" s="94"/>
      <c r="VAA64" s="94"/>
      <c r="VAB64" s="94"/>
      <c r="VAC64" s="94"/>
      <c r="VAD64" s="94"/>
      <c r="VAE64" s="94"/>
      <c r="VAF64" s="94"/>
      <c r="VAG64" s="94"/>
      <c r="VAH64" s="94"/>
      <c r="VAI64" s="94"/>
      <c r="VAJ64" s="94"/>
      <c r="VAK64" s="94"/>
      <c r="VAL64" s="94"/>
      <c r="VAM64" s="94"/>
      <c r="VAN64" s="94"/>
      <c r="VAO64" s="94"/>
      <c r="VAP64" s="94"/>
      <c r="VAQ64" s="94"/>
      <c r="VAR64" s="94"/>
      <c r="VAS64" s="94"/>
      <c r="VAT64" s="94"/>
      <c r="VAU64" s="94"/>
      <c r="VAV64" s="94"/>
      <c r="VAW64" s="94"/>
      <c r="VAX64" s="94"/>
      <c r="VAY64" s="94"/>
      <c r="VAZ64" s="94"/>
      <c r="VBA64" s="94"/>
      <c r="VBB64" s="94"/>
      <c r="VBC64" s="94"/>
      <c r="VBD64" s="94"/>
      <c r="VBE64" s="94"/>
      <c r="VBF64" s="94"/>
      <c r="VBG64" s="94"/>
      <c r="VBH64" s="94"/>
      <c r="VBI64" s="94"/>
      <c r="VBJ64" s="94"/>
      <c r="VBK64" s="94"/>
      <c r="VBL64" s="94"/>
      <c r="VBM64" s="94"/>
      <c r="VBN64" s="94"/>
      <c r="VBO64" s="94"/>
      <c r="VBP64" s="94"/>
      <c r="VBQ64" s="94"/>
      <c r="VBR64" s="94"/>
      <c r="VBS64" s="94"/>
      <c r="VBT64" s="94"/>
      <c r="VBU64" s="94"/>
      <c r="VBV64" s="94"/>
      <c r="VBW64" s="94"/>
      <c r="VBX64" s="94"/>
      <c r="VBY64" s="94"/>
      <c r="VBZ64" s="94"/>
      <c r="VCA64" s="94"/>
      <c r="VCB64" s="94"/>
      <c r="VCC64" s="94"/>
      <c r="VCD64" s="94"/>
      <c r="VCE64" s="94"/>
      <c r="VCF64" s="94"/>
      <c r="VCG64" s="94"/>
      <c r="VCH64" s="94"/>
      <c r="VCI64" s="94"/>
      <c r="VCJ64" s="94"/>
      <c r="VCK64" s="94"/>
      <c r="VCL64" s="94"/>
      <c r="VCM64" s="94"/>
      <c r="VCN64" s="94"/>
      <c r="VCO64" s="94"/>
      <c r="VCP64" s="94"/>
      <c r="VCQ64" s="94"/>
      <c r="VCR64" s="94"/>
      <c r="VCS64" s="94"/>
      <c r="VCT64" s="94"/>
      <c r="VCU64" s="94"/>
      <c r="VCV64" s="94"/>
      <c r="VCW64" s="94"/>
      <c r="VCX64" s="94"/>
      <c r="VCY64" s="94"/>
      <c r="VCZ64" s="94"/>
      <c r="VDA64" s="94"/>
      <c r="VDB64" s="94"/>
      <c r="VDC64" s="94"/>
      <c r="VDD64" s="94"/>
      <c r="VDE64" s="94"/>
      <c r="VDF64" s="94"/>
      <c r="VDG64" s="94"/>
      <c r="VDH64" s="94"/>
      <c r="VDI64" s="94"/>
      <c r="VDJ64" s="94"/>
      <c r="VDK64" s="94"/>
      <c r="VDL64" s="94"/>
      <c r="VDM64" s="94"/>
      <c r="VDN64" s="94"/>
      <c r="VDO64" s="94"/>
      <c r="VDP64" s="94"/>
      <c r="VDQ64" s="94"/>
      <c r="VDR64" s="94"/>
      <c r="VDS64" s="94"/>
      <c r="VDT64" s="94"/>
      <c r="VDU64" s="94"/>
      <c r="VDV64" s="94"/>
      <c r="VDW64" s="94"/>
      <c r="VDX64" s="94"/>
      <c r="VDY64" s="94"/>
      <c r="VDZ64" s="94"/>
      <c r="VEA64" s="94"/>
      <c r="VEB64" s="94"/>
      <c r="VEC64" s="94"/>
      <c r="VED64" s="94"/>
      <c r="VEE64" s="94"/>
      <c r="VEF64" s="94"/>
      <c r="VEG64" s="94"/>
      <c r="VEH64" s="94"/>
      <c r="VEI64" s="94"/>
      <c r="VEJ64" s="94"/>
      <c r="VEK64" s="94"/>
      <c r="VEL64" s="94"/>
      <c r="VEM64" s="94"/>
      <c r="VEN64" s="94"/>
      <c r="VEO64" s="94"/>
      <c r="VEP64" s="94"/>
      <c r="VEQ64" s="94"/>
      <c r="VER64" s="94"/>
      <c r="VES64" s="94"/>
      <c r="VET64" s="94"/>
      <c r="VEU64" s="94"/>
      <c r="VEV64" s="94"/>
      <c r="VEW64" s="94"/>
      <c r="VEX64" s="94"/>
      <c r="VEY64" s="94"/>
      <c r="VEZ64" s="94"/>
      <c r="VFA64" s="94"/>
      <c r="VFB64" s="94"/>
      <c r="VFC64" s="94"/>
      <c r="VFD64" s="94"/>
      <c r="VFE64" s="94"/>
      <c r="VFF64" s="94"/>
      <c r="VFG64" s="94"/>
      <c r="VFH64" s="94"/>
      <c r="VFI64" s="94"/>
      <c r="VFJ64" s="94"/>
      <c r="VFK64" s="94"/>
      <c r="VFL64" s="94"/>
      <c r="VFM64" s="94"/>
      <c r="VFN64" s="94"/>
      <c r="VFO64" s="94"/>
      <c r="VFP64" s="94"/>
      <c r="VFQ64" s="94"/>
      <c r="VFR64" s="94"/>
      <c r="VFS64" s="94"/>
      <c r="VFT64" s="94"/>
      <c r="VFU64" s="94"/>
      <c r="VFV64" s="94"/>
      <c r="VFW64" s="94"/>
      <c r="VFX64" s="94"/>
      <c r="VFY64" s="94"/>
      <c r="VFZ64" s="94"/>
      <c r="VGA64" s="94"/>
      <c r="VGB64" s="94"/>
      <c r="VGC64" s="94"/>
      <c r="VGD64" s="94"/>
      <c r="VGE64" s="94"/>
      <c r="VGF64" s="94"/>
      <c r="VGG64" s="94"/>
      <c r="VGH64" s="94"/>
      <c r="VGI64" s="94"/>
      <c r="VGJ64" s="94"/>
      <c r="VGK64" s="94"/>
      <c r="VGL64" s="94"/>
      <c r="VGM64" s="94"/>
      <c r="VGN64" s="94"/>
      <c r="VGO64" s="94"/>
      <c r="VGP64" s="94"/>
      <c r="VGQ64" s="94"/>
      <c r="VGR64" s="94"/>
      <c r="VGS64" s="94"/>
      <c r="VGT64" s="94"/>
      <c r="VGU64" s="94"/>
      <c r="VGV64" s="94"/>
      <c r="VGW64" s="94"/>
      <c r="VGX64" s="94"/>
      <c r="VGY64" s="94"/>
      <c r="VGZ64" s="94"/>
      <c r="VHA64" s="94"/>
      <c r="VHB64" s="94"/>
      <c r="VHC64" s="94"/>
      <c r="VHD64" s="94"/>
      <c r="VHE64" s="94"/>
      <c r="VHF64" s="94"/>
      <c r="VHG64" s="94"/>
      <c r="VHH64" s="94"/>
      <c r="VHI64" s="94"/>
      <c r="VHJ64" s="94"/>
      <c r="VHK64" s="94"/>
      <c r="VHL64" s="94"/>
      <c r="VHM64" s="94"/>
      <c r="VHN64" s="94"/>
      <c r="VHO64" s="94"/>
      <c r="VHP64" s="94"/>
      <c r="VHQ64" s="94"/>
      <c r="VHR64" s="94"/>
      <c r="VHS64" s="94"/>
      <c r="VHT64" s="94"/>
      <c r="VHU64" s="94"/>
      <c r="VHV64" s="94"/>
      <c r="VHW64" s="94"/>
      <c r="VHX64" s="94"/>
      <c r="VHY64" s="94"/>
      <c r="VHZ64" s="94"/>
      <c r="VIA64" s="94"/>
      <c r="VIB64" s="94"/>
      <c r="VIC64" s="94"/>
      <c r="VID64" s="94"/>
      <c r="VIE64" s="94"/>
      <c r="VIF64" s="94"/>
      <c r="VIG64" s="94"/>
      <c r="VIH64" s="94"/>
      <c r="VII64" s="94"/>
      <c r="VIJ64" s="94"/>
      <c r="VIK64" s="94"/>
      <c r="VIL64" s="94"/>
      <c r="VIM64" s="94"/>
      <c r="VIN64" s="94"/>
      <c r="VIO64" s="94"/>
      <c r="VIP64" s="94"/>
      <c r="VIQ64" s="94"/>
      <c r="VIR64" s="94"/>
      <c r="VIS64" s="94"/>
      <c r="VIT64" s="94"/>
      <c r="VIU64" s="94"/>
      <c r="VIV64" s="94"/>
      <c r="VIW64" s="94"/>
      <c r="VIX64" s="94"/>
      <c r="VIY64" s="94"/>
      <c r="VIZ64" s="94"/>
      <c r="VJA64" s="94"/>
      <c r="VJB64" s="94"/>
      <c r="VJC64" s="94"/>
      <c r="VJD64" s="94"/>
      <c r="VJE64" s="94"/>
      <c r="VJF64" s="94"/>
      <c r="VJG64" s="94"/>
      <c r="VJH64" s="94"/>
      <c r="VJI64" s="94"/>
      <c r="VJJ64" s="94"/>
      <c r="VJK64" s="94"/>
      <c r="VJL64" s="94"/>
      <c r="VJM64" s="94"/>
      <c r="VJN64" s="94"/>
      <c r="VJO64" s="94"/>
      <c r="VJP64" s="94"/>
      <c r="VJQ64" s="94"/>
      <c r="VJR64" s="94"/>
      <c r="VJS64" s="94"/>
      <c r="VJT64" s="94"/>
      <c r="VJU64" s="94"/>
      <c r="VJV64" s="94"/>
      <c r="VJW64" s="94"/>
      <c r="VJX64" s="94"/>
      <c r="VJY64" s="94"/>
      <c r="VJZ64" s="94"/>
      <c r="VKA64" s="94"/>
      <c r="VKB64" s="94"/>
      <c r="VKC64" s="94"/>
      <c r="VKD64" s="94"/>
      <c r="VKE64" s="94"/>
      <c r="VKF64" s="94"/>
      <c r="VKG64" s="94"/>
      <c r="VKH64" s="94"/>
      <c r="VKI64" s="94"/>
      <c r="VKJ64" s="94"/>
      <c r="VKK64" s="94"/>
      <c r="VKL64" s="94"/>
      <c r="VKM64" s="94"/>
      <c r="VKN64" s="94"/>
      <c r="VKO64" s="94"/>
      <c r="VKP64" s="94"/>
      <c r="VKQ64" s="94"/>
      <c r="VKR64" s="94"/>
      <c r="VKS64" s="94"/>
      <c r="VKT64" s="94"/>
      <c r="VKU64" s="94"/>
      <c r="VKV64" s="94"/>
      <c r="VKW64" s="94"/>
      <c r="VKX64" s="94"/>
      <c r="VKY64" s="94"/>
      <c r="VKZ64" s="94"/>
      <c r="VLA64" s="94"/>
      <c r="VLB64" s="94"/>
      <c r="VLC64" s="94"/>
      <c r="VLD64" s="94"/>
      <c r="VLE64" s="94"/>
      <c r="VLF64" s="94"/>
      <c r="VLG64" s="94"/>
      <c r="VLH64" s="94"/>
      <c r="VLI64" s="94"/>
      <c r="VLJ64" s="94"/>
      <c r="VLK64" s="94"/>
      <c r="VLL64" s="94"/>
      <c r="VLM64" s="94"/>
      <c r="VLN64" s="94"/>
      <c r="VLO64" s="94"/>
      <c r="VLP64" s="94"/>
      <c r="VLQ64" s="94"/>
      <c r="VLR64" s="94"/>
      <c r="VLS64" s="94"/>
      <c r="VLT64" s="94"/>
      <c r="VLU64" s="94"/>
      <c r="VLV64" s="94"/>
      <c r="VLW64" s="94"/>
      <c r="VLX64" s="94"/>
      <c r="VLY64" s="94"/>
      <c r="VLZ64" s="94"/>
      <c r="VMA64" s="94"/>
      <c r="VMB64" s="94"/>
      <c r="VMC64" s="94"/>
      <c r="VMD64" s="94"/>
      <c r="VME64" s="94"/>
      <c r="VMF64" s="94"/>
      <c r="VMG64" s="94"/>
      <c r="VMH64" s="94"/>
      <c r="VMI64" s="94"/>
      <c r="VMJ64" s="94"/>
      <c r="VMK64" s="94"/>
      <c r="VML64" s="94"/>
      <c r="VMM64" s="94"/>
      <c r="VMN64" s="94"/>
      <c r="VMO64" s="94"/>
      <c r="VMP64" s="94"/>
      <c r="VMQ64" s="94"/>
      <c r="VMR64" s="94"/>
      <c r="VMS64" s="94"/>
      <c r="VMT64" s="94"/>
      <c r="VMU64" s="94"/>
      <c r="VMV64" s="94"/>
      <c r="VMW64" s="94"/>
      <c r="VMX64" s="94"/>
      <c r="VMY64" s="94"/>
      <c r="VMZ64" s="94"/>
      <c r="VNA64" s="94"/>
      <c r="VNB64" s="94"/>
      <c r="VNC64" s="94"/>
      <c r="VND64" s="94"/>
      <c r="VNE64" s="94"/>
      <c r="VNF64" s="94"/>
      <c r="VNG64" s="94"/>
      <c r="VNH64" s="94"/>
      <c r="VNI64" s="94"/>
      <c r="VNJ64" s="94"/>
      <c r="VNK64" s="94"/>
      <c r="VNL64" s="94"/>
      <c r="VNM64" s="94"/>
      <c r="VNN64" s="94"/>
      <c r="VNO64" s="94"/>
      <c r="VNP64" s="94"/>
      <c r="VNQ64" s="94"/>
      <c r="VNR64" s="94"/>
      <c r="VNS64" s="94"/>
      <c r="VNT64" s="94"/>
      <c r="VNU64" s="94"/>
      <c r="VNV64" s="94"/>
      <c r="VNW64" s="94"/>
      <c r="VNX64" s="94"/>
      <c r="VNY64" s="94"/>
      <c r="VNZ64" s="94"/>
      <c r="VOA64" s="94"/>
      <c r="VOB64" s="94"/>
      <c r="VOC64" s="94"/>
      <c r="VOD64" s="94"/>
      <c r="VOE64" s="94"/>
      <c r="VOF64" s="94"/>
      <c r="VOG64" s="94"/>
      <c r="VOH64" s="94"/>
      <c r="VOI64" s="94"/>
      <c r="VOJ64" s="94"/>
      <c r="VOK64" s="94"/>
      <c r="VOL64" s="94"/>
      <c r="VOM64" s="94"/>
      <c r="VON64" s="94"/>
      <c r="VOO64" s="94"/>
      <c r="VOP64" s="94"/>
      <c r="VOQ64" s="94"/>
      <c r="VOR64" s="94"/>
      <c r="VOS64" s="94"/>
      <c r="VOT64" s="94"/>
      <c r="VOU64" s="94"/>
      <c r="VOV64" s="94"/>
      <c r="VOW64" s="94"/>
      <c r="VOX64" s="94"/>
      <c r="VOY64" s="94"/>
      <c r="VOZ64" s="94"/>
      <c r="VPA64" s="94"/>
      <c r="VPB64" s="94"/>
      <c r="VPC64" s="94"/>
      <c r="VPD64" s="94"/>
      <c r="VPE64" s="94"/>
      <c r="VPF64" s="94"/>
      <c r="VPG64" s="94"/>
      <c r="VPH64" s="94"/>
      <c r="VPI64" s="94"/>
      <c r="VPJ64" s="94"/>
      <c r="VPK64" s="94"/>
      <c r="VPL64" s="94"/>
      <c r="VPM64" s="94"/>
      <c r="VPN64" s="94"/>
      <c r="VPO64" s="94"/>
      <c r="VPP64" s="94"/>
      <c r="VPQ64" s="94"/>
      <c r="VPR64" s="94"/>
      <c r="VPS64" s="94"/>
      <c r="VPT64" s="94"/>
      <c r="VPU64" s="94"/>
      <c r="VPV64" s="94"/>
      <c r="VPW64" s="94"/>
      <c r="VPX64" s="94"/>
      <c r="VPY64" s="94"/>
      <c r="VPZ64" s="94"/>
      <c r="VQA64" s="94"/>
      <c r="VQB64" s="94"/>
      <c r="VQC64" s="94"/>
      <c r="VQD64" s="94"/>
      <c r="VQE64" s="94"/>
      <c r="VQF64" s="94"/>
      <c r="VQG64" s="94"/>
      <c r="VQH64" s="94"/>
      <c r="VQI64" s="94"/>
      <c r="VQJ64" s="94"/>
      <c r="VQK64" s="94"/>
      <c r="VQL64" s="94"/>
      <c r="VQM64" s="94"/>
      <c r="VQN64" s="94"/>
      <c r="VQO64" s="94"/>
      <c r="VQP64" s="94"/>
      <c r="VQQ64" s="94"/>
      <c r="VQR64" s="94"/>
      <c r="VQS64" s="94"/>
      <c r="VQT64" s="94"/>
      <c r="VQU64" s="94"/>
      <c r="VQV64" s="94"/>
      <c r="VQW64" s="94"/>
      <c r="VQX64" s="94"/>
      <c r="VQY64" s="94"/>
      <c r="VQZ64" s="94"/>
      <c r="VRA64" s="94"/>
      <c r="VRB64" s="94"/>
      <c r="VRC64" s="94"/>
      <c r="VRD64" s="94"/>
      <c r="VRE64" s="94"/>
      <c r="VRF64" s="94"/>
      <c r="VRG64" s="94"/>
      <c r="VRH64" s="94"/>
      <c r="VRI64" s="94"/>
      <c r="VRJ64" s="94"/>
      <c r="VRK64" s="94"/>
      <c r="VRL64" s="94"/>
      <c r="VRM64" s="94"/>
      <c r="VRN64" s="94"/>
      <c r="VRO64" s="94"/>
      <c r="VRP64" s="94"/>
      <c r="VRQ64" s="94"/>
      <c r="VRR64" s="94"/>
      <c r="VRS64" s="94"/>
      <c r="VRT64" s="94"/>
      <c r="VRU64" s="94"/>
      <c r="VRV64" s="94"/>
      <c r="VRW64" s="94"/>
      <c r="VRX64" s="94"/>
      <c r="VRY64" s="94"/>
      <c r="VRZ64" s="94"/>
      <c r="VSA64" s="94"/>
      <c r="VSB64" s="94"/>
      <c r="VSC64" s="94"/>
      <c r="VSD64" s="94"/>
      <c r="VSE64" s="94"/>
      <c r="VSF64" s="94"/>
      <c r="VSG64" s="94"/>
      <c r="VSH64" s="94"/>
      <c r="VSI64" s="94"/>
      <c r="VSJ64" s="94"/>
      <c r="VSK64" s="94"/>
      <c r="VSL64" s="94"/>
      <c r="VSM64" s="94"/>
      <c r="VSN64" s="94"/>
      <c r="VSO64" s="94"/>
      <c r="VSP64" s="94"/>
      <c r="VSQ64" s="94"/>
      <c r="VSR64" s="94"/>
      <c r="VSS64" s="94"/>
      <c r="VST64" s="94"/>
      <c r="VSU64" s="94"/>
      <c r="VSV64" s="94"/>
      <c r="VSW64" s="94"/>
      <c r="VSX64" s="94"/>
      <c r="VSY64" s="94"/>
      <c r="VSZ64" s="94"/>
      <c r="VTA64" s="94"/>
      <c r="VTB64" s="94"/>
      <c r="VTC64" s="94"/>
      <c r="VTD64" s="94"/>
      <c r="VTE64" s="94"/>
      <c r="VTF64" s="94"/>
      <c r="VTG64" s="94"/>
      <c r="VTH64" s="94"/>
      <c r="VTI64" s="94"/>
      <c r="VTJ64" s="94"/>
      <c r="VTK64" s="94"/>
      <c r="VTL64" s="94"/>
      <c r="VTM64" s="94"/>
      <c r="VTN64" s="94"/>
      <c r="VTO64" s="94"/>
      <c r="VTP64" s="94"/>
      <c r="VTQ64" s="94"/>
      <c r="VTR64" s="94"/>
      <c r="VTS64" s="94"/>
      <c r="VTT64" s="94"/>
      <c r="VTU64" s="94"/>
      <c r="VTV64" s="94"/>
      <c r="VTW64" s="94"/>
      <c r="VTX64" s="94"/>
      <c r="VTY64" s="94"/>
      <c r="VTZ64" s="94"/>
      <c r="VUA64" s="94"/>
      <c r="VUB64" s="94"/>
      <c r="VUC64" s="94"/>
      <c r="VUD64" s="94"/>
      <c r="VUE64" s="94"/>
      <c r="VUF64" s="94"/>
      <c r="VUG64" s="94"/>
      <c r="VUH64" s="94"/>
      <c r="VUI64" s="94"/>
      <c r="VUJ64" s="94"/>
      <c r="VUK64" s="94"/>
      <c r="VUL64" s="94"/>
      <c r="VUM64" s="94"/>
      <c r="VUN64" s="94"/>
      <c r="VUO64" s="94"/>
      <c r="VUP64" s="94"/>
      <c r="VUQ64" s="94"/>
      <c r="VUR64" s="94"/>
      <c r="VUS64" s="94"/>
      <c r="VUT64" s="94"/>
      <c r="VUU64" s="94"/>
      <c r="VUV64" s="94"/>
      <c r="VUW64" s="94"/>
      <c r="VUX64" s="94"/>
      <c r="VUY64" s="94"/>
      <c r="VUZ64" s="94"/>
      <c r="VVA64" s="94"/>
      <c r="VVB64" s="94"/>
      <c r="VVC64" s="94"/>
      <c r="VVD64" s="94"/>
      <c r="VVE64" s="94"/>
      <c r="VVF64" s="94"/>
      <c r="VVG64" s="94"/>
      <c r="VVH64" s="94"/>
      <c r="VVI64" s="94"/>
      <c r="VVJ64" s="94"/>
      <c r="VVK64" s="94"/>
      <c r="VVL64" s="94"/>
      <c r="VVM64" s="94"/>
      <c r="VVN64" s="94"/>
      <c r="VVO64" s="94"/>
      <c r="VVP64" s="94"/>
      <c r="VVQ64" s="94"/>
      <c r="VVR64" s="94"/>
      <c r="VVS64" s="94"/>
      <c r="VVT64" s="94"/>
      <c r="VVU64" s="94"/>
      <c r="VVV64" s="94"/>
      <c r="VVW64" s="94"/>
      <c r="VVX64" s="94"/>
      <c r="VVY64" s="94"/>
      <c r="VVZ64" s="94"/>
      <c r="VWA64" s="94"/>
      <c r="VWB64" s="94"/>
      <c r="VWC64" s="94"/>
      <c r="VWD64" s="94"/>
      <c r="VWE64" s="94"/>
      <c r="VWF64" s="94"/>
      <c r="VWG64" s="94"/>
      <c r="VWH64" s="94"/>
      <c r="VWI64" s="94"/>
      <c r="VWJ64" s="94"/>
      <c r="VWK64" s="94"/>
      <c r="VWL64" s="94"/>
      <c r="VWM64" s="94"/>
      <c r="VWN64" s="94"/>
      <c r="VWO64" s="94"/>
      <c r="VWP64" s="94"/>
      <c r="VWQ64" s="94"/>
      <c r="VWR64" s="94"/>
      <c r="VWS64" s="94"/>
      <c r="VWT64" s="94"/>
      <c r="VWU64" s="94"/>
      <c r="VWV64" s="94"/>
      <c r="VWW64" s="94"/>
      <c r="VWX64" s="94"/>
      <c r="VWY64" s="94"/>
      <c r="VWZ64" s="94"/>
      <c r="VXA64" s="94"/>
      <c r="VXB64" s="94"/>
      <c r="VXC64" s="94"/>
      <c r="VXD64" s="94"/>
      <c r="VXE64" s="94"/>
      <c r="VXF64" s="94"/>
      <c r="VXG64" s="94"/>
      <c r="VXH64" s="94"/>
      <c r="VXI64" s="94"/>
      <c r="VXJ64" s="94"/>
      <c r="VXK64" s="94"/>
      <c r="VXL64" s="94"/>
      <c r="VXM64" s="94"/>
      <c r="VXN64" s="94"/>
      <c r="VXO64" s="94"/>
      <c r="VXP64" s="94"/>
      <c r="VXQ64" s="94"/>
      <c r="VXR64" s="94"/>
      <c r="VXS64" s="94"/>
      <c r="VXT64" s="94"/>
      <c r="VXU64" s="94"/>
      <c r="VXV64" s="94"/>
      <c r="VXW64" s="94"/>
      <c r="VXX64" s="94"/>
      <c r="VXY64" s="94"/>
      <c r="VXZ64" s="94"/>
      <c r="VYA64" s="94"/>
      <c r="VYB64" s="94"/>
      <c r="VYC64" s="94"/>
      <c r="VYD64" s="94"/>
      <c r="VYE64" s="94"/>
      <c r="VYF64" s="94"/>
      <c r="VYG64" s="94"/>
      <c r="VYH64" s="94"/>
      <c r="VYI64" s="94"/>
      <c r="VYJ64" s="94"/>
      <c r="VYK64" s="94"/>
      <c r="VYL64" s="94"/>
      <c r="VYM64" s="94"/>
      <c r="VYN64" s="94"/>
      <c r="VYO64" s="94"/>
      <c r="VYP64" s="94"/>
      <c r="VYQ64" s="94"/>
      <c r="VYR64" s="94"/>
      <c r="VYS64" s="94"/>
      <c r="VYT64" s="94"/>
      <c r="VYU64" s="94"/>
      <c r="VYV64" s="94"/>
      <c r="VYW64" s="94"/>
      <c r="VYX64" s="94"/>
      <c r="VYY64" s="94"/>
      <c r="VYZ64" s="94"/>
      <c r="VZA64" s="94"/>
      <c r="VZB64" s="94"/>
      <c r="VZC64" s="94"/>
      <c r="VZD64" s="94"/>
      <c r="VZE64" s="94"/>
      <c r="VZF64" s="94"/>
      <c r="VZG64" s="94"/>
      <c r="VZH64" s="94"/>
      <c r="VZI64" s="94"/>
      <c r="VZJ64" s="94"/>
      <c r="VZK64" s="94"/>
      <c r="VZL64" s="94"/>
      <c r="VZM64" s="94"/>
      <c r="VZN64" s="94"/>
      <c r="VZO64" s="94"/>
      <c r="VZP64" s="94"/>
      <c r="VZQ64" s="94"/>
      <c r="VZR64" s="94"/>
      <c r="VZS64" s="94"/>
      <c r="VZT64" s="94"/>
      <c r="VZU64" s="94"/>
      <c r="VZV64" s="94"/>
      <c r="VZW64" s="94"/>
      <c r="VZX64" s="94"/>
      <c r="VZY64" s="94"/>
      <c r="VZZ64" s="94"/>
      <c r="WAA64" s="94"/>
      <c r="WAB64" s="94"/>
      <c r="WAC64" s="94"/>
      <c r="WAD64" s="94"/>
      <c r="WAE64" s="94"/>
      <c r="WAF64" s="94"/>
      <c r="WAG64" s="94"/>
      <c r="WAH64" s="94"/>
      <c r="WAI64" s="94"/>
      <c r="WAJ64" s="94"/>
      <c r="WAK64" s="94"/>
      <c r="WAL64" s="94"/>
      <c r="WAM64" s="94"/>
      <c r="WAN64" s="94"/>
      <c r="WAO64" s="94"/>
      <c r="WAP64" s="94"/>
      <c r="WAQ64" s="94"/>
      <c r="WAR64" s="94"/>
      <c r="WAS64" s="94"/>
      <c r="WAT64" s="94"/>
      <c r="WAU64" s="94"/>
      <c r="WAV64" s="94"/>
      <c r="WAW64" s="94"/>
      <c r="WAX64" s="94"/>
      <c r="WAY64" s="94"/>
      <c r="WAZ64" s="94"/>
      <c r="WBA64" s="94"/>
      <c r="WBB64" s="94"/>
      <c r="WBC64" s="94"/>
      <c r="WBD64" s="94"/>
      <c r="WBE64" s="94"/>
      <c r="WBF64" s="94"/>
      <c r="WBG64" s="94"/>
      <c r="WBH64" s="94"/>
      <c r="WBI64" s="94"/>
      <c r="WBJ64" s="94"/>
      <c r="WBK64" s="94"/>
      <c r="WBL64" s="94"/>
      <c r="WBM64" s="94"/>
      <c r="WBN64" s="94"/>
      <c r="WBO64" s="94"/>
      <c r="WBP64" s="94"/>
      <c r="WBQ64" s="94"/>
      <c r="WBR64" s="94"/>
      <c r="WBS64" s="94"/>
      <c r="WBT64" s="94"/>
      <c r="WBU64" s="94"/>
      <c r="WBV64" s="94"/>
      <c r="WBW64" s="94"/>
      <c r="WBX64" s="94"/>
      <c r="WBY64" s="94"/>
      <c r="WBZ64" s="94"/>
      <c r="WCA64" s="94"/>
      <c r="WCB64" s="94"/>
      <c r="WCC64" s="94"/>
      <c r="WCD64" s="94"/>
      <c r="WCE64" s="94"/>
      <c r="WCF64" s="94"/>
      <c r="WCG64" s="94"/>
      <c r="WCH64" s="94"/>
      <c r="WCI64" s="94"/>
      <c r="WCJ64" s="94"/>
      <c r="WCK64" s="94"/>
      <c r="WCL64" s="94"/>
      <c r="WCM64" s="94"/>
      <c r="WCN64" s="94"/>
      <c r="WCO64" s="94"/>
      <c r="WCP64" s="94"/>
      <c r="WCQ64" s="94"/>
      <c r="WCR64" s="94"/>
      <c r="WCS64" s="94"/>
      <c r="WCT64" s="94"/>
      <c r="WCU64" s="94"/>
      <c r="WCV64" s="94"/>
      <c r="WCW64" s="94"/>
      <c r="WCX64" s="94"/>
      <c r="WCY64" s="94"/>
      <c r="WCZ64" s="94"/>
      <c r="WDA64" s="94"/>
      <c r="WDB64" s="94"/>
      <c r="WDC64" s="94"/>
      <c r="WDD64" s="94"/>
      <c r="WDE64" s="94"/>
      <c r="WDF64" s="94"/>
      <c r="WDG64" s="94"/>
      <c r="WDH64" s="94"/>
      <c r="WDI64" s="94"/>
      <c r="WDJ64" s="94"/>
      <c r="WDK64" s="94"/>
      <c r="WDL64" s="94"/>
      <c r="WDM64" s="94"/>
      <c r="WDN64" s="94"/>
      <c r="WDO64" s="94"/>
      <c r="WDP64" s="94"/>
      <c r="WDQ64" s="94"/>
      <c r="WDR64" s="94"/>
      <c r="WDS64" s="94"/>
      <c r="WDT64" s="94"/>
      <c r="WDU64" s="94"/>
      <c r="WDV64" s="94"/>
      <c r="WDW64" s="94"/>
      <c r="WDX64" s="94"/>
      <c r="WDY64" s="94"/>
      <c r="WDZ64" s="94"/>
      <c r="WEA64" s="94"/>
      <c r="WEB64" s="94"/>
      <c r="WEC64" s="94"/>
      <c r="WED64" s="94"/>
      <c r="WEE64" s="94"/>
      <c r="WEF64" s="94"/>
      <c r="WEG64" s="94"/>
      <c r="WEH64" s="94"/>
      <c r="WEI64" s="94"/>
      <c r="WEJ64" s="94"/>
      <c r="WEK64" s="94"/>
      <c r="WEL64" s="94"/>
      <c r="WEM64" s="94"/>
      <c r="WEN64" s="94"/>
      <c r="WEO64" s="94"/>
      <c r="WEP64" s="94"/>
      <c r="WEQ64" s="94"/>
      <c r="WER64" s="94"/>
      <c r="WES64" s="94"/>
      <c r="WET64" s="94"/>
      <c r="WEU64" s="94"/>
      <c r="WEV64" s="94"/>
      <c r="WEW64" s="94"/>
      <c r="WEX64" s="94"/>
      <c r="WEY64" s="94"/>
      <c r="WEZ64" s="94"/>
      <c r="WFA64" s="94"/>
      <c r="WFB64" s="94"/>
      <c r="WFC64" s="94"/>
      <c r="WFD64" s="94"/>
      <c r="WFE64" s="94"/>
      <c r="WFF64" s="94"/>
      <c r="WFG64" s="94"/>
      <c r="WFH64" s="94"/>
      <c r="WFI64" s="94"/>
      <c r="WFJ64" s="94"/>
      <c r="WFK64" s="94"/>
      <c r="WFL64" s="94"/>
      <c r="WFM64" s="94"/>
      <c r="WFN64" s="94"/>
      <c r="WFO64" s="94"/>
      <c r="WFP64" s="94"/>
      <c r="WFQ64" s="94"/>
      <c r="WFR64" s="94"/>
      <c r="WFS64" s="94"/>
      <c r="WFT64" s="94"/>
      <c r="WFU64" s="94"/>
      <c r="WFV64" s="94"/>
      <c r="WFW64" s="94"/>
      <c r="WFX64" s="94"/>
      <c r="WFY64" s="94"/>
      <c r="WFZ64" s="94"/>
      <c r="WGA64" s="94"/>
      <c r="WGB64" s="94"/>
      <c r="WGC64" s="94"/>
      <c r="WGD64" s="94"/>
      <c r="WGE64" s="94"/>
      <c r="WGF64" s="94"/>
      <c r="WGG64" s="94"/>
      <c r="WGH64" s="94"/>
      <c r="WGI64" s="94"/>
      <c r="WGJ64" s="94"/>
      <c r="WGK64" s="94"/>
      <c r="WGL64" s="94"/>
      <c r="WGM64" s="94"/>
      <c r="WGN64" s="94"/>
      <c r="WGO64" s="94"/>
      <c r="WGP64" s="94"/>
      <c r="WGQ64" s="94"/>
      <c r="WGR64" s="94"/>
      <c r="WGS64" s="94"/>
      <c r="WGT64" s="94"/>
      <c r="WGU64" s="94"/>
      <c r="WGV64" s="94"/>
      <c r="WGW64" s="94"/>
      <c r="WGX64" s="94"/>
      <c r="WGY64" s="94"/>
      <c r="WGZ64" s="94"/>
      <c r="WHA64" s="94"/>
      <c r="WHB64" s="94"/>
      <c r="WHC64" s="94"/>
      <c r="WHD64" s="94"/>
      <c r="WHE64" s="94"/>
      <c r="WHF64" s="94"/>
      <c r="WHG64" s="94"/>
      <c r="WHH64" s="94"/>
      <c r="WHI64" s="94"/>
      <c r="WHJ64" s="94"/>
      <c r="WHK64" s="94"/>
      <c r="WHL64" s="94"/>
      <c r="WHM64" s="94"/>
      <c r="WHN64" s="94"/>
      <c r="WHO64" s="94"/>
      <c r="WHP64" s="94"/>
      <c r="WHQ64" s="94"/>
      <c r="WHR64" s="94"/>
      <c r="WHS64" s="94"/>
      <c r="WHT64" s="94"/>
      <c r="WHU64" s="94"/>
      <c r="WHV64" s="94"/>
      <c r="WHW64" s="94"/>
      <c r="WHX64" s="94"/>
      <c r="WHY64" s="94"/>
      <c r="WHZ64" s="94"/>
      <c r="WIA64" s="94"/>
      <c r="WIB64" s="94"/>
      <c r="WIC64" s="94"/>
      <c r="WID64" s="94"/>
      <c r="WIE64" s="94"/>
      <c r="WIF64" s="94"/>
      <c r="WIG64" s="94"/>
      <c r="WIH64" s="94"/>
      <c r="WII64" s="94"/>
      <c r="WIJ64" s="94"/>
      <c r="WIK64" s="94"/>
      <c r="WIL64" s="94"/>
      <c r="WIM64" s="94"/>
      <c r="WIN64" s="94"/>
      <c r="WIO64" s="94"/>
      <c r="WIP64" s="94"/>
      <c r="WIQ64" s="94"/>
      <c r="WIR64" s="94"/>
      <c r="WIS64" s="94"/>
      <c r="WIT64" s="94"/>
      <c r="WIU64" s="94"/>
      <c r="WIV64" s="94"/>
      <c r="WIW64" s="94"/>
      <c r="WIX64" s="94"/>
      <c r="WIY64" s="94"/>
      <c r="WIZ64" s="94"/>
      <c r="WJA64" s="94"/>
      <c r="WJB64" s="94"/>
      <c r="WJC64" s="94"/>
      <c r="WJD64" s="94"/>
      <c r="WJE64" s="94"/>
      <c r="WJF64" s="94"/>
      <c r="WJG64" s="94"/>
      <c r="WJH64" s="94"/>
      <c r="WJI64" s="94"/>
      <c r="WJJ64" s="94"/>
      <c r="WJK64" s="94"/>
      <c r="WJL64" s="94"/>
      <c r="WJM64" s="94"/>
      <c r="WJN64" s="94"/>
      <c r="WJO64" s="94"/>
      <c r="WJP64" s="94"/>
      <c r="WJQ64" s="94"/>
      <c r="WJR64" s="94"/>
      <c r="WJS64" s="94"/>
      <c r="WJT64" s="94"/>
      <c r="WJU64" s="94"/>
      <c r="WJV64" s="94"/>
      <c r="WJW64" s="94"/>
      <c r="WJX64" s="94"/>
      <c r="WJY64" s="94"/>
      <c r="WJZ64" s="94"/>
      <c r="WKA64" s="94"/>
      <c r="WKB64" s="94"/>
      <c r="WKC64" s="94"/>
      <c r="WKD64" s="94"/>
      <c r="WKE64" s="94"/>
      <c r="WKF64" s="94"/>
      <c r="WKG64" s="94"/>
      <c r="WKH64" s="94"/>
      <c r="WKI64" s="94"/>
      <c r="WKJ64" s="94"/>
      <c r="WKK64" s="94"/>
      <c r="WKL64" s="94"/>
      <c r="WKM64" s="94"/>
      <c r="WKN64" s="94"/>
      <c r="WKO64" s="94"/>
      <c r="WKP64" s="94"/>
      <c r="WKQ64" s="94"/>
      <c r="WKR64" s="94"/>
      <c r="WKS64" s="94"/>
      <c r="WKT64" s="94"/>
      <c r="WKU64" s="94"/>
      <c r="WKV64" s="94"/>
      <c r="WKW64" s="94"/>
      <c r="WKX64" s="94"/>
      <c r="WKY64" s="94"/>
      <c r="WKZ64" s="94"/>
      <c r="WLA64" s="94"/>
      <c r="WLB64" s="94"/>
      <c r="WLC64" s="94"/>
      <c r="WLD64" s="94"/>
      <c r="WLE64" s="94"/>
      <c r="WLF64" s="94"/>
      <c r="WLG64" s="94"/>
      <c r="WLH64" s="94"/>
      <c r="WLI64" s="94"/>
      <c r="WLJ64" s="94"/>
      <c r="WLK64" s="94"/>
      <c r="WLL64" s="94"/>
      <c r="WLM64" s="94"/>
      <c r="WLN64" s="94"/>
      <c r="WLO64" s="94"/>
      <c r="WLP64" s="94"/>
      <c r="WLQ64" s="94"/>
      <c r="WLR64" s="94"/>
      <c r="WLS64" s="94"/>
      <c r="WLT64" s="94"/>
      <c r="WLU64" s="94"/>
      <c r="WLV64" s="94"/>
      <c r="WLW64" s="94"/>
      <c r="WLX64" s="94"/>
      <c r="WLY64" s="94"/>
      <c r="WLZ64" s="94"/>
      <c r="WMA64" s="94"/>
      <c r="WMB64" s="94"/>
      <c r="WMC64" s="94"/>
      <c r="WMD64" s="94"/>
      <c r="WME64" s="94"/>
      <c r="WMF64" s="94"/>
      <c r="WMG64" s="94"/>
      <c r="WMH64" s="94"/>
      <c r="WMI64" s="94"/>
      <c r="WMJ64" s="94"/>
      <c r="WMK64" s="94"/>
      <c r="WML64" s="94"/>
      <c r="WMM64" s="94"/>
      <c r="WMN64" s="94"/>
      <c r="WMO64" s="94"/>
      <c r="WMP64" s="94"/>
      <c r="WMQ64" s="94"/>
      <c r="WMR64" s="94"/>
      <c r="WMS64" s="94"/>
      <c r="WMT64" s="94"/>
      <c r="WMU64" s="94"/>
      <c r="WMV64" s="94"/>
      <c r="WMW64" s="94"/>
      <c r="WMX64" s="94"/>
      <c r="WMY64" s="94"/>
      <c r="WMZ64" s="94"/>
      <c r="WNA64" s="94"/>
      <c r="WNB64" s="94"/>
      <c r="WNC64" s="94"/>
      <c r="WND64" s="94"/>
      <c r="WNE64" s="94"/>
      <c r="WNF64" s="94"/>
      <c r="WNG64" s="94"/>
      <c r="WNH64" s="94"/>
      <c r="WNI64" s="94"/>
      <c r="WNJ64" s="94"/>
      <c r="WNK64" s="94"/>
      <c r="WNL64" s="94"/>
      <c r="WNM64" s="94"/>
      <c r="WNN64" s="94"/>
      <c r="WNO64" s="94"/>
      <c r="WNP64" s="94"/>
      <c r="WNQ64" s="94"/>
      <c r="WNR64" s="94"/>
      <c r="WNS64" s="94"/>
      <c r="WNT64" s="94"/>
      <c r="WNU64" s="94"/>
      <c r="WNV64" s="94"/>
      <c r="WNW64" s="94"/>
      <c r="WNX64" s="94"/>
      <c r="WNY64" s="94"/>
      <c r="WNZ64" s="94"/>
      <c r="WOA64" s="94"/>
      <c r="WOB64" s="94"/>
      <c r="WOC64" s="94"/>
      <c r="WOD64" s="94"/>
      <c r="WOE64" s="94"/>
      <c r="WOF64" s="94"/>
      <c r="WOG64" s="94"/>
      <c r="WOH64" s="94"/>
      <c r="WOI64" s="94"/>
      <c r="WOJ64" s="94"/>
      <c r="WOK64" s="94"/>
      <c r="WOL64" s="94"/>
      <c r="WOM64" s="94"/>
      <c r="WON64" s="94"/>
      <c r="WOO64" s="94"/>
      <c r="WOP64" s="94"/>
      <c r="WOQ64" s="94"/>
      <c r="WOR64" s="94"/>
      <c r="WOS64" s="94"/>
      <c r="WOT64" s="94"/>
      <c r="WOU64" s="94"/>
      <c r="WOV64" s="94"/>
      <c r="WOW64" s="94"/>
      <c r="WOX64" s="94"/>
      <c r="WOY64" s="94"/>
      <c r="WOZ64" s="94"/>
      <c r="WPA64" s="94"/>
      <c r="WPB64" s="94"/>
      <c r="WPC64" s="94"/>
      <c r="WPD64" s="94"/>
      <c r="WPE64" s="94"/>
      <c r="WPF64" s="94"/>
      <c r="WPG64" s="94"/>
      <c r="WPH64" s="94"/>
      <c r="WPI64" s="94"/>
      <c r="WPJ64" s="94"/>
      <c r="WPK64" s="94"/>
      <c r="WPL64" s="94"/>
      <c r="WPM64" s="94"/>
      <c r="WPN64" s="94"/>
      <c r="WPO64" s="94"/>
      <c r="WPP64" s="94"/>
      <c r="WPQ64" s="94"/>
      <c r="WPR64" s="94"/>
      <c r="WPS64" s="94"/>
      <c r="WPT64" s="94"/>
      <c r="WPU64" s="94"/>
      <c r="WPV64" s="94"/>
      <c r="WPW64" s="94"/>
      <c r="WPX64" s="94"/>
      <c r="WPY64" s="94"/>
      <c r="WPZ64" s="94"/>
      <c r="WQA64" s="94"/>
      <c r="WQB64" s="94"/>
      <c r="WQC64" s="94"/>
      <c r="WQD64" s="94"/>
      <c r="WQE64" s="94"/>
      <c r="WQF64" s="94"/>
      <c r="WQG64" s="94"/>
      <c r="WQH64" s="94"/>
      <c r="WQI64" s="94"/>
      <c r="WQJ64" s="94"/>
      <c r="WQK64" s="94"/>
      <c r="WQL64" s="94"/>
      <c r="WQM64" s="94"/>
      <c r="WQN64" s="94"/>
      <c r="WQO64" s="94"/>
      <c r="WQP64" s="94"/>
      <c r="WQQ64" s="94"/>
      <c r="WQR64" s="94"/>
      <c r="WQS64" s="94"/>
      <c r="WQT64" s="94"/>
      <c r="WQU64" s="94"/>
      <c r="WQV64" s="94"/>
      <c r="WQW64" s="94"/>
      <c r="WQX64" s="94"/>
      <c r="WQY64" s="94"/>
      <c r="WQZ64" s="94"/>
      <c r="WRA64" s="94"/>
      <c r="WRB64" s="94"/>
      <c r="WRC64" s="94"/>
      <c r="WRD64" s="94"/>
      <c r="WRE64" s="94"/>
      <c r="WRF64" s="94"/>
      <c r="WRG64" s="94"/>
      <c r="WRH64" s="94"/>
      <c r="WRI64" s="94"/>
      <c r="WRJ64" s="94"/>
      <c r="WRK64" s="94"/>
      <c r="WRL64" s="94"/>
      <c r="WRM64" s="94"/>
      <c r="WRN64" s="94"/>
      <c r="WRO64" s="94"/>
      <c r="WRP64" s="94"/>
      <c r="WRQ64" s="94"/>
      <c r="WRR64" s="94"/>
      <c r="WRS64" s="94"/>
      <c r="WRT64" s="94"/>
      <c r="WRU64" s="94"/>
      <c r="WRV64" s="94"/>
      <c r="WRW64" s="94"/>
      <c r="WRX64" s="94"/>
      <c r="WRY64" s="94"/>
      <c r="WRZ64" s="94"/>
      <c r="WSA64" s="94"/>
      <c r="WSB64" s="94"/>
      <c r="WSC64" s="94"/>
      <c r="WSD64" s="94"/>
      <c r="WSE64" s="94"/>
      <c r="WSF64" s="94"/>
      <c r="WSG64" s="94"/>
      <c r="WSH64" s="94"/>
      <c r="WSI64" s="94"/>
      <c r="WSJ64" s="94"/>
      <c r="WSK64" s="94"/>
      <c r="WSL64" s="94"/>
      <c r="WSM64" s="94"/>
      <c r="WSN64" s="94"/>
      <c r="WSO64" s="94"/>
      <c r="WSP64" s="94"/>
      <c r="WSQ64" s="94"/>
      <c r="WSR64" s="94"/>
      <c r="WSS64" s="94"/>
      <c r="WST64" s="94"/>
      <c r="WSU64" s="94"/>
      <c r="WSV64" s="94"/>
      <c r="WSW64" s="94"/>
      <c r="WSX64" s="94"/>
      <c r="WSY64" s="94"/>
      <c r="WSZ64" s="94"/>
      <c r="WTA64" s="94"/>
      <c r="WTB64" s="94"/>
      <c r="WTC64" s="94"/>
      <c r="WTD64" s="94"/>
      <c r="WTE64" s="94"/>
      <c r="WTF64" s="94"/>
      <c r="WTG64" s="94"/>
      <c r="WTH64" s="94"/>
      <c r="WTI64" s="94"/>
      <c r="WTJ64" s="94"/>
      <c r="WTK64" s="94"/>
      <c r="WTL64" s="94"/>
      <c r="WTM64" s="94"/>
      <c r="WTN64" s="94"/>
      <c r="WTO64" s="94"/>
      <c r="WTP64" s="94"/>
      <c r="WTQ64" s="94"/>
      <c r="WTR64" s="94"/>
      <c r="WTS64" s="94"/>
      <c r="WTT64" s="94"/>
      <c r="WTU64" s="94"/>
      <c r="WTV64" s="94"/>
      <c r="WTW64" s="94"/>
      <c r="WTX64" s="94"/>
      <c r="WTY64" s="94"/>
      <c r="WTZ64" s="94"/>
      <c r="WUA64" s="94"/>
      <c r="WUB64" s="94"/>
      <c r="WUC64" s="94"/>
      <c r="WUD64" s="94"/>
      <c r="WUE64" s="94"/>
      <c r="WUF64" s="94"/>
      <c r="WUG64" s="94"/>
      <c r="WUH64" s="94"/>
      <c r="WUI64" s="94"/>
      <c r="WUJ64" s="94"/>
      <c r="WUK64" s="94"/>
      <c r="WUL64" s="94"/>
      <c r="WUM64" s="94"/>
      <c r="WUN64" s="94"/>
      <c r="WUO64" s="94"/>
      <c r="WUP64" s="94"/>
      <c r="WUQ64" s="94"/>
      <c r="WUR64" s="94"/>
      <c r="WUS64" s="94"/>
      <c r="WUT64" s="94"/>
      <c r="WUU64" s="94"/>
      <c r="WUV64" s="94"/>
      <c r="WUW64" s="94"/>
      <c r="WUX64" s="94"/>
      <c r="WUY64" s="94"/>
      <c r="WUZ64" s="94"/>
      <c r="WVA64" s="94"/>
      <c r="WVB64" s="94"/>
      <c r="WVC64" s="94"/>
      <c r="WVD64" s="94"/>
      <c r="WVE64" s="94"/>
      <c r="WVF64" s="94"/>
      <c r="WVG64" s="94"/>
      <c r="WVH64" s="94"/>
      <c r="WVI64" s="94"/>
      <c r="WVJ64" s="94"/>
      <c r="WVK64" s="94"/>
      <c r="WVL64" s="94"/>
      <c r="WVM64" s="94"/>
      <c r="WVN64" s="94"/>
      <c r="WVO64" s="94"/>
      <c r="WVP64" s="94"/>
      <c r="WVQ64" s="94"/>
      <c r="WVR64" s="94"/>
      <c r="WVS64" s="94"/>
      <c r="WVT64" s="94"/>
      <c r="WVU64" s="94"/>
      <c r="WVV64" s="94"/>
      <c r="WVW64" s="94"/>
      <c r="WVX64" s="94"/>
      <c r="WVY64" s="94"/>
      <c r="WVZ64" s="94"/>
      <c r="WWA64" s="94"/>
      <c r="WWB64" s="94"/>
      <c r="WWC64" s="94"/>
      <c r="WWD64" s="94"/>
      <c r="WWE64" s="94"/>
      <c r="WWF64" s="94"/>
      <c r="WWG64" s="94"/>
      <c r="WWH64" s="94"/>
      <c r="WWI64" s="94"/>
      <c r="WWJ64" s="94"/>
      <c r="WWK64" s="94"/>
      <c r="WWL64" s="94"/>
      <c r="WWM64" s="94"/>
      <c r="WWN64" s="94"/>
      <c r="WWO64" s="94"/>
      <c r="WWP64" s="94"/>
      <c r="WWQ64" s="94"/>
      <c r="WWR64" s="94"/>
      <c r="WWS64" s="94"/>
      <c r="WWT64" s="94"/>
      <c r="WWU64" s="94"/>
      <c r="WWV64" s="94"/>
      <c r="WWW64" s="94"/>
      <c r="WWX64" s="94"/>
      <c r="WWY64" s="94"/>
      <c r="WWZ64" s="94"/>
      <c r="WXA64" s="94"/>
      <c r="WXB64" s="94"/>
      <c r="WXC64" s="94"/>
      <c r="WXD64" s="94"/>
      <c r="WXE64" s="94"/>
      <c r="WXF64" s="94"/>
      <c r="WXG64" s="94"/>
      <c r="WXH64" s="94"/>
      <c r="WXI64" s="94"/>
      <c r="WXJ64" s="94"/>
      <c r="WXK64" s="94"/>
      <c r="WXL64" s="94"/>
      <c r="WXM64" s="94"/>
      <c r="WXN64" s="94"/>
      <c r="WXO64" s="94"/>
      <c r="WXP64" s="94"/>
      <c r="WXQ64" s="94"/>
      <c r="WXR64" s="94"/>
      <c r="WXS64" s="94"/>
      <c r="WXT64" s="94"/>
      <c r="WXU64" s="94"/>
      <c r="WXV64" s="94"/>
      <c r="WXW64" s="94"/>
      <c r="WXX64" s="94"/>
      <c r="WXY64" s="94"/>
      <c r="WXZ64" s="94"/>
      <c r="WYA64" s="94"/>
      <c r="WYB64" s="94"/>
      <c r="WYC64" s="94"/>
      <c r="WYD64" s="94"/>
      <c r="WYE64" s="94"/>
      <c r="WYF64" s="94"/>
      <c r="WYG64" s="94"/>
      <c r="WYH64" s="94"/>
      <c r="WYI64" s="94"/>
      <c r="WYJ64" s="94"/>
      <c r="WYK64" s="94"/>
      <c r="WYL64" s="94"/>
      <c r="WYM64" s="94"/>
      <c r="WYN64" s="94"/>
      <c r="WYO64" s="94"/>
      <c r="WYP64" s="94"/>
      <c r="WYQ64" s="94"/>
      <c r="WYR64" s="94"/>
      <c r="WYS64" s="94"/>
      <c r="WYT64" s="94"/>
      <c r="WYU64" s="94"/>
      <c r="WYV64" s="94"/>
      <c r="WYW64" s="94"/>
      <c r="WYX64" s="94"/>
      <c r="WYY64" s="94"/>
      <c r="WYZ64" s="94"/>
      <c r="WZA64" s="94"/>
      <c r="WZB64" s="94"/>
      <c r="WZC64" s="94"/>
      <c r="WZD64" s="94"/>
      <c r="WZE64" s="94"/>
      <c r="WZF64" s="94"/>
      <c r="WZG64" s="94"/>
      <c r="WZH64" s="94"/>
      <c r="WZI64" s="94"/>
      <c r="WZJ64" s="94"/>
      <c r="WZK64" s="94"/>
      <c r="WZL64" s="94"/>
      <c r="WZM64" s="94"/>
      <c r="WZN64" s="94"/>
      <c r="WZO64" s="94"/>
      <c r="WZP64" s="94"/>
      <c r="WZQ64" s="94"/>
      <c r="WZR64" s="94"/>
      <c r="WZS64" s="94"/>
      <c r="WZT64" s="94"/>
      <c r="WZU64" s="94"/>
      <c r="WZV64" s="94"/>
      <c r="WZW64" s="94"/>
      <c r="WZX64" s="94"/>
      <c r="WZY64" s="94"/>
      <c r="WZZ64" s="94"/>
      <c r="XAA64" s="94"/>
      <c r="XAB64" s="94"/>
      <c r="XAC64" s="94"/>
      <c r="XAD64" s="94"/>
      <c r="XAE64" s="94"/>
      <c r="XAF64" s="94"/>
      <c r="XAG64" s="94"/>
      <c r="XAH64" s="94"/>
      <c r="XAI64" s="94"/>
      <c r="XAJ64" s="94"/>
      <c r="XAK64" s="94"/>
      <c r="XAL64" s="94"/>
      <c r="XAM64" s="94"/>
      <c r="XAN64" s="94"/>
      <c r="XAO64" s="94"/>
      <c r="XAP64" s="94"/>
      <c r="XAQ64" s="94"/>
      <c r="XAR64" s="94"/>
      <c r="XAS64" s="94"/>
      <c r="XAT64" s="94"/>
      <c r="XAU64" s="94"/>
      <c r="XAV64" s="94"/>
      <c r="XAW64" s="94"/>
      <c r="XAX64" s="94"/>
      <c r="XAY64" s="94"/>
      <c r="XAZ64" s="94"/>
      <c r="XBA64" s="94"/>
      <c r="XBB64" s="94"/>
      <c r="XBC64" s="94"/>
      <c r="XBD64" s="94"/>
      <c r="XBE64" s="94"/>
      <c r="XBF64" s="94"/>
      <c r="XBG64" s="94"/>
      <c r="XBH64" s="94"/>
      <c r="XBI64" s="94"/>
      <c r="XBJ64" s="94"/>
      <c r="XBK64" s="94"/>
      <c r="XBL64" s="94"/>
      <c r="XBM64" s="94"/>
      <c r="XBN64" s="94"/>
      <c r="XBO64" s="94"/>
      <c r="XBP64" s="94"/>
      <c r="XBQ64" s="94"/>
      <c r="XBR64" s="94"/>
      <c r="XBS64" s="94"/>
      <c r="XBT64" s="94"/>
      <c r="XBU64" s="94"/>
      <c r="XBV64" s="94"/>
      <c r="XBW64" s="94"/>
      <c r="XBX64" s="94"/>
      <c r="XBY64" s="94"/>
      <c r="XBZ64" s="94"/>
      <c r="XCA64" s="94"/>
      <c r="XCB64" s="94"/>
      <c r="XCC64" s="94"/>
      <c r="XCD64" s="94"/>
      <c r="XCE64" s="94"/>
      <c r="XCF64" s="94"/>
      <c r="XCG64" s="94"/>
      <c r="XCH64" s="94"/>
      <c r="XCI64" s="94"/>
      <c r="XCJ64" s="94"/>
      <c r="XCK64" s="94"/>
      <c r="XCL64" s="94"/>
      <c r="XCM64" s="94"/>
      <c r="XCN64" s="94"/>
      <c r="XCO64" s="94"/>
      <c r="XCP64" s="94"/>
      <c r="XCQ64" s="94"/>
      <c r="XCR64" s="94"/>
      <c r="XCS64" s="94"/>
      <c r="XCT64" s="94"/>
      <c r="XCU64" s="94"/>
      <c r="XCV64" s="94"/>
      <c r="XCW64" s="94"/>
      <c r="XCX64" s="94"/>
      <c r="XCY64" s="94"/>
      <c r="XCZ64" s="94"/>
      <c r="XDA64" s="94"/>
      <c r="XDB64" s="94"/>
      <c r="XDC64" s="94"/>
      <c r="XDD64" s="94"/>
      <c r="XDE64" s="94"/>
      <c r="XDF64" s="94"/>
      <c r="XDG64" s="94"/>
      <c r="XDH64" s="94"/>
      <c r="XDI64" s="94"/>
      <c r="XDJ64" s="94"/>
      <c r="XDK64" s="94"/>
      <c r="XDL64" s="94"/>
      <c r="XDM64" s="94"/>
      <c r="XDN64" s="94"/>
      <c r="XDO64" s="94"/>
      <c r="XDP64" s="94"/>
      <c r="XDQ64" s="94"/>
      <c r="XDR64" s="94"/>
      <c r="XDS64" s="94"/>
      <c r="XDT64" s="94"/>
      <c r="XDU64" s="94"/>
      <c r="XDV64" s="94"/>
      <c r="XDW64" s="94"/>
      <c r="XDX64" s="94"/>
      <c r="XDY64" s="94"/>
      <c r="XDZ64" s="94"/>
      <c r="XEA64" s="94"/>
      <c r="XEB64" s="94"/>
      <c r="XEC64" s="94"/>
      <c r="XED64" s="94"/>
      <c r="XEE64" s="94"/>
      <c r="XEF64" s="94"/>
      <c r="XEG64" s="94"/>
      <c r="XEH64" s="94"/>
      <c r="XEI64" s="94"/>
      <c r="XEJ64" s="94"/>
      <c r="XEK64" s="94"/>
      <c r="XEL64" s="94"/>
      <c r="XEM64" s="94"/>
      <c r="XEN64" s="94"/>
      <c r="XEO64" s="94"/>
      <c r="XEP64" s="94"/>
      <c r="XEQ64" s="94"/>
      <c r="XER64" s="94"/>
      <c r="XES64" s="94"/>
      <c r="XET64" s="94"/>
      <c r="XEU64" s="94"/>
      <c r="XEV64" s="94"/>
      <c r="XEW64" s="94"/>
      <c r="XEX64" s="94"/>
      <c r="XEY64" s="94"/>
      <c r="XEZ64" s="94"/>
      <c r="XFA64" s="94"/>
      <c r="XFB64" s="94"/>
      <c r="XFC64" s="94"/>
      <c r="XFD64" s="94"/>
    </row>
    <row r="65" ht="16.35" spans="1:1024 1025:16384">
      <c r="A65" s="101"/>
      <c r="B65" s="108"/>
      <c r="C65" s="108"/>
      <c r="D65" s="109"/>
      <c r="E65" s="109"/>
      <c r="F65" s="109"/>
      <c r="G65" s="109"/>
      <c r="H65" s="109"/>
      <c r="I65" s="109"/>
      <c r="J65" s="109"/>
      <c r="K65" s="109"/>
      <c r="M65" s="108"/>
      <c r="N65" s="108"/>
      <c r="O65" s="109"/>
      <c r="P65" s="109"/>
      <c r="Q65" s="109"/>
      <c r="R65" s="109"/>
      <c r="S65" s="109"/>
      <c r="T65" s="109"/>
      <c r="U65" s="109"/>
      <c r="V65" s="109"/>
      <c r="X65" s="150"/>
      <c r="Y65" s="151"/>
      <c r="Z65" s="151"/>
      <c r="AA65" s="151"/>
      <c r="AB65" s="151"/>
      <c r="AC65" s="151"/>
      <c r="AD65" s="151"/>
      <c r="AE65" s="151"/>
      <c r="AF65" s="151"/>
      <c r="AG65" s="152"/>
      <c r="AH65" s="152"/>
      <c r="AI65" s="150"/>
      <c r="AJ65" s="151"/>
      <c r="AK65" s="151"/>
      <c r="AL65" s="151"/>
      <c r="AM65" s="151"/>
      <c r="AN65" s="151"/>
      <c r="AO65" s="151"/>
      <c r="AP65" s="151"/>
      <c r="AQ65" s="151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BM65" s="94"/>
      <c r="BN65" s="94"/>
      <c r="BO65" s="94"/>
      <c r="BP65" s="94"/>
      <c r="BQ65" s="94"/>
      <c r="BR65" s="94"/>
      <c r="BS65" s="94"/>
      <c r="BT65" s="94"/>
      <c r="BU65" s="94"/>
      <c r="BV65" s="94"/>
      <c r="BW65" s="94"/>
      <c r="BX65" s="94"/>
      <c r="BY65" s="94"/>
      <c r="BZ65" s="94"/>
      <c r="CA65" s="94"/>
      <c r="CB65" s="94"/>
      <c r="CC65" s="94"/>
      <c r="CD65" s="94"/>
      <c r="CE65" s="94"/>
      <c r="CF65" s="94"/>
      <c r="CG65" s="94"/>
      <c r="CH65" s="94"/>
      <c r="CI65" s="94"/>
      <c r="CJ65" s="94"/>
      <c r="CK65" s="94"/>
      <c r="CL65" s="94"/>
      <c r="CM65" s="94"/>
      <c r="CN65" s="94"/>
      <c r="CO65" s="94"/>
      <c r="CP65" s="94"/>
      <c r="CQ65" s="94"/>
      <c r="CR65" s="94"/>
      <c r="CS65" s="94"/>
      <c r="CT65" s="94"/>
      <c r="CU65" s="94"/>
      <c r="CV65" s="94"/>
      <c r="CW65" s="94"/>
      <c r="CX65" s="94"/>
      <c r="CY65" s="94"/>
      <c r="CZ65" s="94"/>
      <c r="DA65" s="94"/>
      <c r="DB65" s="94"/>
      <c r="DC65" s="94"/>
      <c r="DD65" s="94"/>
      <c r="DE65" s="94"/>
      <c r="DF65" s="94"/>
      <c r="DG65" s="94"/>
      <c r="DH65" s="94"/>
      <c r="DI65" s="94"/>
      <c r="DJ65" s="94"/>
      <c r="DK65" s="94"/>
      <c r="DL65" s="94"/>
      <c r="DM65" s="94"/>
      <c r="DN65" s="94"/>
      <c r="DO65" s="94"/>
      <c r="DP65" s="94"/>
      <c r="DQ65" s="94"/>
      <c r="DR65" s="94"/>
      <c r="DS65" s="94"/>
      <c r="DT65" s="94"/>
      <c r="DU65" s="94"/>
      <c r="DV65" s="94"/>
      <c r="DW65" s="94"/>
      <c r="DX65" s="94"/>
      <c r="DY65" s="94"/>
      <c r="DZ65" s="94"/>
      <c r="EA65" s="94"/>
      <c r="EB65" s="94"/>
      <c r="EC65" s="94"/>
      <c r="ED65" s="94"/>
      <c r="EE65" s="94"/>
      <c r="EF65" s="94"/>
      <c r="EG65" s="94"/>
      <c r="EH65" s="94"/>
      <c r="EI65" s="94"/>
      <c r="EJ65" s="94"/>
      <c r="EK65" s="94"/>
      <c r="EL65" s="94"/>
      <c r="EM65" s="94"/>
      <c r="EN65" s="94"/>
      <c r="EO65" s="94"/>
      <c r="EP65" s="94"/>
      <c r="EQ65" s="94"/>
      <c r="ER65" s="94"/>
      <c r="ES65" s="94"/>
      <c r="ET65" s="94"/>
      <c r="EU65" s="94"/>
      <c r="EV65" s="94"/>
      <c r="EW65" s="94"/>
      <c r="EX65" s="94"/>
      <c r="EY65" s="94"/>
      <c r="EZ65" s="94"/>
      <c r="FA65" s="94"/>
      <c r="FB65" s="94"/>
      <c r="FC65" s="94"/>
      <c r="FD65" s="94"/>
      <c r="FE65" s="94"/>
      <c r="FF65" s="94"/>
      <c r="FG65" s="94"/>
      <c r="FH65" s="94"/>
      <c r="FI65" s="94"/>
      <c r="FJ65" s="94"/>
      <c r="FK65" s="94"/>
      <c r="FL65" s="94"/>
      <c r="FM65" s="94"/>
      <c r="FN65" s="94"/>
      <c r="FO65" s="94"/>
      <c r="FP65" s="94"/>
      <c r="FQ65" s="94"/>
      <c r="FR65" s="94"/>
      <c r="FS65" s="94"/>
      <c r="FT65" s="94"/>
      <c r="FU65" s="94"/>
      <c r="FV65" s="94"/>
      <c r="FW65" s="94"/>
      <c r="FX65" s="94"/>
      <c r="FY65" s="94"/>
      <c r="FZ65" s="94"/>
      <c r="GA65" s="94"/>
      <c r="GB65" s="94"/>
      <c r="GC65" s="94"/>
      <c r="GD65" s="94"/>
      <c r="GE65" s="94"/>
      <c r="GF65" s="94"/>
      <c r="GG65" s="94"/>
      <c r="GH65" s="94"/>
      <c r="GI65" s="94"/>
      <c r="GJ65" s="94"/>
      <c r="GK65" s="94"/>
      <c r="GL65" s="94"/>
      <c r="GM65" s="94"/>
      <c r="GN65" s="94"/>
      <c r="GO65" s="94"/>
      <c r="GP65" s="94"/>
      <c r="GQ65" s="94"/>
      <c r="GR65" s="94"/>
      <c r="GS65" s="94"/>
      <c r="GT65" s="94"/>
      <c r="GU65" s="94"/>
      <c r="GV65" s="94"/>
      <c r="GW65" s="94"/>
      <c r="GX65" s="94"/>
      <c r="GY65" s="94"/>
      <c r="GZ65" s="94"/>
      <c r="HA65" s="94"/>
      <c r="HB65" s="94"/>
      <c r="HC65" s="94"/>
      <c r="HD65" s="94"/>
      <c r="HE65" s="94"/>
      <c r="HF65" s="94"/>
      <c r="HG65" s="94"/>
      <c r="HH65" s="94"/>
      <c r="HI65" s="94"/>
      <c r="HJ65" s="94"/>
      <c r="HK65" s="94"/>
      <c r="HL65" s="94"/>
      <c r="HM65" s="94"/>
      <c r="HN65" s="94"/>
      <c r="HO65" s="94"/>
      <c r="HP65" s="94"/>
      <c r="HQ65" s="94"/>
      <c r="HR65" s="94"/>
      <c r="HS65" s="94"/>
      <c r="HT65" s="94"/>
      <c r="HU65" s="94"/>
      <c r="HV65" s="94"/>
      <c r="HW65" s="94"/>
      <c r="HX65" s="94"/>
      <c r="HY65" s="94"/>
      <c r="HZ65" s="94"/>
      <c r="IA65" s="94"/>
      <c r="IB65" s="94"/>
      <c r="IC65" s="94"/>
      <c r="ID65" s="94"/>
      <c r="IE65" s="94"/>
      <c r="IF65" s="94"/>
      <c r="IG65" s="94"/>
      <c r="IH65" s="94"/>
      <c r="II65" s="94"/>
      <c r="IJ65" s="94"/>
      <c r="IK65" s="94"/>
      <c r="IL65" s="94"/>
      <c r="IM65" s="94"/>
      <c r="IN65" s="94"/>
      <c r="IO65" s="94"/>
      <c r="IP65" s="94"/>
      <c r="IQ65" s="94"/>
      <c r="IR65" s="94"/>
      <c r="IS65" s="94"/>
      <c r="IT65" s="94"/>
      <c r="IU65" s="94"/>
      <c r="IV65" s="94"/>
      <c r="IW65" s="94"/>
      <c r="IX65" s="94"/>
      <c r="IY65" s="94"/>
      <c r="IZ65" s="94"/>
      <c r="JA65" s="94"/>
      <c r="JB65" s="94"/>
      <c r="JC65" s="94"/>
      <c r="JD65" s="94"/>
      <c r="JE65" s="94"/>
      <c r="JF65" s="94"/>
      <c r="JG65" s="94"/>
      <c r="JH65" s="94"/>
      <c r="JI65" s="94"/>
      <c r="JJ65" s="94"/>
      <c r="JK65" s="94"/>
      <c r="JL65" s="94"/>
      <c r="JM65" s="94"/>
      <c r="JN65" s="94"/>
      <c r="JO65" s="94"/>
      <c r="JP65" s="94"/>
      <c r="JQ65" s="94"/>
      <c r="JR65" s="94"/>
      <c r="JS65" s="94"/>
      <c r="JT65" s="94"/>
      <c r="JU65" s="94"/>
      <c r="JV65" s="94"/>
      <c r="JW65" s="94"/>
      <c r="JX65" s="94"/>
      <c r="JY65" s="94"/>
      <c r="JZ65" s="94"/>
      <c r="KA65" s="94"/>
      <c r="KB65" s="94"/>
      <c r="KC65" s="94"/>
      <c r="KD65" s="94"/>
      <c r="KE65" s="94"/>
      <c r="KF65" s="94"/>
      <c r="KG65" s="94"/>
      <c r="KH65" s="94"/>
      <c r="KI65" s="94"/>
      <c r="KJ65" s="94"/>
      <c r="KK65" s="94"/>
      <c r="KL65" s="94"/>
      <c r="KM65" s="94"/>
      <c r="KN65" s="94"/>
      <c r="KO65" s="94"/>
      <c r="KP65" s="94"/>
      <c r="KQ65" s="94"/>
      <c r="KR65" s="94"/>
      <c r="KS65" s="94"/>
      <c r="KT65" s="94"/>
      <c r="KU65" s="94"/>
      <c r="KV65" s="94"/>
      <c r="KW65" s="94"/>
      <c r="KX65" s="94"/>
      <c r="KY65" s="94"/>
      <c r="KZ65" s="94"/>
      <c r="LA65" s="94"/>
      <c r="LB65" s="94"/>
      <c r="LC65" s="94"/>
      <c r="LD65" s="94"/>
      <c r="LE65" s="94"/>
      <c r="LF65" s="94"/>
      <c r="LG65" s="94"/>
      <c r="LH65" s="94"/>
      <c r="LI65" s="94"/>
      <c r="LJ65" s="94"/>
      <c r="LK65" s="94"/>
      <c r="LL65" s="94"/>
      <c r="LM65" s="94"/>
      <c r="LN65" s="94"/>
      <c r="LO65" s="94"/>
      <c r="LP65" s="94"/>
      <c r="LQ65" s="94"/>
      <c r="LR65" s="94"/>
      <c r="LS65" s="94"/>
      <c r="LT65" s="94"/>
      <c r="LU65" s="94"/>
      <c r="LV65" s="94"/>
      <c r="LW65" s="94"/>
      <c r="LX65" s="94"/>
      <c r="LY65" s="94"/>
      <c r="LZ65" s="94"/>
      <c r="MA65" s="94"/>
      <c r="MB65" s="94"/>
      <c r="MC65" s="94"/>
      <c r="MD65" s="94"/>
      <c r="ME65" s="94"/>
      <c r="MF65" s="94"/>
      <c r="MG65" s="94"/>
      <c r="MH65" s="94"/>
      <c r="MI65" s="94"/>
      <c r="MJ65" s="94"/>
      <c r="MK65" s="94"/>
      <c r="ML65" s="94"/>
      <c r="MM65" s="94"/>
      <c r="MN65" s="94"/>
      <c r="MO65" s="94"/>
      <c r="MP65" s="94"/>
      <c r="MQ65" s="94"/>
      <c r="MR65" s="94"/>
      <c r="MS65" s="94"/>
      <c r="MT65" s="94"/>
      <c r="MU65" s="94"/>
      <c r="MV65" s="94"/>
      <c r="MW65" s="94"/>
      <c r="MX65" s="94"/>
      <c r="MY65" s="94"/>
      <c r="MZ65" s="94"/>
      <c r="NA65" s="94"/>
      <c r="NB65" s="94"/>
      <c r="NC65" s="94"/>
      <c r="ND65" s="94"/>
      <c r="NE65" s="94"/>
      <c r="NF65" s="94"/>
      <c r="NG65" s="94"/>
      <c r="NH65" s="94"/>
      <c r="NI65" s="94"/>
      <c r="NJ65" s="94"/>
      <c r="NK65" s="94"/>
      <c r="NL65" s="94"/>
      <c r="NM65" s="94"/>
      <c r="NN65" s="94"/>
      <c r="NO65" s="94"/>
      <c r="NP65" s="94"/>
      <c r="NQ65" s="94"/>
      <c r="NR65" s="94"/>
      <c r="NS65" s="94"/>
      <c r="NT65" s="94"/>
      <c r="NU65" s="94"/>
      <c r="NV65" s="94"/>
      <c r="NW65" s="94"/>
      <c r="NX65" s="94"/>
      <c r="NY65" s="94"/>
      <c r="NZ65" s="94"/>
      <c r="OA65" s="94"/>
      <c r="OB65" s="94"/>
      <c r="OC65" s="94"/>
      <c r="OD65" s="94"/>
      <c r="OE65" s="94"/>
      <c r="OF65" s="94"/>
      <c r="OG65" s="94"/>
      <c r="OH65" s="94"/>
      <c r="OI65" s="94"/>
      <c r="OJ65" s="94"/>
      <c r="OK65" s="94"/>
      <c r="OL65" s="94"/>
      <c r="OM65" s="94"/>
      <c r="ON65" s="94"/>
      <c r="OO65" s="94"/>
      <c r="OP65" s="94"/>
      <c r="OQ65" s="94"/>
      <c r="OR65" s="94"/>
      <c r="OS65" s="94"/>
      <c r="OT65" s="94"/>
      <c r="OU65" s="94"/>
      <c r="OV65" s="94"/>
      <c r="OW65" s="94"/>
      <c r="OX65" s="94"/>
      <c r="OY65" s="94"/>
      <c r="OZ65" s="94"/>
      <c r="PA65" s="94"/>
      <c r="PB65" s="94"/>
      <c r="PC65" s="94"/>
      <c r="PD65" s="94"/>
      <c r="PE65" s="94"/>
      <c r="PF65" s="94"/>
      <c r="PG65" s="94"/>
      <c r="PH65" s="94"/>
      <c r="PI65" s="94"/>
      <c r="PJ65" s="94"/>
      <c r="PK65" s="94"/>
      <c r="PL65" s="94"/>
      <c r="PM65" s="94"/>
      <c r="PN65" s="94"/>
      <c r="PO65" s="94"/>
      <c r="PP65" s="94"/>
      <c r="PQ65" s="94"/>
      <c r="PR65" s="94"/>
      <c r="PS65" s="94"/>
      <c r="PT65" s="94"/>
      <c r="PU65" s="94"/>
      <c r="PV65" s="94"/>
      <c r="PW65" s="94"/>
      <c r="PX65" s="94"/>
      <c r="PY65" s="94"/>
      <c r="PZ65" s="94"/>
      <c r="QA65" s="94"/>
      <c r="QB65" s="94"/>
      <c r="QC65" s="94"/>
      <c r="QD65" s="94"/>
      <c r="QE65" s="94"/>
      <c r="QF65" s="94"/>
      <c r="QG65" s="94"/>
      <c r="QH65" s="94"/>
      <c r="QI65" s="94"/>
      <c r="QJ65" s="94"/>
      <c r="QK65" s="94"/>
      <c r="QL65" s="94"/>
      <c r="QM65" s="94"/>
      <c r="QN65" s="94"/>
      <c r="QO65" s="94"/>
      <c r="QP65" s="94"/>
      <c r="QQ65" s="94"/>
      <c r="QR65" s="94"/>
      <c r="QS65" s="94"/>
      <c r="QT65" s="94"/>
      <c r="QU65" s="94"/>
      <c r="QV65" s="94"/>
      <c r="QW65" s="94"/>
      <c r="QX65" s="94"/>
      <c r="QY65" s="94"/>
      <c r="QZ65" s="94"/>
      <c r="RA65" s="94"/>
      <c r="RB65" s="94"/>
      <c r="RC65" s="94"/>
      <c r="RD65" s="94"/>
      <c r="RE65" s="94"/>
      <c r="RF65" s="94"/>
      <c r="RG65" s="94"/>
      <c r="RH65" s="94"/>
      <c r="RI65" s="94"/>
      <c r="RJ65" s="94"/>
      <c r="RK65" s="94"/>
      <c r="RL65" s="94"/>
      <c r="RM65" s="94"/>
      <c r="RN65" s="94"/>
      <c r="RO65" s="94"/>
      <c r="RP65" s="94"/>
      <c r="RQ65" s="94"/>
      <c r="RR65" s="94"/>
      <c r="RS65" s="94"/>
      <c r="RT65" s="94"/>
      <c r="RU65" s="94"/>
      <c r="RV65" s="94"/>
      <c r="RW65" s="94"/>
      <c r="RX65" s="94"/>
      <c r="RY65" s="94"/>
      <c r="RZ65" s="94"/>
      <c r="SA65" s="94"/>
      <c r="SB65" s="94"/>
      <c r="SC65" s="94"/>
      <c r="SD65" s="94"/>
      <c r="SE65" s="94"/>
      <c r="SF65" s="94"/>
      <c r="SG65" s="94"/>
      <c r="SH65" s="94"/>
      <c r="SI65" s="94"/>
      <c r="SJ65" s="94"/>
      <c r="SK65" s="94"/>
      <c r="SL65" s="94"/>
      <c r="SM65" s="94"/>
      <c r="SN65" s="94"/>
      <c r="SO65" s="94"/>
      <c r="SP65" s="94"/>
      <c r="SQ65" s="94"/>
      <c r="SR65" s="94"/>
      <c r="SS65" s="94"/>
      <c r="ST65" s="94"/>
      <c r="SU65" s="94"/>
      <c r="SV65" s="94"/>
      <c r="SW65" s="94"/>
      <c r="SX65" s="94"/>
      <c r="SY65" s="94"/>
      <c r="SZ65" s="94"/>
      <c r="TA65" s="94"/>
      <c r="TB65" s="94"/>
      <c r="TC65" s="94"/>
      <c r="TD65" s="94"/>
      <c r="TE65" s="94"/>
      <c r="TF65" s="94"/>
      <c r="TG65" s="94"/>
      <c r="TH65" s="94"/>
      <c r="TI65" s="94"/>
      <c r="TJ65" s="94"/>
      <c r="TK65" s="94"/>
      <c r="TL65" s="94"/>
      <c r="TM65" s="94"/>
      <c r="TN65" s="94"/>
      <c r="TO65" s="94"/>
      <c r="TP65" s="94"/>
      <c r="TQ65" s="94"/>
      <c r="TR65" s="94"/>
      <c r="TS65" s="94"/>
      <c r="TT65" s="94"/>
      <c r="TU65" s="94"/>
      <c r="TV65" s="94"/>
      <c r="TW65" s="94"/>
      <c r="TX65" s="94"/>
      <c r="TY65" s="94"/>
      <c r="TZ65" s="94"/>
      <c r="UA65" s="94"/>
      <c r="UB65" s="94"/>
      <c r="UC65" s="94"/>
      <c r="UD65" s="94"/>
      <c r="UE65" s="94"/>
      <c r="UF65" s="94"/>
      <c r="UG65" s="94"/>
      <c r="UH65" s="94"/>
      <c r="UI65" s="94"/>
      <c r="UJ65" s="94"/>
      <c r="UK65" s="94"/>
      <c r="UL65" s="94"/>
      <c r="UM65" s="94"/>
      <c r="UN65" s="94"/>
      <c r="UO65" s="94"/>
      <c r="UP65" s="94"/>
      <c r="UQ65" s="94"/>
      <c r="UR65" s="94"/>
      <c r="US65" s="94"/>
      <c r="UT65" s="94"/>
      <c r="UU65" s="94"/>
      <c r="UV65" s="94"/>
      <c r="UW65" s="94"/>
      <c r="UX65" s="94"/>
      <c r="UY65" s="94"/>
      <c r="UZ65" s="94"/>
      <c r="VA65" s="94"/>
      <c r="VB65" s="94"/>
      <c r="VC65" s="94"/>
      <c r="VD65" s="94"/>
      <c r="VE65" s="94"/>
      <c r="VF65" s="94"/>
      <c r="VG65" s="94"/>
      <c r="VH65" s="94"/>
      <c r="VI65" s="94"/>
      <c r="VJ65" s="94"/>
      <c r="VK65" s="94"/>
      <c r="VL65" s="94"/>
      <c r="VM65" s="94"/>
      <c r="VN65" s="94"/>
      <c r="VO65" s="94"/>
      <c r="VP65" s="94"/>
      <c r="VQ65" s="94"/>
      <c r="VR65" s="94"/>
      <c r="VS65" s="94"/>
      <c r="VT65" s="94"/>
      <c r="VU65" s="94"/>
      <c r="VV65" s="94"/>
      <c r="VW65" s="94"/>
      <c r="VX65" s="94"/>
      <c r="VY65" s="94"/>
      <c r="VZ65" s="94"/>
      <c r="WA65" s="94"/>
      <c r="WB65" s="94"/>
      <c r="WC65" s="94"/>
      <c r="WD65" s="94"/>
      <c r="WE65" s="94"/>
      <c r="WF65" s="94"/>
      <c r="WG65" s="94"/>
      <c r="WH65" s="94"/>
      <c r="WI65" s="94"/>
      <c r="WJ65" s="94"/>
      <c r="WK65" s="94"/>
      <c r="WL65" s="94"/>
      <c r="WM65" s="94"/>
      <c r="WN65" s="94"/>
      <c r="WO65" s="94"/>
      <c r="WP65" s="94"/>
      <c r="WQ65" s="94"/>
      <c r="WR65" s="94"/>
      <c r="WS65" s="94"/>
      <c r="WT65" s="94"/>
      <c r="WU65" s="94"/>
      <c r="WV65" s="94"/>
      <c r="WW65" s="94"/>
      <c r="WX65" s="94"/>
      <c r="WY65" s="94"/>
      <c r="WZ65" s="94"/>
      <c r="XA65" s="94"/>
      <c r="XB65" s="94"/>
      <c r="XC65" s="94"/>
      <c r="XD65" s="94"/>
      <c r="XE65" s="94"/>
      <c r="XF65" s="94"/>
      <c r="XG65" s="94"/>
      <c r="XH65" s="94"/>
      <c r="XI65" s="94"/>
      <c r="XJ65" s="94"/>
      <c r="XK65" s="94"/>
      <c r="XL65" s="94"/>
      <c r="XM65" s="94"/>
      <c r="XN65" s="94"/>
      <c r="XO65" s="94"/>
      <c r="XP65" s="94"/>
      <c r="XQ65" s="94"/>
      <c r="XR65" s="94"/>
      <c r="XS65" s="94"/>
      <c r="XT65" s="94"/>
      <c r="XU65" s="94"/>
      <c r="XV65" s="94"/>
      <c r="XW65" s="94"/>
      <c r="XX65" s="94"/>
      <c r="XY65" s="94"/>
      <c r="XZ65" s="94"/>
      <c r="YA65" s="94"/>
      <c r="YB65" s="94"/>
      <c r="YC65" s="94"/>
      <c r="YD65" s="94"/>
      <c r="YE65" s="94"/>
      <c r="YF65" s="94"/>
      <c r="YG65" s="94"/>
      <c r="YH65" s="94"/>
      <c r="YI65" s="94"/>
      <c r="YJ65" s="94"/>
      <c r="YK65" s="94"/>
      <c r="YL65" s="94"/>
      <c r="YM65" s="94"/>
      <c r="YN65" s="94"/>
      <c r="YO65" s="94"/>
      <c r="YP65" s="94"/>
      <c r="YQ65" s="94"/>
      <c r="YR65" s="94"/>
      <c r="YS65" s="94"/>
      <c r="YT65" s="94"/>
      <c r="YU65" s="94"/>
      <c r="YV65" s="94"/>
      <c r="YW65" s="94"/>
      <c r="YX65" s="94"/>
      <c r="YY65" s="94"/>
      <c r="YZ65" s="94"/>
      <c r="ZA65" s="94"/>
      <c r="ZB65" s="94"/>
      <c r="ZC65" s="94"/>
      <c r="ZD65" s="94"/>
      <c r="ZE65" s="94"/>
      <c r="ZF65" s="94"/>
      <c r="ZG65" s="94"/>
      <c r="ZH65" s="94"/>
      <c r="ZI65" s="94"/>
      <c r="ZJ65" s="94"/>
      <c r="ZK65" s="94"/>
      <c r="ZL65" s="94"/>
      <c r="ZM65" s="94"/>
      <c r="ZN65" s="94"/>
      <c r="ZO65" s="94"/>
      <c r="ZP65" s="94"/>
      <c r="ZQ65" s="94"/>
      <c r="ZR65" s="94"/>
      <c r="ZS65" s="94"/>
      <c r="ZT65" s="94"/>
      <c r="ZU65" s="94"/>
      <c r="ZV65" s="94"/>
      <c r="ZW65" s="94"/>
      <c r="ZX65" s="94"/>
      <c r="ZY65" s="94"/>
      <c r="ZZ65" s="94"/>
      <c r="AAA65" s="94"/>
      <c r="AAB65" s="94"/>
      <c r="AAC65" s="94"/>
      <c r="AAD65" s="94"/>
      <c r="AAE65" s="94"/>
      <c r="AAF65" s="94"/>
      <c r="AAG65" s="94"/>
      <c r="AAH65" s="94"/>
      <c r="AAI65" s="94"/>
      <c r="AAJ65" s="94"/>
      <c r="AAK65" s="94"/>
      <c r="AAL65" s="94"/>
      <c r="AAM65" s="94"/>
      <c r="AAN65" s="94"/>
      <c r="AAO65" s="94"/>
      <c r="AAP65" s="94"/>
      <c r="AAQ65" s="94"/>
      <c r="AAR65" s="94"/>
      <c r="AAS65" s="94"/>
      <c r="AAT65" s="94"/>
      <c r="AAU65" s="94"/>
      <c r="AAV65" s="94"/>
      <c r="AAW65" s="94"/>
      <c r="AAX65" s="94"/>
      <c r="AAY65" s="94"/>
      <c r="AAZ65" s="94"/>
      <c r="ABA65" s="94"/>
      <c r="ABB65" s="94"/>
      <c r="ABC65" s="94"/>
      <c r="ABD65" s="94"/>
      <c r="ABE65" s="94"/>
      <c r="ABF65" s="94"/>
      <c r="ABG65" s="94"/>
      <c r="ABH65" s="94"/>
      <c r="ABI65" s="94"/>
      <c r="ABJ65" s="94"/>
      <c r="ABK65" s="94"/>
      <c r="ABL65" s="94"/>
      <c r="ABM65" s="94"/>
      <c r="ABN65" s="94"/>
      <c r="ABO65" s="94"/>
      <c r="ABP65" s="94"/>
      <c r="ABQ65" s="94"/>
      <c r="ABR65" s="94"/>
      <c r="ABS65" s="94"/>
      <c r="ABT65" s="94"/>
      <c r="ABU65" s="94"/>
      <c r="ABV65" s="94"/>
      <c r="ABW65" s="94"/>
      <c r="ABX65" s="94"/>
      <c r="ABY65" s="94"/>
      <c r="ABZ65" s="94"/>
      <c r="ACA65" s="94"/>
      <c r="ACB65" s="94"/>
      <c r="ACC65" s="94"/>
      <c r="ACD65" s="94"/>
      <c r="ACE65" s="94"/>
      <c r="ACF65" s="94"/>
      <c r="ACG65" s="94"/>
      <c r="ACH65" s="94"/>
      <c r="ACI65" s="94"/>
      <c r="ACJ65" s="94"/>
      <c r="ACK65" s="94"/>
      <c r="ACL65" s="94"/>
      <c r="ACM65" s="94"/>
      <c r="ACN65" s="94"/>
      <c r="ACO65" s="94"/>
      <c r="ACP65" s="94"/>
      <c r="ACQ65" s="94"/>
      <c r="ACR65" s="94"/>
      <c r="ACS65" s="94"/>
      <c r="ACT65" s="94"/>
      <c r="ACU65" s="94"/>
      <c r="ACV65" s="94"/>
      <c r="ACW65" s="94"/>
      <c r="ACX65" s="94"/>
      <c r="ACY65" s="94"/>
      <c r="ACZ65" s="94"/>
      <c r="ADA65" s="94"/>
      <c r="ADB65" s="94"/>
      <c r="ADC65" s="94"/>
      <c r="ADD65" s="94"/>
      <c r="ADE65" s="94"/>
      <c r="ADF65" s="94"/>
      <c r="ADG65" s="94"/>
      <c r="ADH65" s="94"/>
      <c r="ADI65" s="94"/>
      <c r="ADJ65" s="94"/>
      <c r="ADK65" s="94"/>
      <c r="ADL65" s="94"/>
      <c r="ADM65" s="94"/>
      <c r="ADN65" s="94"/>
      <c r="ADO65" s="94"/>
      <c r="ADP65" s="94"/>
      <c r="ADQ65" s="94"/>
      <c r="ADR65" s="94"/>
      <c r="ADS65" s="94"/>
      <c r="ADT65" s="94"/>
      <c r="ADU65" s="94"/>
      <c r="ADV65" s="94"/>
      <c r="ADW65" s="94"/>
      <c r="ADX65" s="94"/>
      <c r="ADY65" s="94"/>
      <c r="ADZ65" s="94"/>
      <c r="AEA65" s="94"/>
      <c r="AEB65" s="94"/>
      <c r="AEC65" s="94"/>
      <c r="AED65" s="94"/>
      <c r="AEE65" s="94"/>
      <c r="AEF65" s="94"/>
      <c r="AEG65" s="94"/>
      <c r="AEH65" s="94"/>
      <c r="AEI65" s="94"/>
      <c r="AEJ65" s="94"/>
      <c r="AEK65" s="94"/>
      <c r="AEL65" s="94"/>
      <c r="AEM65" s="94"/>
      <c r="AEN65" s="94"/>
      <c r="AEO65" s="94"/>
      <c r="AEP65" s="94"/>
      <c r="AEQ65" s="94"/>
      <c r="AER65" s="94"/>
      <c r="AES65" s="94"/>
      <c r="AET65" s="94"/>
      <c r="AEU65" s="94"/>
      <c r="AEV65" s="94"/>
      <c r="AEW65" s="94"/>
      <c r="AEX65" s="94"/>
      <c r="AEY65" s="94"/>
      <c r="AEZ65" s="94"/>
      <c r="AFA65" s="94"/>
      <c r="AFB65" s="94"/>
      <c r="AFC65" s="94"/>
      <c r="AFD65" s="94"/>
      <c r="AFE65" s="94"/>
      <c r="AFF65" s="94"/>
      <c r="AFG65" s="94"/>
      <c r="AFH65" s="94"/>
      <c r="AFI65" s="94"/>
      <c r="AFJ65" s="94"/>
      <c r="AFK65" s="94"/>
      <c r="AFL65" s="94"/>
      <c r="AFM65" s="94"/>
      <c r="AFN65" s="94"/>
      <c r="AFO65" s="94"/>
      <c r="AFP65" s="94"/>
      <c r="AFQ65" s="94"/>
      <c r="AFR65" s="94"/>
      <c r="AFS65" s="94"/>
      <c r="AFT65" s="94"/>
      <c r="AFU65" s="94"/>
      <c r="AFV65" s="94"/>
      <c r="AFW65" s="94"/>
      <c r="AFX65" s="94"/>
      <c r="AFY65" s="94"/>
      <c r="AFZ65" s="94"/>
      <c r="AGA65" s="94"/>
      <c r="AGB65" s="94"/>
      <c r="AGC65" s="94"/>
      <c r="AGD65" s="94"/>
      <c r="AGE65" s="94"/>
      <c r="AGF65" s="94"/>
      <c r="AGG65" s="94"/>
      <c r="AGH65" s="94"/>
      <c r="AGI65" s="94"/>
      <c r="AGJ65" s="94"/>
      <c r="AGK65" s="94"/>
      <c r="AGL65" s="94"/>
      <c r="AGM65" s="94"/>
      <c r="AGN65" s="94"/>
      <c r="AGO65" s="94"/>
      <c r="AGP65" s="94"/>
      <c r="AGQ65" s="94"/>
      <c r="AGR65" s="94"/>
      <c r="AGS65" s="94"/>
      <c r="AGT65" s="94"/>
      <c r="AGU65" s="94"/>
      <c r="AGV65" s="94"/>
      <c r="AGW65" s="94"/>
      <c r="AGX65" s="94"/>
      <c r="AGY65" s="94"/>
      <c r="AGZ65" s="94"/>
      <c r="AHA65" s="94"/>
      <c r="AHB65" s="94"/>
      <c r="AHC65" s="94"/>
      <c r="AHD65" s="94"/>
      <c r="AHE65" s="94"/>
      <c r="AHF65" s="94"/>
      <c r="AHG65" s="94"/>
      <c r="AHH65" s="94"/>
      <c r="AHI65" s="94"/>
      <c r="AHJ65" s="94"/>
      <c r="AHK65" s="94"/>
      <c r="AHL65" s="94"/>
      <c r="AHM65" s="94"/>
      <c r="AHN65" s="94"/>
      <c r="AHO65" s="94"/>
      <c r="AHP65" s="94"/>
      <c r="AHQ65" s="94"/>
      <c r="AHR65" s="94"/>
      <c r="AHS65" s="94"/>
      <c r="AHT65" s="94"/>
      <c r="AHU65" s="94"/>
      <c r="AHV65" s="94"/>
      <c r="AHW65" s="94"/>
      <c r="AHX65" s="94"/>
      <c r="AHY65" s="94"/>
      <c r="AHZ65" s="94"/>
      <c r="AIA65" s="94"/>
      <c r="AIB65" s="94"/>
      <c r="AIC65" s="94"/>
      <c r="AID65" s="94"/>
      <c r="AIE65" s="94"/>
      <c r="AIF65" s="94"/>
      <c r="AIG65" s="94"/>
      <c r="AIH65" s="94"/>
      <c r="AII65" s="94"/>
      <c r="AIJ65" s="94"/>
      <c r="AIK65" s="94"/>
      <c r="AIL65" s="94"/>
      <c r="AIM65" s="94"/>
      <c r="AIN65" s="94"/>
      <c r="AIO65" s="94"/>
      <c r="AIP65" s="94"/>
      <c r="AIQ65" s="94"/>
      <c r="AIR65" s="94"/>
      <c r="AIS65" s="94"/>
      <c r="AIT65" s="94"/>
      <c r="AIU65" s="94"/>
      <c r="AIV65" s="94"/>
      <c r="AIW65" s="94"/>
      <c r="AIX65" s="94"/>
      <c r="AIY65" s="94"/>
      <c r="AIZ65" s="94"/>
      <c r="AJA65" s="94"/>
      <c r="AJB65" s="94"/>
      <c r="AJC65" s="94"/>
      <c r="AJD65" s="94"/>
      <c r="AJE65" s="94"/>
      <c r="AJF65" s="94"/>
      <c r="AJG65" s="94"/>
      <c r="AJH65" s="94"/>
      <c r="AJI65" s="94"/>
      <c r="AJJ65" s="94"/>
      <c r="AJK65" s="94"/>
      <c r="AJL65" s="94"/>
      <c r="AJM65" s="94"/>
      <c r="AJN65" s="94"/>
      <c r="AJO65" s="94"/>
      <c r="AJP65" s="94"/>
      <c r="AJQ65" s="94"/>
      <c r="AJR65" s="94"/>
      <c r="AJS65" s="94"/>
      <c r="AJT65" s="94"/>
      <c r="AJU65" s="94"/>
      <c r="AJV65" s="94"/>
      <c r="AJW65" s="94"/>
      <c r="AJX65" s="94"/>
      <c r="AJY65" s="94"/>
      <c r="AJZ65" s="94"/>
      <c r="AKA65" s="94"/>
      <c r="AKB65" s="94"/>
      <c r="AKC65" s="94"/>
      <c r="AKD65" s="94"/>
      <c r="AKE65" s="94"/>
      <c r="AKF65" s="94"/>
      <c r="AKG65" s="94"/>
      <c r="AKH65" s="94"/>
      <c r="AKI65" s="94"/>
      <c r="AKJ65" s="94"/>
      <c r="AKK65" s="94"/>
      <c r="AKL65" s="94"/>
      <c r="AKM65" s="94"/>
      <c r="AKN65" s="94"/>
      <c r="AKO65" s="94"/>
      <c r="AKP65" s="94"/>
      <c r="AKQ65" s="94"/>
      <c r="AKR65" s="94"/>
      <c r="AKS65" s="94"/>
      <c r="AKT65" s="94"/>
      <c r="AKU65" s="94"/>
      <c r="AKV65" s="94"/>
      <c r="AKW65" s="94"/>
      <c r="AKX65" s="94"/>
      <c r="AKY65" s="94"/>
      <c r="AKZ65" s="94"/>
      <c r="ALA65" s="94"/>
      <c r="ALB65" s="94"/>
      <c r="ALC65" s="94"/>
      <c r="ALD65" s="94"/>
      <c r="ALE65" s="94"/>
      <c r="ALF65" s="94"/>
      <c r="ALG65" s="94"/>
      <c r="ALH65" s="94"/>
      <c r="ALI65" s="94"/>
      <c r="ALJ65" s="94"/>
      <c r="ALK65" s="94"/>
      <c r="ALL65" s="94"/>
      <c r="ALM65" s="94"/>
      <c r="ALN65" s="94"/>
      <c r="ALO65" s="94"/>
      <c r="ALP65" s="94"/>
      <c r="ALQ65" s="94"/>
      <c r="ALR65" s="94"/>
      <c r="ALS65" s="94"/>
      <c r="ALT65" s="94"/>
      <c r="ALU65" s="94"/>
      <c r="ALV65" s="94"/>
      <c r="ALW65" s="94"/>
      <c r="ALX65" s="94"/>
      <c r="ALY65" s="94"/>
      <c r="ALZ65" s="94"/>
      <c r="AMA65" s="94"/>
      <c r="AMB65" s="94"/>
      <c r="AMC65" s="94"/>
      <c r="AMD65" s="94"/>
      <c r="AME65" s="94"/>
      <c r="AMF65" s="94"/>
      <c r="AMG65" s="94"/>
      <c r="AMH65" s="94"/>
      <c r="AMI65" s="94"/>
      <c r="AMJ65" s="94"/>
      <c r="AMK65" s="94"/>
      <c r="AML65" s="94"/>
      <c r="AMM65" s="94"/>
      <c r="AMN65" s="94"/>
      <c r="AMO65" s="94"/>
      <c r="AMP65" s="94"/>
      <c r="AMQ65" s="94"/>
      <c r="AMR65" s="94"/>
      <c r="AMS65" s="94"/>
      <c r="AMT65" s="94"/>
      <c r="AMU65" s="94"/>
      <c r="AMV65" s="94"/>
      <c r="AMW65" s="94"/>
      <c r="AMX65" s="94"/>
      <c r="AMY65" s="94"/>
      <c r="AMZ65" s="94"/>
      <c r="ANA65" s="94"/>
      <c r="ANB65" s="94"/>
      <c r="ANC65" s="94"/>
      <c r="AND65" s="94"/>
      <c r="ANE65" s="94"/>
      <c r="ANF65" s="94"/>
      <c r="ANG65" s="94"/>
      <c r="ANH65" s="94"/>
      <c r="ANI65" s="94"/>
      <c r="ANJ65" s="94"/>
      <c r="ANK65" s="94"/>
      <c r="ANL65" s="94"/>
      <c r="ANM65" s="94"/>
      <c r="ANN65" s="94"/>
      <c r="ANO65" s="94"/>
      <c r="ANP65" s="94"/>
      <c r="ANQ65" s="94"/>
      <c r="ANR65" s="94"/>
      <c r="ANS65" s="94"/>
      <c r="ANT65" s="94"/>
      <c r="ANU65" s="94"/>
      <c r="ANV65" s="94"/>
      <c r="ANW65" s="94"/>
      <c r="ANX65" s="94"/>
      <c r="ANY65" s="94"/>
      <c r="ANZ65" s="94"/>
      <c r="AOA65" s="94"/>
      <c r="AOB65" s="94"/>
      <c r="AOC65" s="94"/>
      <c r="AOD65" s="94"/>
      <c r="AOE65" s="94"/>
      <c r="AOF65" s="94"/>
      <c r="AOG65" s="94"/>
      <c r="AOH65" s="94"/>
      <c r="AOI65" s="94"/>
      <c r="AOJ65" s="94"/>
      <c r="AOK65" s="94"/>
      <c r="AOL65" s="94"/>
      <c r="AOM65" s="94"/>
      <c r="AON65" s="94"/>
      <c r="AOO65" s="94"/>
      <c r="AOP65" s="94"/>
      <c r="AOQ65" s="94"/>
      <c r="AOR65" s="94"/>
      <c r="AOS65" s="94"/>
      <c r="AOT65" s="94"/>
      <c r="AOU65" s="94"/>
      <c r="AOV65" s="94"/>
      <c r="AOW65" s="94"/>
      <c r="AOX65" s="94"/>
      <c r="AOY65" s="94"/>
      <c r="AOZ65" s="94"/>
      <c r="APA65" s="94"/>
      <c r="APB65" s="94"/>
      <c r="APC65" s="94"/>
      <c r="APD65" s="94"/>
      <c r="APE65" s="94"/>
      <c r="APF65" s="94"/>
      <c r="APG65" s="94"/>
      <c r="APH65" s="94"/>
      <c r="API65" s="94"/>
      <c r="APJ65" s="94"/>
      <c r="APK65" s="94"/>
      <c r="APL65" s="94"/>
      <c r="APM65" s="94"/>
      <c r="APN65" s="94"/>
      <c r="APO65" s="94"/>
      <c r="APP65" s="94"/>
      <c r="APQ65" s="94"/>
      <c r="APR65" s="94"/>
      <c r="APS65" s="94"/>
      <c r="APT65" s="94"/>
      <c r="APU65" s="94"/>
      <c r="APV65" s="94"/>
      <c r="APW65" s="94"/>
      <c r="APX65" s="94"/>
      <c r="APY65" s="94"/>
      <c r="APZ65" s="94"/>
      <c r="AQA65" s="94"/>
      <c r="AQB65" s="94"/>
      <c r="AQC65" s="94"/>
      <c r="AQD65" s="94"/>
      <c r="AQE65" s="94"/>
      <c r="AQF65" s="94"/>
      <c r="AQG65" s="94"/>
      <c r="AQH65" s="94"/>
      <c r="AQI65" s="94"/>
      <c r="AQJ65" s="94"/>
      <c r="AQK65" s="94"/>
      <c r="AQL65" s="94"/>
      <c r="AQM65" s="94"/>
      <c r="AQN65" s="94"/>
      <c r="AQO65" s="94"/>
      <c r="AQP65" s="94"/>
      <c r="AQQ65" s="94"/>
      <c r="AQR65" s="94"/>
      <c r="AQS65" s="94"/>
      <c r="AQT65" s="94"/>
      <c r="AQU65" s="94"/>
      <c r="AQV65" s="94"/>
      <c r="AQW65" s="94"/>
      <c r="AQX65" s="94"/>
      <c r="AQY65" s="94"/>
      <c r="AQZ65" s="94"/>
      <c r="ARA65" s="94"/>
      <c r="ARB65" s="94"/>
      <c r="ARC65" s="94"/>
      <c r="ARD65" s="94"/>
      <c r="ARE65" s="94"/>
      <c r="ARF65" s="94"/>
      <c r="ARG65" s="94"/>
      <c r="ARH65" s="94"/>
      <c r="ARI65" s="94"/>
      <c r="ARJ65" s="94"/>
      <c r="ARK65" s="94"/>
      <c r="ARL65" s="94"/>
      <c r="ARM65" s="94"/>
      <c r="ARN65" s="94"/>
      <c r="ARO65" s="94"/>
      <c r="ARP65" s="94"/>
      <c r="ARQ65" s="94"/>
      <c r="ARR65" s="94"/>
      <c r="ARS65" s="94"/>
      <c r="ART65" s="94"/>
      <c r="ARU65" s="94"/>
      <c r="ARV65" s="94"/>
      <c r="ARW65" s="94"/>
      <c r="ARX65" s="94"/>
      <c r="ARY65" s="94"/>
      <c r="ARZ65" s="94"/>
      <c r="ASA65" s="94"/>
      <c r="ASB65" s="94"/>
      <c r="ASC65" s="94"/>
      <c r="ASD65" s="94"/>
      <c r="ASE65" s="94"/>
      <c r="ASF65" s="94"/>
      <c r="ASG65" s="94"/>
      <c r="ASH65" s="94"/>
      <c r="ASI65" s="94"/>
      <c r="ASJ65" s="94"/>
      <c r="ASK65" s="94"/>
      <c r="ASL65" s="94"/>
      <c r="ASM65" s="94"/>
      <c r="ASN65" s="94"/>
      <c r="ASO65" s="94"/>
      <c r="ASP65" s="94"/>
      <c r="ASQ65" s="94"/>
      <c r="ASR65" s="94"/>
      <c r="ASS65" s="94"/>
      <c r="AST65" s="94"/>
      <c r="ASU65" s="94"/>
      <c r="ASV65" s="94"/>
      <c r="ASW65" s="94"/>
      <c r="ASX65" s="94"/>
      <c r="ASY65" s="94"/>
      <c r="ASZ65" s="94"/>
      <c r="ATA65" s="94"/>
      <c r="ATB65" s="94"/>
      <c r="ATC65" s="94"/>
      <c r="ATD65" s="94"/>
      <c r="ATE65" s="94"/>
      <c r="ATF65" s="94"/>
      <c r="ATG65" s="94"/>
      <c r="ATH65" s="94"/>
      <c r="ATI65" s="94"/>
      <c r="ATJ65" s="94"/>
      <c r="ATK65" s="94"/>
      <c r="ATL65" s="94"/>
      <c r="ATM65" s="94"/>
      <c r="ATN65" s="94"/>
      <c r="ATO65" s="94"/>
      <c r="ATP65" s="94"/>
      <c r="ATQ65" s="94"/>
      <c r="ATR65" s="94"/>
      <c r="ATS65" s="94"/>
      <c r="ATT65" s="94"/>
      <c r="ATU65" s="94"/>
      <c r="ATV65" s="94"/>
      <c r="ATW65" s="94"/>
      <c r="ATX65" s="94"/>
      <c r="ATY65" s="94"/>
      <c r="ATZ65" s="94"/>
      <c r="AUA65" s="94"/>
      <c r="AUB65" s="94"/>
      <c r="AUC65" s="94"/>
      <c r="AUD65" s="94"/>
      <c r="AUE65" s="94"/>
      <c r="AUF65" s="94"/>
      <c r="AUG65" s="94"/>
      <c r="AUH65" s="94"/>
      <c r="AUI65" s="94"/>
      <c r="AUJ65" s="94"/>
      <c r="AUK65" s="94"/>
      <c r="AUL65" s="94"/>
      <c r="AUM65" s="94"/>
      <c r="AUN65" s="94"/>
      <c r="AUO65" s="94"/>
      <c r="AUP65" s="94"/>
      <c r="AUQ65" s="94"/>
      <c r="AUR65" s="94"/>
      <c r="AUS65" s="94"/>
      <c r="AUT65" s="94"/>
      <c r="AUU65" s="94"/>
      <c r="AUV65" s="94"/>
      <c r="AUW65" s="94"/>
      <c r="AUX65" s="94"/>
      <c r="AUY65" s="94"/>
      <c r="AUZ65" s="94"/>
      <c r="AVA65" s="94"/>
      <c r="AVB65" s="94"/>
      <c r="AVC65" s="94"/>
      <c r="AVD65" s="94"/>
      <c r="AVE65" s="94"/>
      <c r="AVF65" s="94"/>
      <c r="AVG65" s="94"/>
      <c r="AVH65" s="94"/>
      <c r="AVI65" s="94"/>
      <c r="AVJ65" s="94"/>
      <c r="AVK65" s="94"/>
      <c r="AVL65" s="94"/>
      <c r="AVM65" s="94"/>
      <c r="AVN65" s="94"/>
      <c r="AVO65" s="94"/>
      <c r="AVP65" s="94"/>
      <c r="AVQ65" s="94"/>
      <c r="AVR65" s="94"/>
      <c r="AVS65" s="94"/>
      <c r="AVT65" s="94"/>
      <c r="AVU65" s="94"/>
      <c r="AVV65" s="94"/>
      <c r="AVW65" s="94"/>
      <c r="AVX65" s="94"/>
      <c r="AVY65" s="94"/>
      <c r="AVZ65" s="94"/>
      <c r="AWA65" s="94"/>
      <c r="AWB65" s="94"/>
      <c r="AWC65" s="94"/>
      <c r="AWD65" s="94"/>
      <c r="AWE65" s="94"/>
      <c r="AWF65" s="94"/>
      <c r="AWG65" s="94"/>
      <c r="AWH65" s="94"/>
      <c r="AWI65" s="94"/>
      <c r="AWJ65" s="94"/>
      <c r="AWK65" s="94"/>
      <c r="AWL65" s="94"/>
      <c r="AWM65" s="94"/>
      <c r="AWN65" s="94"/>
      <c r="AWO65" s="94"/>
      <c r="AWP65" s="94"/>
      <c r="AWQ65" s="94"/>
      <c r="AWR65" s="94"/>
      <c r="AWS65" s="94"/>
      <c r="AWT65" s="94"/>
      <c r="AWU65" s="94"/>
      <c r="AWV65" s="94"/>
      <c r="AWW65" s="94"/>
      <c r="AWX65" s="94"/>
      <c r="AWY65" s="94"/>
      <c r="AWZ65" s="94"/>
      <c r="AXA65" s="94"/>
      <c r="AXB65" s="94"/>
      <c r="AXC65" s="94"/>
      <c r="AXD65" s="94"/>
      <c r="AXE65" s="94"/>
      <c r="AXF65" s="94"/>
      <c r="AXG65" s="94"/>
      <c r="AXH65" s="94"/>
      <c r="AXI65" s="94"/>
      <c r="AXJ65" s="94"/>
      <c r="AXK65" s="94"/>
      <c r="AXL65" s="94"/>
      <c r="AXM65" s="94"/>
      <c r="AXN65" s="94"/>
      <c r="AXO65" s="94"/>
      <c r="AXP65" s="94"/>
      <c r="AXQ65" s="94"/>
      <c r="AXR65" s="94"/>
      <c r="AXS65" s="94"/>
      <c r="AXT65" s="94"/>
      <c r="AXU65" s="94"/>
      <c r="AXV65" s="94"/>
      <c r="AXW65" s="94"/>
      <c r="AXX65" s="94"/>
      <c r="AXY65" s="94"/>
      <c r="AXZ65" s="94"/>
      <c r="AYA65" s="94"/>
      <c r="AYB65" s="94"/>
      <c r="AYC65" s="94"/>
      <c r="AYD65" s="94"/>
      <c r="AYE65" s="94"/>
      <c r="AYF65" s="94"/>
      <c r="AYG65" s="94"/>
      <c r="AYH65" s="94"/>
      <c r="AYI65" s="94"/>
      <c r="AYJ65" s="94"/>
      <c r="AYK65" s="94"/>
      <c r="AYL65" s="94"/>
      <c r="AYM65" s="94"/>
      <c r="AYN65" s="94"/>
      <c r="AYO65" s="94"/>
      <c r="AYP65" s="94"/>
      <c r="AYQ65" s="94"/>
      <c r="AYR65" s="94"/>
      <c r="AYS65" s="94"/>
      <c r="AYT65" s="94"/>
      <c r="AYU65" s="94"/>
      <c r="AYV65" s="94"/>
      <c r="AYW65" s="94"/>
      <c r="AYX65" s="94"/>
      <c r="AYY65" s="94"/>
      <c r="AYZ65" s="94"/>
      <c r="AZA65" s="94"/>
      <c r="AZB65" s="94"/>
      <c r="AZC65" s="94"/>
      <c r="AZD65" s="94"/>
      <c r="AZE65" s="94"/>
      <c r="AZF65" s="94"/>
      <c r="AZG65" s="94"/>
      <c r="AZH65" s="94"/>
      <c r="AZI65" s="94"/>
      <c r="AZJ65" s="94"/>
      <c r="AZK65" s="94"/>
      <c r="AZL65" s="94"/>
      <c r="AZM65" s="94"/>
      <c r="AZN65" s="94"/>
      <c r="AZO65" s="94"/>
      <c r="AZP65" s="94"/>
      <c r="AZQ65" s="94"/>
      <c r="AZR65" s="94"/>
      <c r="AZS65" s="94"/>
      <c r="AZT65" s="94"/>
      <c r="AZU65" s="94"/>
      <c r="AZV65" s="94"/>
      <c r="AZW65" s="94"/>
      <c r="AZX65" s="94"/>
      <c r="AZY65" s="94"/>
      <c r="AZZ65" s="94"/>
      <c r="BAA65" s="94"/>
      <c r="BAB65" s="94"/>
      <c r="BAC65" s="94"/>
      <c r="BAD65" s="94"/>
      <c r="BAE65" s="94"/>
      <c r="BAF65" s="94"/>
      <c r="BAG65" s="94"/>
      <c r="BAH65" s="94"/>
      <c r="BAI65" s="94"/>
      <c r="BAJ65" s="94"/>
      <c r="BAK65" s="94"/>
      <c r="BAL65" s="94"/>
      <c r="BAM65" s="94"/>
      <c r="BAN65" s="94"/>
      <c r="BAO65" s="94"/>
      <c r="BAP65" s="94"/>
      <c r="BAQ65" s="94"/>
      <c r="BAR65" s="94"/>
      <c r="BAS65" s="94"/>
      <c r="BAT65" s="94"/>
      <c r="BAU65" s="94"/>
      <c r="BAV65" s="94"/>
      <c r="BAW65" s="94"/>
      <c r="BAX65" s="94"/>
      <c r="BAY65" s="94"/>
      <c r="BAZ65" s="94"/>
      <c r="BBA65" s="94"/>
      <c r="BBB65" s="94"/>
      <c r="BBC65" s="94"/>
      <c r="BBD65" s="94"/>
      <c r="BBE65" s="94"/>
      <c r="BBF65" s="94"/>
      <c r="BBG65" s="94"/>
      <c r="BBH65" s="94"/>
      <c r="BBI65" s="94"/>
      <c r="BBJ65" s="94"/>
      <c r="BBK65" s="94"/>
      <c r="BBL65" s="94"/>
      <c r="BBM65" s="94"/>
      <c r="BBN65" s="94"/>
      <c r="BBO65" s="94"/>
      <c r="BBP65" s="94"/>
      <c r="BBQ65" s="94"/>
      <c r="BBR65" s="94"/>
      <c r="BBS65" s="94"/>
      <c r="BBT65" s="94"/>
      <c r="BBU65" s="94"/>
      <c r="BBV65" s="94"/>
      <c r="BBW65" s="94"/>
      <c r="BBX65" s="94"/>
      <c r="BBY65" s="94"/>
      <c r="BBZ65" s="94"/>
      <c r="BCA65" s="94"/>
      <c r="BCB65" s="94"/>
      <c r="BCC65" s="94"/>
      <c r="BCD65" s="94"/>
      <c r="BCE65" s="94"/>
      <c r="BCF65" s="94"/>
      <c r="BCG65" s="94"/>
      <c r="BCH65" s="94"/>
      <c r="BCI65" s="94"/>
      <c r="BCJ65" s="94"/>
      <c r="BCK65" s="94"/>
      <c r="BCL65" s="94"/>
      <c r="BCM65" s="94"/>
      <c r="BCN65" s="94"/>
      <c r="BCO65" s="94"/>
      <c r="BCP65" s="94"/>
      <c r="BCQ65" s="94"/>
      <c r="BCR65" s="94"/>
      <c r="BCS65" s="94"/>
      <c r="BCT65" s="94"/>
      <c r="BCU65" s="94"/>
      <c r="BCV65" s="94"/>
      <c r="BCW65" s="94"/>
      <c r="BCX65" s="94"/>
      <c r="BCY65" s="94"/>
      <c r="BCZ65" s="94"/>
      <c r="BDA65" s="94"/>
      <c r="BDB65" s="94"/>
      <c r="BDC65" s="94"/>
      <c r="BDD65" s="94"/>
      <c r="BDE65" s="94"/>
      <c r="BDF65" s="94"/>
      <c r="BDG65" s="94"/>
      <c r="BDH65" s="94"/>
      <c r="BDI65" s="94"/>
      <c r="BDJ65" s="94"/>
      <c r="BDK65" s="94"/>
      <c r="BDL65" s="94"/>
      <c r="BDM65" s="94"/>
      <c r="BDN65" s="94"/>
      <c r="BDO65" s="94"/>
      <c r="BDP65" s="94"/>
      <c r="BDQ65" s="94"/>
      <c r="BDR65" s="94"/>
      <c r="BDS65" s="94"/>
      <c r="BDT65" s="94"/>
      <c r="BDU65" s="94"/>
      <c r="BDV65" s="94"/>
      <c r="BDW65" s="94"/>
      <c r="BDX65" s="94"/>
      <c r="BDY65" s="94"/>
      <c r="BDZ65" s="94"/>
      <c r="BEA65" s="94"/>
      <c r="BEB65" s="94"/>
      <c r="BEC65" s="94"/>
      <c r="BED65" s="94"/>
      <c r="BEE65" s="94"/>
      <c r="BEF65" s="94"/>
      <c r="BEG65" s="94"/>
      <c r="BEH65" s="94"/>
      <c r="BEI65" s="94"/>
      <c r="BEJ65" s="94"/>
      <c r="BEK65" s="94"/>
      <c r="BEL65" s="94"/>
      <c r="BEM65" s="94"/>
      <c r="BEN65" s="94"/>
      <c r="BEO65" s="94"/>
      <c r="BEP65" s="94"/>
      <c r="BEQ65" s="94"/>
      <c r="BER65" s="94"/>
      <c r="BES65" s="94"/>
      <c r="BET65" s="94"/>
      <c r="BEU65" s="94"/>
      <c r="BEV65" s="94"/>
      <c r="BEW65" s="94"/>
      <c r="BEX65" s="94"/>
      <c r="BEY65" s="94"/>
      <c r="BEZ65" s="94"/>
      <c r="BFA65" s="94"/>
      <c r="BFB65" s="94"/>
      <c r="BFC65" s="94"/>
      <c r="BFD65" s="94"/>
      <c r="BFE65" s="94"/>
      <c r="BFF65" s="94"/>
      <c r="BFG65" s="94"/>
      <c r="BFH65" s="94"/>
      <c r="BFI65" s="94"/>
      <c r="BFJ65" s="94"/>
      <c r="BFK65" s="94"/>
      <c r="BFL65" s="94"/>
      <c r="BFM65" s="94"/>
      <c r="BFN65" s="94"/>
      <c r="BFO65" s="94"/>
      <c r="BFP65" s="94"/>
      <c r="BFQ65" s="94"/>
      <c r="BFR65" s="94"/>
      <c r="BFS65" s="94"/>
      <c r="BFT65" s="94"/>
      <c r="BFU65" s="94"/>
      <c r="BFV65" s="94"/>
      <c r="BFW65" s="94"/>
      <c r="BFX65" s="94"/>
      <c r="BFY65" s="94"/>
      <c r="BFZ65" s="94"/>
      <c r="BGA65" s="94"/>
      <c r="BGB65" s="94"/>
      <c r="BGC65" s="94"/>
      <c r="BGD65" s="94"/>
      <c r="BGE65" s="94"/>
      <c r="BGF65" s="94"/>
      <c r="BGG65" s="94"/>
      <c r="BGH65" s="94"/>
      <c r="BGI65" s="94"/>
      <c r="BGJ65" s="94"/>
      <c r="BGK65" s="94"/>
      <c r="BGL65" s="94"/>
      <c r="BGM65" s="94"/>
      <c r="BGN65" s="94"/>
      <c r="BGO65" s="94"/>
      <c r="BGP65" s="94"/>
      <c r="BGQ65" s="94"/>
      <c r="BGR65" s="94"/>
      <c r="BGS65" s="94"/>
      <c r="BGT65" s="94"/>
      <c r="BGU65" s="94"/>
      <c r="BGV65" s="94"/>
      <c r="BGW65" s="94"/>
      <c r="BGX65" s="94"/>
      <c r="BGY65" s="94"/>
      <c r="BGZ65" s="94"/>
      <c r="BHA65" s="94"/>
      <c r="BHB65" s="94"/>
      <c r="BHC65" s="94"/>
      <c r="BHD65" s="94"/>
      <c r="BHE65" s="94"/>
      <c r="BHF65" s="94"/>
      <c r="BHG65" s="94"/>
      <c r="BHH65" s="94"/>
      <c r="BHI65" s="94"/>
      <c r="BHJ65" s="94"/>
      <c r="BHK65" s="94"/>
      <c r="BHL65" s="94"/>
      <c r="BHM65" s="94"/>
      <c r="BHN65" s="94"/>
      <c r="BHO65" s="94"/>
      <c r="BHP65" s="94"/>
      <c r="BHQ65" s="94"/>
      <c r="BHR65" s="94"/>
      <c r="BHS65" s="94"/>
      <c r="BHT65" s="94"/>
      <c r="BHU65" s="94"/>
      <c r="BHV65" s="94"/>
      <c r="BHW65" s="94"/>
      <c r="BHX65" s="94"/>
      <c r="BHY65" s="94"/>
      <c r="BHZ65" s="94"/>
      <c r="BIA65" s="94"/>
      <c r="BIB65" s="94"/>
      <c r="BIC65" s="94"/>
      <c r="BID65" s="94"/>
      <c r="BIE65" s="94"/>
      <c r="BIF65" s="94"/>
      <c r="BIG65" s="94"/>
      <c r="BIH65" s="94"/>
      <c r="BII65" s="94"/>
      <c r="BIJ65" s="94"/>
      <c r="BIK65" s="94"/>
      <c r="BIL65" s="94"/>
      <c r="BIM65" s="94"/>
      <c r="BIN65" s="94"/>
      <c r="BIO65" s="94"/>
      <c r="BIP65" s="94"/>
      <c r="BIQ65" s="94"/>
      <c r="BIR65" s="94"/>
      <c r="BIS65" s="94"/>
      <c r="BIT65" s="94"/>
      <c r="BIU65" s="94"/>
      <c r="BIV65" s="94"/>
      <c r="BIW65" s="94"/>
      <c r="BIX65" s="94"/>
      <c r="BIY65" s="94"/>
      <c r="BIZ65" s="94"/>
      <c r="BJA65" s="94"/>
      <c r="BJB65" s="94"/>
      <c r="BJC65" s="94"/>
      <c r="BJD65" s="94"/>
      <c r="BJE65" s="94"/>
      <c r="BJF65" s="94"/>
      <c r="BJG65" s="94"/>
      <c r="BJH65" s="94"/>
      <c r="BJI65" s="94"/>
      <c r="BJJ65" s="94"/>
      <c r="BJK65" s="94"/>
      <c r="BJL65" s="94"/>
      <c r="BJM65" s="94"/>
      <c r="BJN65" s="94"/>
      <c r="BJO65" s="94"/>
      <c r="BJP65" s="94"/>
      <c r="BJQ65" s="94"/>
      <c r="BJR65" s="94"/>
      <c r="BJS65" s="94"/>
      <c r="BJT65" s="94"/>
      <c r="BJU65" s="94"/>
      <c r="BJV65" s="94"/>
      <c r="BJW65" s="94"/>
      <c r="BJX65" s="94"/>
      <c r="BJY65" s="94"/>
      <c r="BJZ65" s="94"/>
      <c r="BKA65" s="94"/>
      <c r="BKB65" s="94"/>
      <c r="BKC65" s="94"/>
      <c r="BKD65" s="94"/>
      <c r="BKE65" s="94"/>
      <c r="BKF65" s="94"/>
      <c r="BKG65" s="94"/>
      <c r="BKH65" s="94"/>
      <c r="BKI65" s="94"/>
      <c r="BKJ65" s="94"/>
      <c r="BKK65" s="94"/>
      <c r="BKL65" s="94"/>
      <c r="BKM65" s="94"/>
      <c r="BKN65" s="94"/>
      <c r="BKO65" s="94"/>
      <c r="BKP65" s="94"/>
      <c r="BKQ65" s="94"/>
      <c r="BKR65" s="94"/>
      <c r="BKS65" s="94"/>
      <c r="BKT65" s="94"/>
      <c r="BKU65" s="94"/>
      <c r="BKV65" s="94"/>
      <c r="BKW65" s="94"/>
      <c r="BKX65" s="94"/>
      <c r="BKY65" s="94"/>
      <c r="BKZ65" s="94"/>
      <c r="BLA65" s="94"/>
      <c r="BLB65" s="94"/>
      <c r="BLC65" s="94"/>
      <c r="BLD65" s="94"/>
      <c r="BLE65" s="94"/>
      <c r="BLF65" s="94"/>
      <c r="BLG65" s="94"/>
      <c r="BLH65" s="94"/>
      <c r="BLI65" s="94"/>
      <c r="BLJ65" s="94"/>
      <c r="BLK65" s="94"/>
      <c r="BLL65" s="94"/>
      <c r="BLM65" s="94"/>
      <c r="BLN65" s="94"/>
      <c r="BLO65" s="94"/>
      <c r="BLP65" s="94"/>
      <c r="BLQ65" s="94"/>
      <c r="BLR65" s="94"/>
      <c r="BLS65" s="94"/>
      <c r="BLT65" s="94"/>
      <c r="BLU65" s="94"/>
      <c r="BLV65" s="94"/>
      <c r="BLW65" s="94"/>
      <c r="BLX65" s="94"/>
      <c r="BLY65" s="94"/>
      <c r="BLZ65" s="94"/>
      <c r="BMA65" s="94"/>
      <c r="BMB65" s="94"/>
      <c r="BMC65" s="94"/>
      <c r="BMD65" s="94"/>
      <c r="BME65" s="94"/>
      <c r="BMF65" s="94"/>
      <c r="BMG65" s="94"/>
      <c r="BMH65" s="94"/>
      <c r="BMI65" s="94"/>
      <c r="BMJ65" s="94"/>
      <c r="BMK65" s="94"/>
      <c r="BML65" s="94"/>
      <c r="BMM65" s="94"/>
      <c r="BMN65" s="94"/>
      <c r="BMO65" s="94"/>
      <c r="BMP65" s="94"/>
      <c r="BMQ65" s="94"/>
      <c r="BMR65" s="94"/>
      <c r="BMS65" s="94"/>
      <c r="BMT65" s="94"/>
      <c r="BMU65" s="94"/>
      <c r="BMV65" s="94"/>
      <c r="BMW65" s="94"/>
      <c r="BMX65" s="94"/>
      <c r="BMY65" s="94"/>
      <c r="BMZ65" s="94"/>
      <c r="BNA65" s="94"/>
      <c r="BNB65" s="94"/>
      <c r="BNC65" s="94"/>
      <c r="BND65" s="94"/>
      <c r="BNE65" s="94"/>
      <c r="BNF65" s="94"/>
      <c r="BNG65" s="94"/>
      <c r="BNH65" s="94"/>
      <c r="BNI65" s="94"/>
      <c r="BNJ65" s="94"/>
      <c r="BNK65" s="94"/>
      <c r="BNL65" s="94"/>
      <c r="BNM65" s="94"/>
      <c r="BNN65" s="94"/>
      <c r="BNO65" s="94"/>
      <c r="BNP65" s="94"/>
      <c r="BNQ65" s="94"/>
      <c r="BNR65" s="94"/>
      <c r="BNS65" s="94"/>
      <c r="BNT65" s="94"/>
      <c r="BNU65" s="94"/>
      <c r="BNV65" s="94"/>
      <c r="BNW65" s="94"/>
      <c r="BNX65" s="94"/>
      <c r="BNY65" s="94"/>
      <c r="BNZ65" s="94"/>
      <c r="BOA65" s="94"/>
      <c r="BOB65" s="94"/>
      <c r="BOC65" s="94"/>
      <c r="BOD65" s="94"/>
      <c r="BOE65" s="94"/>
      <c r="BOF65" s="94"/>
      <c r="BOG65" s="94"/>
      <c r="BOH65" s="94"/>
      <c r="BOI65" s="94"/>
      <c r="BOJ65" s="94"/>
      <c r="BOK65" s="94"/>
      <c r="BOL65" s="94"/>
      <c r="BOM65" s="94"/>
      <c r="BON65" s="94"/>
      <c r="BOO65" s="94"/>
      <c r="BOP65" s="94"/>
      <c r="BOQ65" s="94"/>
      <c r="BOR65" s="94"/>
      <c r="BOS65" s="94"/>
      <c r="BOT65" s="94"/>
      <c r="BOU65" s="94"/>
      <c r="BOV65" s="94"/>
      <c r="BOW65" s="94"/>
      <c r="BOX65" s="94"/>
      <c r="BOY65" s="94"/>
      <c r="BOZ65" s="94"/>
      <c r="BPA65" s="94"/>
      <c r="BPB65" s="94"/>
      <c r="BPC65" s="94"/>
      <c r="BPD65" s="94"/>
      <c r="BPE65" s="94"/>
      <c r="BPF65" s="94"/>
      <c r="BPG65" s="94"/>
      <c r="BPH65" s="94"/>
      <c r="BPI65" s="94"/>
      <c r="BPJ65" s="94"/>
      <c r="BPK65" s="94"/>
      <c r="BPL65" s="94"/>
      <c r="BPM65" s="94"/>
      <c r="BPN65" s="94"/>
      <c r="BPO65" s="94"/>
      <c r="BPP65" s="94"/>
      <c r="BPQ65" s="94"/>
      <c r="BPR65" s="94"/>
      <c r="BPS65" s="94"/>
      <c r="BPT65" s="94"/>
      <c r="BPU65" s="94"/>
      <c r="BPV65" s="94"/>
      <c r="BPW65" s="94"/>
      <c r="BPX65" s="94"/>
      <c r="BPY65" s="94"/>
      <c r="BPZ65" s="94"/>
      <c r="BQA65" s="94"/>
      <c r="BQB65" s="94"/>
      <c r="BQC65" s="94"/>
      <c r="BQD65" s="94"/>
      <c r="BQE65" s="94"/>
      <c r="BQF65" s="94"/>
      <c r="BQG65" s="94"/>
      <c r="BQH65" s="94"/>
      <c r="BQI65" s="94"/>
      <c r="BQJ65" s="94"/>
      <c r="BQK65" s="94"/>
      <c r="BQL65" s="94"/>
      <c r="BQM65" s="94"/>
      <c r="BQN65" s="94"/>
      <c r="BQO65" s="94"/>
      <c r="BQP65" s="94"/>
      <c r="BQQ65" s="94"/>
      <c r="BQR65" s="94"/>
      <c r="BQS65" s="94"/>
      <c r="BQT65" s="94"/>
      <c r="BQU65" s="94"/>
      <c r="BQV65" s="94"/>
      <c r="BQW65" s="94"/>
      <c r="BQX65" s="94"/>
      <c r="BQY65" s="94"/>
      <c r="BQZ65" s="94"/>
      <c r="BRA65" s="94"/>
      <c r="BRB65" s="94"/>
      <c r="BRC65" s="94"/>
      <c r="BRD65" s="94"/>
      <c r="BRE65" s="94"/>
      <c r="BRF65" s="94"/>
      <c r="BRG65" s="94"/>
      <c r="BRH65" s="94"/>
      <c r="BRI65" s="94"/>
      <c r="BRJ65" s="94"/>
      <c r="BRK65" s="94"/>
      <c r="BRL65" s="94"/>
      <c r="BRM65" s="94"/>
      <c r="BRN65" s="94"/>
      <c r="BRO65" s="94"/>
      <c r="BRP65" s="94"/>
      <c r="BRQ65" s="94"/>
      <c r="BRR65" s="94"/>
      <c r="BRS65" s="94"/>
      <c r="BRT65" s="94"/>
      <c r="BRU65" s="94"/>
      <c r="BRV65" s="94"/>
      <c r="BRW65" s="94"/>
      <c r="BRX65" s="94"/>
      <c r="BRY65" s="94"/>
      <c r="BRZ65" s="94"/>
      <c r="BSA65" s="94"/>
      <c r="BSB65" s="94"/>
      <c r="BSC65" s="94"/>
      <c r="BSD65" s="94"/>
      <c r="BSE65" s="94"/>
      <c r="BSF65" s="94"/>
      <c r="BSG65" s="94"/>
      <c r="BSH65" s="94"/>
      <c r="BSI65" s="94"/>
      <c r="BSJ65" s="94"/>
      <c r="BSK65" s="94"/>
      <c r="BSL65" s="94"/>
      <c r="BSM65" s="94"/>
      <c r="BSN65" s="94"/>
      <c r="BSO65" s="94"/>
      <c r="BSP65" s="94"/>
      <c r="BSQ65" s="94"/>
      <c r="BSR65" s="94"/>
      <c r="BSS65" s="94"/>
      <c r="BST65" s="94"/>
      <c r="BSU65" s="94"/>
      <c r="BSV65" s="94"/>
      <c r="BSW65" s="94"/>
      <c r="BSX65" s="94"/>
      <c r="BSY65" s="94"/>
      <c r="BSZ65" s="94"/>
      <c r="BTA65" s="94"/>
      <c r="BTB65" s="94"/>
      <c r="BTC65" s="94"/>
      <c r="BTD65" s="94"/>
      <c r="BTE65" s="94"/>
      <c r="BTF65" s="94"/>
      <c r="BTG65" s="94"/>
      <c r="BTH65" s="94"/>
      <c r="BTI65" s="94"/>
      <c r="BTJ65" s="94"/>
      <c r="BTK65" s="94"/>
      <c r="BTL65" s="94"/>
      <c r="BTM65" s="94"/>
      <c r="BTN65" s="94"/>
      <c r="BTO65" s="94"/>
      <c r="BTP65" s="94"/>
      <c r="BTQ65" s="94"/>
      <c r="BTR65" s="94"/>
      <c r="BTS65" s="94"/>
      <c r="BTT65" s="94"/>
      <c r="BTU65" s="94"/>
      <c r="BTV65" s="94"/>
      <c r="BTW65" s="94"/>
      <c r="BTX65" s="94"/>
      <c r="BTY65" s="94"/>
      <c r="BTZ65" s="94"/>
      <c r="BUA65" s="94"/>
      <c r="BUB65" s="94"/>
      <c r="BUC65" s="94"/>
      <c r="BUD65" s="94"/>
      <c r="BUE65" s="94"/>
      <c r="BUF65" s="94"/>
      <c r="BUG65" s="94"/>
      <c r="BUH65" s="94"/>
      <c r="BUI65" s="94"/>
      <c r="BUJ65" s="94"/>
      <c r="BUK65" s="94"/>
      <c r="BUL65" s="94"/>
      <c r="BUM65" s="94"/>
      <c r="BUN65" s="94"/>
      <c r="BUO65" s="94"/>
      <c r="BUP65" s="94"/>
      <c r="BUQ65" s="94"/>
      <c r="BUR65" s="94"/>
      <c r="BUS65" s="94"/>
      <c r="BUT65" s="94"/>
      <c r="BUU65" s="94"/>
      <c r="BUV65" s="94"/>
      <c r="BUW65" s="94"/>
      <c r="BUX65" s="94"/>
      <c r="BUY65" s="94"/>
      <c r="BUZ65" s="94"/>
      <c r="BVA65" s="94"/>
      <c r="BVB65" s="94"/>
      <c r="BVC65" s="94"/>
      <c r="BVD65" s="94"/>
      <c r="BVE65" s="94"/>
      <c r="BVF65" s="94"/>
      <c r="BVG65" s="94"/>
      <c r="BVH65" s="94"/>
      <c r="BVI65" s="94"/>
      <c r="BVJ65" s="94"/>
      <c r="BVK65" s="94"/>
      <c r="BVL65" s="94"/>
      <c r="BVM65" s="94"/>
      <c r="BVN65" s="94"/>
      <c r="BVO65" s="94"/>
      <c r="BVP65" s="94"/>
      <c r="BVQ65" s="94"/>
      <c r="BVR65" s="94"/>
      <c r="BVS65" s="94"/>
      <c r="BVT65" s="94"/>
      <c r="BVU65" s="94"/>
      <c r="BVV65" s="94"/>
      <c r="BVW65" s="94"/>
      <c r="BVX65" s="94"/>
      <c r="BVY65" s="94"/>
      <c r="BVZ65" s="94"/>
      <c r="BWA65" s="94"/>
      <c r="BWB65" s="94"/>
      <c r="BWC65" s="94"/>
      <c r="BWD65" s="94"/>
      <c r="BWE65" s="94"/>
      <c r="BWF65" s="94"/>
      <c r="BWG65" s="94"/>
      <c r="BWH65" s="94"/>
      <c r="BWI65" s="94"/>
      <c r="BWJ65" s="94"/>
      <c r="BWK65" s="94"/>
      <c r="BWL65" s="94"/>
      <c r="BWM65" s="94"/>
      <c r="BWN65" s="94"/>
      <c r="BWO65" s="94"/>
      <c r="BWP65" s="94"/>
      <c r="BWQ65" s="94"/>
      <c r="BWR65" s="94"/>
      <c r="BWS65" s="94"/>
      <c r="BWT65" s="94"/>
      <c r="BWU65" s="94"/>
      <c r="BWV65" s="94"/>
      <c r="BWW65" s="94"/>
      <c r="BWX65" s="94"/>
      <c r="BWY65" s="94"/>
      <c r="BWZ65" s="94"/>
      <c r="BXA65" s="94"/>
      <c r="BXB65" s="94"/>
      <c r="BXC65" s="94"/>
      <c r="BXD65" s="94"/>
      <c r="BXE65" s="94"/>
      <c r="BXF65" s="94"/>
      <c r="BXG65" s="94"/>
      <c r="BXH65" s="94"/>
      <c r="BXI65" s="94"/>
      <c r="BXJ65" s="94"/>
      <c r="BXK65" s="94"/>
      <c r="BXL65" s="94"/>
      <c r="BXM65" s="94"/>
      <c r="BXN65" s="94"/>
      <c r="BXO65" s="94"/>
      <c r="BXP65" s="94"/>
      <c r="BXQ65" s="94"/>
      <c r="BXR65" s="94"/>
      <c r="BXS65" s="94"/>
      <c r="BXT65" s="94"/>
      <c r="BXU65" s="94"/>
      <c r="BXV65" s="94"/>
      <c r="BXW65" s="94"/>
      <c r="BXX65" s="94"/>
      <c r="BXY65" s="94"/>
      <c r="BXZ65" s="94"/>
      <c r="BYA65" s="94"/>
      <c r="BYB65" s="94"/>
      <c r="BYC65" s="94"/>
      <c r="BYD65" s="94"/>
      <c r="BYE65" s="94"/>
      <c r="BYF65" s="94"/>
      <c r="BYG65" s="94"/>
      <c r="BYH65" s="94"/>
      <c r="BYI65" s="94"/>
      <c r="BYJ65" s="94"/>
      <c r="BYK65" s="94"/>
      <c r="BYL65" s="94"/>
      <c r="BYM65" s="94"/>
      <c r="BYN65" s="94"/>
      <c r="BYO65" s="94"/>
      <c r="BYP65" s="94"/>
      <c r="BYQ65" s="94"/>
      <c r="BYR65" s="94"/>
      <c r="BYS65" s="94"/>
      <c r="BYT65" s="94"/>
      <c r="BYU65" s="94"/>
      <c r="BYV65" s="94"/>
      <c r="BYW65" s="94"/>
      <c r="BYX65" s="94"/>
      <c r="BYY65" s="94"/>
      <c r="BYZ65" s="94"/>
      <c r="BZA65" s="94"/>
      <c r="BZB65" s="94"/>
      <c r="BZC65" s="94"/>
      <c r="BZD65" s="94"/>
      <c r="BZE65" s="94"/>
      <c r="BZF65" s="94"/>
      <c r="BZG65" s="94"/>
      <c r="BZH65" s="94"/>
      <c r="BZI65" s="94"/>
      <c r="BZJ65" s="94"/>
      <c r="BZK65" s="94"/>
      <c r="BZL65" s="94"/>
      <c r="BZM65" s="94"/>
      <c r="BZN65" s="94"/>
      <c r="BZO65" s="94"/>
      <c r="BZP65" s="94"/>
      <c r="BZQ65" s="94"/>
      <c r="BZR65" s="94"/>
      <c r="BZS65" s="94"/>
      <c r="BZT65" s="94"/>
      <c r="BZU65" s="94"/>
      <c r="BZV65" s="94"/>
      <c r="BZW65" s="94"/>
      <c r="BZX65" s="94"/>
      <c r="BZY65" s="94"/>
      <c r="BZZ65" s="94"/>
      <c r="CAA65" s="94"/>
      <c r="CAB65" s="94"/>
      <c r="CAC65" s="94"/>
      <c r="CAD65" s="94"/>
      <c r="CAE65" s="94"/>
      <c r="CAF65" s="94"/>
      <c r="CAG65" s="94"/>
      <c r="CAH65" s="94"/>
      <c r="CAI65" s="94"/>
      <c r="CAJ65" s="94"/>
      <c r="CAK65" s="94"/>
      <c r="CAL65" s="94"/>
      <c r="CAM65" s="94"/>
      <c r="CAN65" s="94"/>
      <c r="CAO65" s="94"/>
      <c r="CAP65" s="94"/>
      <c r="CAQ65" s="94"/>
      <c r="CAR65" s="94"/>
      <c r="CAS65" s="94"/>
      <c r="CAT65" s="94"/>
      <c r="CAU65" s="94"/>
      <c r="CAV65" s="94"/>
      <c r="CAW65" s="94"/>
      <c r="CAX65" s="94"/>
      <c r="CAY65" s="94"/>
      <c r="CAZ65" s="94"/>
      <c r="CBA65" s="94"/>
      <c r="CBB65" s="94"/>
      <c r="CBC65" s="94"/>
      <c r="CBD65" s="94"/>
      <c r="CBE65" s="94"/>
      <c r="CBF65" s="94"/>
      <c r="CBG65" s="94"/>
      <c r="CBH65" s="94"/>
      <c r="CBI65" s="94"/>
      <c r="CBJ65" s="94"/>
      <c r="CBK65" s="94"/>
      <c r="CBL65" s="94"/>
      <c r="CBM65" s="94"/>
      <c r="CBN65" s="94"/>
      <c r="CBO65" s="94"/>
      <c r="CBP65" s="94"/>
      <c r="CBQ65" s="94"/>
      <c r="CBR65" s="94"/>
      <c r="CBS65" s="94"/>
      <c r="CBT65" s="94"/>
      <c r="CBU65" s="94"/>
      <c r="CBV65" s="94"/>
      <c r="CBW65" s="94"/>
      <c r="CBX65" s="94"/>
      <c r="CBY65" s="94"/>
      <c r="CBZ65" s="94"/>
      <c r="CCA65" s="94"/>
      <c r="CCB65" s="94"/>
      <c r="CCC65" s="94"/>
      <c r="CCD65" s="94"/>
      <c r="CCE65" s="94"/>
      <c r="CCF65" s="94"/>
      <c r="CCG65" s="94"/>
      <c r="CCH65" s="94"/>
      <c r="CCI65" s="94"/>
      <c r="CCJ65" s="94"/>
      <c r="CCK65" s="94"/>
      <c r="CCL65" s="94"/>
      <c r="CCM65" s="94"/>
      <c r="CCN65" s="94"/>
      <c r="CCO65" s="94"/>
      <c r="CCP65" s="94"/>
      <c r="CCQ65" s="94"/>
      <c r="CCR65" s="94"/>
      <c r="CCS65" s="94"/>
      <c r="CCT65" s="94"/>
      <c r="CCU65" s="94"/>
      <c r="CCV65" s="94"/>
      <c r="CCW65" s="94"/>
      <c r="CCX65" s="94"/>
      <c r="CCY65" s="94"/>
      <c r="CCZ65" s="94"/>
      <c r="CDA65" s="94"/>
      <c r="CDB65" s="94"/>
      <c r="CDC65" s="94"/>
      <c r="CDD65" s="94"/>
      <c r="CDE65" s="94"/>
      <c r="CDF65" s="94"/>
      <c r="CDG65" s="94"/>
      <c r="CDH65" s="94"/>
      <c r="CDI65" s="94"/>
      <c r="CDJ65" s="94"/>
      <c r="CDK65" s="94"/>
      <c r="CDL65" s="94"/>
      <c r="CDM65" s="94"/>
      <c r="CDN65" s="94"/>
      <c r="CDO65" s="94"/>
      <c r="CDP65" s="94"/>
      <c r="CDQ65" s="94"/>
      <c r="CDR65" s="94"/>
      <c r="CDS65" s="94"/>
      <c r="CDT65" s="94"/>
      <c r="CDU65" s="94"/>
      <c r="CDV65" s="94"/>
      <c r="CDW65" s="94"/>
      <c r="CDX65" s="94"/>
      <c r="CDY65" s="94"/>
      <c r="CDZ65" s="94"/>
      <c r="CEA65" s="94"/>
      <c r="CEB65" s="94"/>
      <c r="CEC65" s="94"/>
      <c r="CED65" s="94"/>
      <c r="CEE65" s="94"/>
      <c r="CEF65" s="94"/>
      <c r="CEG65" s="94"/>
      <c r="CEH65" s="94"/>
      <c r="CEI65" s="94"/>
      <c r="CEJ65" s="94"/>
      <c r="CEK65" s="94"/>
      <c r="CEL65" s="94"/>
      <c r="CEM65" s="94"/>
      <c r="CEN65" s="94"/>
      <c r="CEO65" s="94"/>
      <c r="CEP65" s="94"/>
      <c r="CEQ65" s="94"/>
      <c r="CER65" s="94"/>
      <c r="CES65" s="94"/>
      <c r="CET65" s="94"/>
      <c r="CEU65" s="94"/>
      <c r="CEV65" s="94"/>
      <c r="CEW65" s="94"/>
      <c r="CEX65" s="94"/>
      <c r="CEY65" s="94"/>
      <c r="CEZ65" s="94"/>
      <c r="CFA65" s="94"/>
      <c r="CFB65" s="94"/>
      <c r="CFC65" s="94"/>
      <c r="CFD65" s="94"/>
      <c r="CFE65" s="94"/>
      <c r="CFF65" s="94"/>
      <c r="CFG65" s="94"/>
      <c r="CFH65" s="94"/>
      <c r="CFI65" s="94"/>
      <c r="CFJ65" s="94"/>
      <c r="CFK65" s="94"/>
      <c r="CFL65" s="94"/>
      <c r="CFM65" s="94"/>
      <c r="CFN65" s="94"/>
      <c r="CFO65" s="94"/>
      <c r="CFP65" s="94"/>
      <c r="CFQ65" s="94"/>
      <c r="CFR65" s="94"/>
      <c r="CFS65" s="94"/>
      <c r="CFT65" s="94"/>
      <c r="CFU65" s="94"/>
      <c r="CFV65" s="94"/>
      <c r="CFW65" s="94"/>
      <c r="CFX65" s="94"/>
      <c r="CFY65" s="94"/>
      <c r="CFZ65" s="94"/>
      <c r="CGA65" s="94"/>
      <c r="CGB65" s="94"/>
      <c r="CGC65" s="94"/>
      <c r="CGD65" s="94"/>
      <c r="CGE65" s="94"/>
      <c r="CGF65" s="94"/>
      <c r="CGG65" s="94"/>
      <c r="CGH65" s="94"/>
      <c r="CGI65" s="94"/>
      <c r="CGJ65" s="94"/>
      <c r="CGK65" s="94"/>
      <c r="CGL65" s="94"/>
      <c r="CGM65" s="94"/>
      <c r="CGN65" s="94"/>
      <c r="CGO65" s="94"/>
      <c r="CGP65" s="94"/>
      <c r="CGQ65" s="94"/>
      <c r="CGR65" s="94"/>
      <c r="CGS65" s="94"/>
      <c r="CGT65" s="94"/>
      <c r="CGU65" s="94"/>
      <c r="CGV65" s="94"/>
      <c r="CGW65" s="94"/>
      <c r="CGX65" s="94"/>
      <c r="CGY65" s="94"/>
      <c r="CGZ65" s="94"/>
      <c r="CHA65" s="94"/>
      <c r="CHB65" s="94"/>
      <c r="CHC65" s="94"/>
      <c r="CHD65" s="94"/>
      <c r="CHE65" s="94"/>
      <c r="CHF65" s="94"/>
      <c r="CHG65" s="94"/>
      <c r="CHH65" s="94"/>
      <c r="CHI65" s="94"/>
      <c r="CHJ65" s="94"/>
      <c r="CHK65" s="94"/>
      <c r="CHL65" s="94"/>
      <c r="CHM65" s="94"/>
      <c r="CHN65" s="94"/>
      <c r="CHO65" s="94"/>
      <c r="CHP65" s="94"/>
      <c r="CHQ65" s="94"/>
      <c r="CHR65" s="94"/>
      <c r="CHS65" s="94"/>
      <c r="CHT65" s="94"/>
      <c r="CHU65" s="94"/>
      <c r="CHV65" s="94"/>
      <c r="CHW65" s="94"/>
      <c r="CHX65" s="94"/>
      <c r="CHY65" s="94"/>
      <c r="CHZ65" s="94"/>
      <c r="CIA65" s="94"/>
      <c r="CIB65" s="94"/>
      <c r="CIC65" s="94"/>
      <c r="CID65" s="94"/>
      <c r="CIE65" s="94"/>
      <c r="CIF65" s="94"/>
      <c r="CIG65" s="94"/>
      <c r="CIH65" s="94"/>
      <c r="CII65" s="94"/>
      <c r="CIJ65" s="94"/>
      <c r="CIK65" s="94"/>
      <c r="CIL65" s="94"/>
      <c r="CIM65" s="94"/>
      <c r="CIN65" s="94"/>
      <c r="CIO65" s="94"/>
      <c r="CIP65" s="94"/>
      <c r="CIQ65" s="94"/>
      <c r="CIR65" s="94"/>
      <c r="CIS65" s="94"/>
      <c r="CIT65" s="94"/>
      <c r="CIU65" s="94"/>
      <c r="CIV65" s="94"/>
      <c r="CIW65" s="94"/>
      <c r="CIX65" s="94"/>
      <c r="CIY65" s="94"/>
      <c r="CIZ65" s="94"/>
      <c r="CJA65" s="94"/>
      <c r="CJB65" s="94"/>
      <c r="CJC65" s="94"/>
      <c r="CJD65" s="94"/>
      <c r="CJE65" s="94"/>
      <c r="CJF65" s="94"/>
      <c r="CJG65" s="94"/>
      <c r="CJH65" s="94"/>
      <c r="CJI65" s="94"/>
      <c r="CJJ65" s="94"/>
      <c r="CJK65" s="94"/>
      <c r="CJL65" s="94"/>
      <c r="CJM65" s="94"/>
      <c r="CJN65" s="94"/>
      <c r="CJO65" s="94"/>
      <c r="CJP65" s="94"/>
      <c r="CJQ65" s="94"/>
      <c r="CJR65" s="94"/>
      <c r="CJS65" s="94"/>
      <c r="CJT65" s="94"/>
      <c r="CJU65" s="94"/>
      <c r="CJV65" s="94"/>
      <c r="CJW65" s="94"/>
      <c r="CJX65" s="94"/>
      <c r="CJY65" s="94"/>
      <c r="CJZ65" s="94"/>
      <c r="CKA65" s="94"/>
      <c r="CKB65" s="94"/>
      <c r="CKC65" s="94"/>
      <c r="CKD65" s="94"/>
      <c r="CKE65" s="94"/>
      <c r="CKF65" s="94"/>
      <c r="CKG65" s="94"/>
      <c r="CKH65" s="94"/>
      <c r="CKI65" s="94"/>
      <c r="CKJ65" s="94"/>
      <c r="CKK65" s="94"/>
      <c r="CKL65" s="94"/>
      <c r="CKM65" s="94"/>
      <c r="CKN65" s="94"/>
      <c r="CKO65" s="94"/>
      <c r="CKP65" s="94"/>
      <c r="CKQ65" s="94"/>
      <c r="CKR65" s="94"/>
      <c r="CKS65" s="94"/>
      <c r="CKT65" s="94"/>
      <c r="CKU65" s="94"/>
      <c r="CKV65" s="94"/>
      <c r="CKW65" s="94"/>
      <c r="CKX65" s="94"/>
      <c r="CKY65" s="94"/>
      <c r="CKZ65" s="94"/>
      <c r="CLA65" s="94"/>
      <c r="CLB65" s="94"/>
      <c r="CLC65" s="94"/>
      <c r="CLD65" s="94"/>
      <c r="CLE65" s="94"/>
      <c r="CLF65" s="94"/>
      <c r="CLG65" s="94"/>
      <c r="CLH65" s="94"/>
      <c r="CLI65" s="94"/>
      <c r="CLJ65" s="94"/>
      <c r="CLK65" s="94"/>
      <c r="CLL65" s="94"/>
      <c r="CLM65" s="94"/>
      <c r="CLN65" s="94"/>
      <c r="CLO65" s="94"/>
      <c r="CLP65" s="94"/>
      <c r="CLQ65" s="94"/>
      <c r="CLR65" s="94"/>
      <c r="CLS65" s="94"/>
      <c r="CLT65" s="94"/>
      <c r="CLU65" s="94"/>
      <c r="CLV65" s="94"/>
      <c r="CLW65" s="94"/>
      <c r="CLX65" s="94"/>
      <c r="CLY65" s="94"/>
      <c r="CLZ65" s="94"/>
      <c r="CMA65" s="94"/>
      <c r="CMB65" s="94"/>
      <c r="CMC65" s="94"/>
      <c r="CMD65" s="94"/>
      <c r="CME65" s="94"/>
      <c r="CMF65" s="94"/>
      <c r="CMG65" s="94"/>
      <c r="CMH65" s="94"/>
      <c r="CMI65" s="94"/>
      <c r="CMJ65" s="94"/>
      <c r="CMK65" s="94"/>
      <c r="CML65" s="94"/>
      <c r="CMM65" s="94"/>
      <c r="CMN65" s="94"/>
      <c r="CMO65" s="94"/>
      <c r="CMP65" s="94"/>
      <c r="CMQ65" s="94"/>
      <c r="CMR65" s="94"/>
      <c r="CMS65" s="94"/>
      <c r="CMT65" s="94"/>
      <c r="CMU65" s="94"/>
      <c r="CMV65" s="94"/>
      <c r="CMW65" s="94"/>
      <c r="CMX65" s="94"/>
      <c r="CMY65" s="94"/>
      <c r="CMZ65" s="94"/>
      <c r="CNA65" s="94"/>
      <c r="CNB65" s="94"/>
      <c r="CNC65" s="94"/>
      <c r="CND65" s="94"/>
      <c r="CNE65" s="94"/>
      <c r="CNF65" s="94"/>
      <c r="CNG65" s="94"/>
      <c r="CNH65" s="94"/>
      <c r="CNI65" s="94"/>
      <c r="CNJ65" s="94"/>
      <c r="CNK65" s="94"/>
      <c r="CNL65" s="94"/>
      <c r="CNM65" s="94"/>
      <c r="CNN65" s="94"/>
      <c r="CNO65" s="94"/>
      <c r="CNP65" s="94"/>
      <c r="CNQ65" s="94"/>
      <c r="CNR65" s="94"/>
      <c r="CNS65" s="94"/>
      <c r="CNT65" s="94"/>
      <c r="CNU65" s="94"/>
      <c r="CNV65" s="94"/>
      <c r="CNW65" s="94"/>
      <c r="CNX65" s="94"/>
      <c r="CNY65" s="94"/>
      <c r="CNZ65" s="94"/>
      <c r="COA65" s="94"/>
      <c r="COB65" s="94"/>
      <c r="COC65" s="94"/>
      <c r="COD65" s="94"/>
      <c r="COE65" s="94"/>
      <c r="COF65" s="94"/>
      <c r="COG65" s="94"/>
      <c r="COH65" s="94"/>
      <c r="COI65" s="94"/>
      <c r="COJ65" s="94"/>
      <c r="COK65" s="94"/>
      <c r="COL65" s="94"/>
      <c r="COM65" s="94"/>
      <c r="CON65" s="94"/>
      <c r="COO65" s="94"/>
      <c r="COP65" s="94"/>
      <c r="COQ65" s="94"/>
      <c r="COR65" s="94"/>
      <c r="COS65" s="94"/>
      <c r="COT65" s="94"/>
      <c r="COU65" s="94"/>
      <c r="COV65" s="94"/>
      <c r="COW65" s="94"/>
      <c r="COX65" s="94"/>
      <c r="COY65" s="94"/>
      <c r="COZ65" s="94"/>
      <c r="CPA65" s="94"/>
      <c r="CPB65" s="94"/>
      <c r="CPC65" s="94"/>
      <c r="CPD65" s="94"/>
      <c r="CPE65" s="94"/>
      <c r="CPF65" s="94"/>
      <c r="CPG65" s="94"/>
      <c r="CPH65" s="94"/>
      <c r="CPI65" s="94"/>
      <c r="CPJ65" s="94"/>
      <c r="CPK65" s="94"/>
      <c r="CPL65" s="94"/>
      <c r="CPM65" s="94"/>
      <c r="CPN65" s="94"/>
      <c r="CPO65" s="94"/>
      <c r="CPP65" s="94"/>
      <c r="CPQ65" s="94"/>
      <c r="CPR65" s="94"/>
      <c r="CPS65" s="94"/>
      <c r="CPT65" s="94"/>
      <c r="CPU65" s="94"/>
      <c r="CPV65" s="94"/>
      <c r="CPW65" s="94"/>
      <c r="CPX65" s="94"/>
      <c r="CPY65" s="94"/>
      <c r="CPZ65" s="94"/>
      <c r="CQA65" s="94"/>
      <c r="CQB65" s="94"/>
      <c r="CQC65" s="94"/>
      <c r="CQD65" s="94"/>
      <c r="CQE65" s="94"/>
      <c r="CQF65" s="94"/>
      <c r="CQG65" s="94"/>
      <c r="CQH65" s="94"/>
      <c r="CQI65" s="94"/>
      <c r="CQJ65" s="94"/>
      <c r="CQK65" s="94"/>
      <c r="CQL65" s="94"/>
      <c r="CQM65" s="94"/>
      <c r="CQN65" s="94"/>
      <c r="CQO65" s="94"/>
      <c r="CQP65" s="94"/>
      <c r="CQQ65" s="94"/>
      <c r="CQR65" s="94"/>
      <c r="CQS65" s="94"/>
      <c r="CQT65" s="94"/>
      <c r="CQU65" s="94"/>
      <c r="CQV65" s="94"/>
      <c r="CQW65" s="94"/>
      <c r="CQX65" s="94"/>
      <c r="CQY65" s="94"/>
      <c r="CQZ65" s="94"/>
      <c r="CRA65" s="94"/>
      <c r="CRB65" s="94"/>
      <c r="CRC65" s="94"/>
      <c r="CRD65" s="94"/>
      <c r="CRE65" s="94"/>
      <c r="CRF65" s="94"/>
      <c r="CRG65" s="94"/>
      <c r="CRH65" s="94"/>
      <c r="CRI65" s="94"/>
      <c r="CRJ65" s="94"/>
      <c r="CRK65" s="94"/>
      <c r="CRL65" s="94"/>
      <c r="CRM65" s="94"/>
      <c r="CRN65" s="94"/>
      <c r="CRO65" s="94"/>
      <c r="CRP65" s="94"/>
      <c r="CRQ65" s="94"/>
      <c r="CRR65" s="94"/>
      <c r="CRS65" s="94"/>
      <c r="CRT65" s="94"/>
      <c r="CRU65" s="94"/>
      <c r="CRV65" s="94"/>
      <c r="CRW65" s="94"/>
      <c r="CRX65" s="94"/>
      <c r="CRY65" s="94"/>
      <c r="CRZ65" s="94"/>
      <c r="CSA65" s="94"/>
      <c r="CSB65" s="94"/>
      <c r="CSC65" s="94"/>
      <c r="CSD65" s="94"/>
      <c r="CSE65" s="94"/>
      <c r="CSF65" s="94"/>
      <c r="CSG65" s="94"/>
      <c r="CSH65" s="94"/>
      <c r="CSI65" s="94"/>
      <c r="CSJ65" s="94"/>
      <c r="CSK65" s="94"/>
      <c r="CSL65" s="94"/>
      <c r="CSM65" s="94"/>
      <c r="CSN65" s="94"/>
      <c r="CSO65" s="94"/>
      <c r="CSP65" s="94"/>
      <c r="CSQ65" s="94"/>
      <c r="CSR65" s="94"/>
      <c r="CSS65" s="94"/>
      <c r="CST65" s="94"/>
      <c r="CSU65" s="94"/>
      <c r="CSV65" s="94"/>
      <c r="CSW65" s="94"/>
      <c r="CSX65" s="94"/>
      <c r="CSY65" s="94"/>
      <c r="CSZ65" s="94"/>
      <c r="CTA65" s="94"/>
      <c r="CTB65" s="94"/>
      <c r="CTC65" s="94"/>
      <c r="CTD65" s="94"/>
      <c r="CTE65" s="94"/>
      <c r="CTF65" s="94"/>
      <c r="CTG65" s="94"/>
      <c r="CTH65" s="94"/>
      <c r="CTI65" s="94"/>
      <c r="CTJ65" s="94"/>
      <c r="CTK65" s="94"/>
      <c r="CTL65" s="94"/>
      <c r="CTM65" s="94"/>
      <c r="CTN65" s="94"/>
      <c r="CTO65" s="94"/>
      <c r="CTP65" s="94"/>
      <c r="CTQ65" s="94"/>
      <c r="CTR65" s="94"/>
      <c r="CTS65" s="94"/>
      <c r="CTT65" s="94"/>
      <c r="CTU65" s="94"/>
      <c r="CTV65" s="94"/>
      <c r="CTW65" s="94"/>
      <c r="CTX65" s="94"/>
      <c r="CTY65" s="94"/>
      <c r="CTZ65" s="94"/>
      <c r="CUA65" s="94"/>
      <c r="CUB65" s="94"/>
      <c r="CUC65" s="94"/>
      <c r="CUD65" s="94"/>
      <c r="CUE65" s="94"/>
      <c r="CUF65" s="94"/>
      <c r="CUG65" s="94"/>
      <c r="CUH65" s="94"/>
      <c r="CUI65" s="94"/>
      <c r="CUJ65" s="94"/>
      <c r="CUK65" s="94"/>
      <c r="CUL65" s="94"/>
      <c r="CUM65" s="94"/>
      <c r="CUN65" s="94"/>
      <c r="CUO65" s="94"/>
      <c r="CUP65" s="94"/>
      <c r="CUQ65" s="94"/>
      <c r="CUR65" s="94"/>
      <c r="CUS65" s="94"/>
      <c r="CUT65" s="94"/>
      <c r="CUU65" s="94"/>
      <c r="CUV65" s="94"/>
      <c r="CUW65" s="94"/>
      <c r="CUX65" s="94"/>
      <c r="CUY65" s="94"/>
      <c r="CUZ65" s="94"/>
      <c r="CVA65" s="94"/>
      <c r="CVB65" s="94"/>
      <c r="CVC65" s="94"/>
      <c r="CVD65" s="94"/>
      <c r="CVE65" s="94"/>
      <c r="CVF65" s="94"/>
      <c r="CVG65" s="94"/>
      <c r="CVH65" s="94"/>
      <c r="CVI65" s="94"/>
      <c r="CVJ65" s="94"/>
      <c r="CVK65" s="94"/>
      <c r="CVL65" s="94"/>
      <c r="CVM65" s="94"/>
      <c r="CVN65" s="94"/>
      <c r="CVO65" s="94"/>
      <c r="CVP65" s="94"/>
      <c r="CVQ65" s="94"/>
      <c r="CVR65" s="94"/>
      <c r="CVS65" s="94"/>
      <c r="CVT65" s="94"/>
      <c r="CVU65" s="94"/>
      <c r="CVV65" s="94"/>
      <c r="CVW65" s="94"/>
      <c r="CVX65" s="94"/>
      <c r="CVY65" s="94"/>
      <c r="CVZ65" s="94"/>
      <c r="CWA65" s="94"/>
      <c r="CWB65" s="94"/>
      <c r="CWC65" s="94"/>
      <c r="CWD65" s="94"/>
      <c r="CWE65" s="94"/>
      <c r="CWF65" s="94"/>
      <c r="CWG65" s="94"/>
      <c r="CWH65" s="94"/>
      <c r="CWI65" s="94"/>
      <c r="CWJ65" s="94"/>
      <c r="CWK65" s="94"/>
      <c r="CWL65" s="94"/>
      <c r="CWM65" s="94"/>
      <c r="CWN65" s="94"/>
      <c r="CWO65" s="94"/>
      <c r="CWP65" s="94"/>
      <c r="CWQ65" s="94"/>
      <c r="CWR65" s="94"/>
      <c r="CWS65" s="94"/>
      <c r="CWT65" s="94"/>
      <c r="CWU65" s="94"/>
      <c r="CWV65" s="94"/>
      <c r="CWW65" s="94"/>
      <c r="CWX65" s="94"/>
      <c r="CWY65" s="94"/>
      <c r="CWZ65" s="94"/>
      <c r="CXA65" s="94"/>
      <c r="CXB65" s="94"/>
      <c r="CXC65" s="94"/>
      <c r="CXD65" s="94"/>
      <c r="CXE65" s="94"/>
      <c r="CXF65" s="94"/>
      <c r="CXG65" s="94"/>
      <c r="CXH65" s="94"/>
      <c r="CXI65" s="94"/>
      <c r="CXJ65" s="94"/>
      <c r="CXK65" s="94"/>
      <c r="CXL65" s="94"/>
      <c r="CXM65" s="94"/>
      <c r="CXN65" s="94"/>
      <c r="CXO65" s="94"/>
      <c r="CXP65" s="94"/>
      <c r="CXQ65" s="94"/>
      <c r="CXR65" s="94"/>
      <c r="CXS65" s="94"/>
      <c r="CXT65" s="94"/>
      <c r="CXU65" s="94"/>
      <c r="CXV65" s="94"/>
      <c r="CXW65" s="94"/>
      <c r="CXX65" s="94"/>
      <c r="CXY65" s="94"/>
      <c r="CXZ65" s="94"/>
      <c r="CYA65" s="94"/>
      <c r="CYB65" s="94"/>
      <c r="CYC65" s="94"/>
      <c r="CYD65" s="94"/>
      <c r="CYE65" s="94"/>
      <c r="CYF65" s="94"/>
      <c r="CYG65" s="94"/>
      <c r="CYH65" s="94"/>
      <c r="CYI65" s="94"/>
      <c r="CYJ65" s="94"/>
      <c r="CYK65" s="94"/>
      <c r="CYL65" s="94"/>
      <c r="CYM65" s="94"/>
      <c r="CYN65" s="94"/>
      <c r="CYO65" s="94"/>
      <c r="CYP65" s="94"/>
      <c r="CYQ65" s="94"/>
      <c r="CYR65" s="94"/>
      <c r="CYS65" s="94"/>
      <c r="CYT65" s="94"/>
      <c r="CYU65" s="94"/>
      <c r="CYV65" s="94"/>
      <c r="CYW65" s="94"/>
      <c r="CYX65" s="94"/>
      <c r="CYY65" s="94"/>
      <c r="CYZ65" s="94"/>
      <c r="CZA65" s="94"/>
      <c r="CZB65" s="94"/>
      <c r="CZC65" s="94"/>
      <c r="CZD65" s="94"/>
      <c r="CZE65" s="94"/>
      <c r="CZF65" s="94"/>
      <c r="CZG65" s="94"/>
      <c r="CZH65" s="94"/>
      <c r="CZI65" s="94"/>
      <c r="CZJ65" s="94"/>
      <c r="CZK65" s="94"/>
      <c r="CZL65" s="94"/>
      <c r="CZM65" s="94"/>
      <c r="CZN65" s="94"/>
      <c r="CZO65" s="94"/>
      <c r="CZP65" s="94"/>
      <c r="CZQ65" s="94"/>
      <c r="CZR65" s="94"/>
      <c r="CZS65" s="94"/>
      <c r="CZT65" s="94"/>
      <c r="CZU65" s="94"/>
      <c r="CZV65" s="94"/>
      <c r="CZW65" s="94"/>
      <c r="CZX65" s="94"/>
      <c r="CZY65" s="94"/>
      <c r="CZZ65" s="94"/>
      <c r="DAA65" s="94"/>
      <c r="DAB65" s="94"/>
      <c r="DAC65" s="94"/>
      <c r="DAD65" s="94"/>
      <c r="DAE65" s="94"/>
      <c r="DAF65" s="94"/>
      <c r="DAG65" s="94"/>
      <c r="DAH65" s="94"/>
      <c r="DAI65" s="94"/>
      <c r="DAJ65" s="94"/>
      <c r="DAK65" s="94"/>
      <c r="DAL65" s="94"/>
      <c r="DAM65" s="94"/>
      <c r="DAN65" s="94"/>
      <c r="DAO65" s="94"/>
      <c r="DAP65" s="94"/>
      <c r="DAQ65" s="94"/>
      <c r="DAR65" s="94"/>
      <c r="DAS65" s="94"/>
      <c r="DAT65" s="94"/>
      <c r="DAU65" s="94"/>
      <c r="DAV65" s="94"/>
      <c r="DAW65" s="94"/>
      <c r="DAX65" s="94"/>
      <c r="DAY65" s="94"/>
      <c r="DAZ65" s="94"/>
      <c r="DBA65" s="94"/>
      <c r="DBB65" s="94"/>
      <c r="DBC65" s="94"/>
      <c r="DBD65" s="94"/>
      <c r="DBE65" s="94"/>
      <c r="DBF65" s="94"/>
      <c r="DBG65" s="94"/>
      <c r="DBH65" s="94"/>
      <c r="DBI65" s="94"/>
      <c r="DBJ65" s="94"/>
      <c r="DBK65" s="94"/>
      <c r="DBL65" s="94"/>
      <c r="DBM65" s="94"/>
      <c r="DBN65" s="94"/>
      <c r="DBO65" s="94"/>
      <c r="DBP65" s="94"/>
      <c r="DBQ65" s="94"/>
      <c r="DBR65" s="94"/>
      <c r="DBS65" s="94"/>
      <c r="DBT65" s="94"/>
      <c r="DBU65" s="94"/>
      <c r="DBV65" s="94"/>
      <c r="DBW65" s="94"/>
      <c r="DBX65" s="94"/>
      <c r="DBY65" s="94"/>
      <c r="DBZ65" s="94"/>
      <c r="DCA65" s="94"/>
      <c r="DCB65" s="94"/>
      <c r="DCC65" s="94"/>
      <c r="DCD65" s="94"/>
      <c r="DCE65" s="94"/>
      <c r="DCF65" s="94"/>
      <c r="DCG65" s="94"/>
      <c r="DCH65" s="94"/>
      <c r="DCI65" s="94"/>
      <c r="DCJ65" s="94"/>
      <c r="DCK65" s="94"/>
      <c r="DCL65" s="94"/>
      <c r="DCM65" s="94"/>
      <c r="DCN65" s="94"/>
      <c r="DCO65" s="94"/>
      <c r="DCP65" s="94"/>
      <c r="DCQ65" s="94"/>
      <c r="DCR65" s="94"/>
      <c r="DCS65" s="94"/>
      <c r="DCT65" s="94"/>
      <c r="DCU65" s="94"/>
      <c r="DCV65" s="94"/>
      <c r="DCW65" s="94"/>
      <c r="DCX65" s="94"/>
      <c r="DCY65" s="94"/>
      <c r="DCZ65" s="94"/>
      <c r="DDA65" s="94"/>
      <c r="DDB65" s="94"/>
      <c r="DDC65" s="94"/>
      <c r="DDD65" s="94"/>
      <c r="DDE65" s="94"/>
      <c r="DDF65" s="94"/>
      <c r="DDG65" s="94"/>
      <c r="DDH65" s="94"/>
      <c r="DDI65" s="94"/>
      <c r="DDJ65" s="94"/>
      <c r="DDK65" s="94"/>
      <c r="DDL65" s="94"/>
      <c r="DDM65" s="94"/>
      <c r="DDN65" s="94"/>
      <c r="DDO65" s="94"/>
      <c r="DDP65" s="94"/>
      <c r="DDQ65" s="94"/>
      <c r="DDR65" s="94"/>
      <c r="DDS65" s="94"/>
      <c r="DDT65" s="94"/>
      <c r="DDU65" s="94"/>
      <c r="DDV65" s="94"/>
      <c r="DDW65" s="94"/>
      <c r="DDX65" s="94"/>
      <c r="DDY65" s="94"/>
      <c r="DDZ65" s="94"/>
      <c r="DEA65" s="94"/>
      <c r="DEB65" s="94"/>
      <c r="DEC65" s="94"/>
      <c r="DED65" s="94"/>
      <c r="DEE65" s="94"/>
      <c r="DEF65" s="94"/>
      <c r="DEG65" s="94"/>
      <c r="DEH65" s="94"/>
      <c r="DEI65" s="94"/>
      <c r="DEJ65" s="94"/>
      <c r="DEK65" s="94"/>
      <c r="DEL65" s="94"/>
      <c r="DEM65" s="94"/>
      <c r="DEN65" s="94"/>
      <c r="DEO65" s="94"/>
      <c r="DEP65" s="94"/>
      <c r="DEQ65" s="94"/>
      <c r="DER65" s="94"/>
      <c r="DES65" s="94"/>
      <c r="DET65" s="94"/>
      <c r="DEU65" s="94"/>
      <c r="DEV65" s="94"/>
      <c r="DEW65" s="94"/>
      <c r="DEX65" s="94"/>
      <c r="DEY65" s="94"/>
      <c r="DEZ65" s="94"/>
      <c r="DFA65" s="94"/>
      <c r="DFB65" s="94"/>
      <c r="DFC65" s="94"/>
      <c r="DFD65" s="94"/>
      <c r="DFE65" s="94"/>
      <c r="DFF65" s="94"/>
      <c r="DFG65" s="94"/>
      <c r="DFH65" s="94"/>
      <c r="DFI65" s="94"/>
      <c r="DFJ65" s="94"/>
      <c r="DFK65" s="94"/>
      <c r="DFL65" s="94"/>
      <c r="DFM65" s="94"/>
      <c r="DFN65" s="94"/>
      <c r="DFO65" s="94"/>
      <c r="DFP65" s="94"/>
      <c r="DFQ65" s="94"/>
      <c r="DFR65" s="94"/>
      <c r="DFS65" s="94"/>
      <c r="DFT65" s="94"/>
      <c r="DFU65" s="94"/>
      <c r="DFV65" s="94"/>
      <c r="DFW65" s="94"/>
      <c r="DFX65" s="94"/>
      <c r="DFY65" s="94"/>
      <c r="DFZ65" s="94"/>
      <c r="DGA65" s="94"/>
      <c r="DGB65" s="94"/>
      <c r="DGC65" s="94"/>
      <c r="DGD65" s="94"/>
      <c r="DGE65" s="94"/>
      <c r="DGF65" s="94"/>
      <c r="DGG65" s="94"/>
      <c r="DGH65" s="94"/>
      <c r="DGI65" s="94"/>
      <c r="DGJ65" s="94"/>
      <c r="DGK65" s="94"/>
      <c r="DGL65" s="94"/>
      <c r="DGM65" s="94"/>
      <c r="DGN65" s="94"/>
      <c r="DGO65" s="94"/>
      <c r="DGP65" s="94"/>
      <c r="DGQ65" s="94"/>
      <c r="DGR65" s="94"/>
      <c r="DGS65" s="94"/>
      <c r="DGT65" s="94"/>
      <c r="DGU65" s="94"/>
      <c r="DGV65" s="94"/>
      <c r="DGW65" s="94"/>
      <c r="DGX65" s="94"/>
      <c r="DGY65" s="94"/>
      <c r="DGZ65" s="94"/>
      <c r="DHA65" s="94"/>
      <c r="DHB65" s="94"/>
      <c r="DHC65" s="94"/>
      <c r="DHD65" s="94"/>
      <c r="DHE65" s="94"/>
      <c r="DHF65" s="94"/>
      <c r="DHG65" s="94"/>
      <c r="DHH65" s="94"/>
      <c r="DHI65" s="94"/>
      <c r="DHJ65" s="94"/>
      <c r="DHK65" s="94"/>
      <c r="DHL65" s="94"/>
      <c r="DHM65" s="94"/>
      <c r="DHN65" s="94"/>
      <c r="DHO65" s="94"/>
      <c r="DHP65" s="94"/>
      <c r="DHQ65" s="94"/>
      <c r="DHR65" s="94"/>
      <c r="DHS65" s="94"/>
      <c r="DHT65" s="94"/>
      <c r="DHU65" s="94"/>
      <c r="DHV65" s="94"/>
      <c r="DHW65" s="94"/>
      <c r="DHX65" s="94"/>
      <c r="DHY65" s="94"/>
      <c r="DHZ65" s="94"/>
      <c r="DIA65" s="94"/>
      <c r="DIB65" s="94"/>
      <c r="DIC65" s="94"/>
      <c r="DID65" s="94"/>
      <c r="DIE65" s="94"/>
      <c r="DIF65" s="94"/>
      <c r="DIG65" s="94"/>
      <c r="DIH65" s="94"/>
      <c r="DII65" s="94"/>
      <c r="DIJ65" s="94"/>
      <c r="DIK65" s="94"/>
      <c r="DIL65" s="94"/>
      <c r="DIM65" s="94"/>
      <c r="DIN65" s="94"/>
      <c r="DIO65" s="94"/>
      <c r="DIP65" s="94"/>
      <c r="DIQ65" s="94"/>
      <c r="DIR65" s="94"/>
      <c r="DIS65" s="94"/>
      <c r="DIT65" s="94"/>
      <c r="DIU65" s="94"/>
      <c r="DIV65" s="94"/>
      <c r="DIW65" s="94"/>
      <c r="DIX65" s="94"/>
      <c r="DIY65" s="94"/>
      <c r="DIZ65" s="94"/>
      <c r="DJA65" s="94"/>
      <c r="DJB65" s="94"/>
      <c r="DJC65" s="94"/>
      <c r="DJD65" s="94"/>
      <c r="DJE65" s="94"/>
      <c r="DJF65" s="94"/>
      <c r="DJG65" s="94"/>
      <c r="DJH65" s="94"/>
      <c r="DJI65" s="94"/>
      <c r="DJJ65" s="94"/>
      <c r="DJK65" s="94"/>
      <c r="DJL65" s="94"/>
      <c r="DJM65" s="94"/>
      <c r="DJN65" s="94"/>
      <c r="DJO65" s="94"/>
      <c r="DJP65" s="94"/>
      <c r="DJQ65" s="94"/>
      <c r="DJR65" s="94"/>
      <c r="DJS65" s="94"/>
      <c r="DJT65" s="94"/>
      <c r="DJU65" s="94"/>
      <c r="DJV65" s="94"/>
      <c r="DJW65" s="94"/>
      <c r="DJX65" s="94"/>
      <c r="DJY65" s="94"/>
      <c r="DJZ65" s="94"/>
      <c r="DKA65" s="94"/>
      <c r="DKB65" s="94"/>
      <c r="DKC65" s="94"/>
      <c r="DKD65" s="94"/>
      <c r="DKE65" s="94"/>
      <c r="DKF65" s="94"/>
      <c r="DKG65" s="94"/>
      <c r="DKH65" s="94"/>
      <c r="DKI65" s="94"/>
      <c r="DKJ65" s="94"/>
      <c r="DKK65" s="94"/>
      <c r="DKL65" s="94"/>
      <c r="DKM65" s="94"/>
      <c r="DKN65" s="94"/>
      <c r="DKO65" s="94"/>
      <c r="DKP65" s="94"/>
      <c r="DKQ65" s="94"/>
      <c r="DKR65" s="94"/>
      <c r="DKS65" s="94"/>
      <c r="DKT65" s="94"/>
      <c r="DKU65" s="94"/>
      <c r="DKV65" s="94"/>
      <c r="DKW65" s="94"/>
      <c r="DKX65" s="94"/>
      <c r="DKY65" s="94"/>
      <c r="DKZ65" s="94"/>
      <c r="DLA65" s="94"/>
      <c r="DLB65" s="94"/>
      <c r="DLC65" s="94"/>
      <c r="DLD65" s="94"/>
      <c r="DLE65" s="94"/>
      <c r="DLF65" s="94"/>
      <c r="DLG65" s="94"/>
      <c r="DLH65" s="94"/>
      <c r="DLI65" s="94"/>
      <c r="DLJ65" s="94"/>
      <c r="DLK65" s="94"/>
      <c r="DLL65" s="94"/>
      <c r="DLM65" s="94"/>
      <c r="DLN65" s="94"/>
      <c r="DLO65" s="94"/>
      <c r="DLP65" s="94"/>
      <c r="DLQ65" s="94"/>
      <c r="DLR65" s="94"/>
      <c r="DLS65" s="94"/>
      <c r="DLT65" s="94"/>
      <c r="DLU65" s="94"/>
      <c r="DLV65" s="94"/>
      <c r="DLW65" s="94"/>
      <c r="DLX65" s="94"/>
      <c r="DLY65" s="94"/>
      <c r="DLZ65" s="94"/>
      <c r="DMA65" s="94"/>
      <c r="DMB65" s="94"/>
      <c r="DMC65" s="94"/>
      <c r="DMD65" s="94"/>
      <c r="DME65" s="94"/>
      <c r="DMF65" s="94"/>
      <c r="DMG65" s="94"/>
      <c r="DMH65" s="94"/>
      <c r="DMI65" s="94"/>
      <c r="DMJ65" s="94"/>
      <c r="DMK65" s="94"/>
      <c r="DML65" s="94"/>
      <c r="DMM65" s="94"/>
      <c r="DMN65" s="94"/>
      <c r="DMO65" s="94"/>
      <c r="DMP65" s="94"/>
      <c r="DMQ65" s="94"/>
      <c r="DMR65" s="94"/>
      <c r="DMS65" s="94"/>
      <c r="DMT65" s="94"/>
      <c r="DMU65" s="94"/>
      <c r="DMV65" s="94"/>
      <c r="DMW65" s="94"/>
      <c r="DMX65" s="94"/>
      <c r="DMY65" s="94"/>
      <c r="DMZ65" s="94"/>
      <c r="DNA65" s="94"/>
      <c r="DNB65" s="94"/>
      <c r="DNC65" s="94"/>
      <c r="DND65" s="94"/>
      <c r="DNE65" s="94"/>
      <c r="DNF65" s="94"/>
      <c r="DNG65" s="94"/>
      <c r="DNH65" s="94"/>
      <c r="DNI65" s="94"/>
      <c r="DNJ65" s="94"/>
      <c r="DNK65" s="94"/>
      <c r="DNL65" s="94"/>
      <c r="DNM65" s="94"/>
      <c r="DNN65" s="94"/>
      <c r="DNO65" s="94"/>
      <c r="DNP65" s="94"/>
      <c r="DNQ65" s="94"/>
      <c r="DNR65" s="94"/>
      <c r="DNS65" s="94"/>
      <c r="DNT65" s="94"/>
      <c r="DNU65" s="94"/>
      <c r="DNV65" s="94"/>
      <c r="DNW65" s="94"/>
      <c r="DNX65" s="94"/>
      <c r="DNY65" s="94"/>
      <c r="DNZ65" s="94"/>
      <c r="DOA65" s="94"/>
      <c r="DOB65" s="94"/>
      <c r="DOC65" s="94"/>
      <c r="DOD65" s="94"/>
      <c r="DOE65" s="94"/>
      <c r="DOF65" s="94"/>
      <c r="DOG65" s="94"/>
      <c r="DOH65" s="94"/>
      <c r="DOI65" s="94"/>
      <c r="DOJ65" s="94"/>
      <c r="DOK65" s="94"/>
      <c r="DOL65" s="94"/>
      <c r="DOM65" s="94"/>
      <c r="DON65" s="94"/>
      <c r="DOO65" s="94"/>
      <c r="DOP65" s="94"/>
      <c r="DOQ65" s="94"/>
      <c r="DOR65" s="94"/>
      <c r="DOS65" s="94"/>
      <c r="DOT65" s="94"/>
      <c r="DOU65" s="94"/>
      <c r="DOV65" s="94"/>
      <c r="DOW65" s="94"/>
      <c r="DOX65" s="94"/>
      <c r="DOY65" s="94"/>
      <c r="DOZ65" s="94"/>
      <c r="DPA65" s="94"/>
      <c r="DPB65" s="94"/>
      <c r="DPC65" s="94"/>
      <c r="DPD65" s="94"/>
      <c r="DPE65" s="94"/>
      <c r="DPF65" s="94"/>
      <c r="DPG65" s="94"/>
      <c r="DPH65" s="94"/>
      <c r="DPI65" s="94"/>
      <c r="DPJ65" s="94"/>
      <c r="DPK65" s="94"/>
      <c r="DPL65" s="94"/>
      <c r="DPM65" s="94"/>
      <c r="DPN65" s="94"/>
      <c r="DPO65" s="94"/>
      <c r="DPP65" s="94"/>
      <c r="DPQ65" s="94"/>
      <c r="DPR65" s="94"/>
      <c r="DPS65" s="94"/>
      <c r="DPT65" s="94"/>
      <c r="DPU65" s="94"/>
      <c r="DPV65" s="94"/>
      <c r="DPW65" s="94"/>
      <c r="DPX65" s="94"/>
      <c r="DPY65" s="94"/>
      <c r="DPZ65" s="94"/>
      <c r="DQA65" s="94"/>
      <c r="DQB65" s="94"/>
      <c r="DQC65" s="94"/>
      <c r="DQD65" s="94"/>
      <c r="DQE65" s="94"/>
      <c r="DQF65" s="94"/>
      <c r="DQG65" s="94"/>
      <c r="DQH65" s="94"/>
      <c r="DQI65" s="94"/>
      <c r="DQJ65" s="94"/>
      <c r="DQK65" s="94"/>
      <c r="DQL65" s="94"/>
      <c r="DQM65" s="94"/>
      <c r="DQN65" s="94"/>
      <c r="DQO65" s="94"/>
      <c r="DQP65" s="94"/>
      <c r="DQQ65" s="94"/>
      <c r="DQR65" s="94"/>
      <c r="DQS65" s="94"/>
      <c r="DQT65" s="94"/>
      <c r="DQU65" s="94"/>
      <c r="DQV65" s="94"/>
      <c r="DQW65" s="94"/>
      <c r="DQX65" s="94"/>
      <c r="DQY65" s="94"/>
      <c r="DQZ65" s="94"/>
      <c r="DRA65" s="94"/>
      <c r="DRB65" s="94"/>
      <c r="DRC65" s="94"/>
      <c r="DRD65" s="94"/>
      <c r="DRE65" s="94"/>
      <c r="DRF65" s="94"/>
      <c r="DRG65" s="94"/>
      <c r="DRH65" s="94"/>
      <c r="DRI65" s="94"/>
      <c r="DRJ65" s="94"/>
      <c r="DRK65" s="94"/>
      <c r="DRL65" s="94"/>
      <c r="DRM65" s="94"/>
      <c r="DRN65" s="94"/>
      <c r="DRO65" s="94"/>
      <c r="DRP65" s="94"/>
      <c r="DRQ65" s="94"/>
      <c r="DRR65" s="94"/>
      <c r="DRS65" s="94"/>
      <c r="DRT65" s="94"/>
      <c r="DRU65" s="94"/>
      <c r="DRV65" s="94"/>
      <c r="DRW65" s="94"/>
      <c r="DRX65" s="94"/>
      <c r="DRY65" s="94"/>
      <c r="DRZ65" s="94"/>
      <c r="DSA65" s="94"/>
      <c r="DSB65" s="94"/>
      <c r="DSC65" s="94"/>
      <c r="DSD65" s="94"/>
      <c r="DSE65" s="94"/>
      <c r="DSF65" s="94"/>
      <c r="DSG65" s="94"/>
      <c r="DSH65" s="94"/>
      <c r="DSI65" s="94"/>
      <c r="DSJ65" s="94"/>
      <c r="DSK65" s="94"/>
      <c r="DSL65" s="94"/>
      <c r="DSM65" s="94"/>
      <c r="DSN65" s="94"/>
      <c r="DSO65" s="94"/>
      <c r="DSP65" s="94"/>
      <c r="DSQ65" s="94"/>
      <c r="DSR65" s="94"/>
      <c r="DSS65" s="94"/>
      <c r="DST65" s="94"/>
      <c r="DSU65" s="94"/>
      <c r="DSV65" s="94"/>
      <c r="DSW65" s="94"/>
      <c r="DSX65" s="94"/>
      <c r="DSY65" s="94"/>
      <c r="DSZ65" s="94"/>
      <c r="DTA65" s="94"/>
      <c r="DTB65" s="94"/>
      <c r="DTC65" s="94"/>
      <c r="DTD65" s="94"/>
      <c r="DTE65" s="94"/>
      <c r="DTF65" s="94"/>
      <c r="DTG65" s="94"/>
      <c r="DTH65" s="94"/>
      <c r="DTI65" s="94"/>
      <c r="DTJ65" s="94"/>
      <c r="DTK65" s="94"/>
      <c r="DTL65" s="94"/>
      <c r="DTM65" s="94"/>
      <c r="DTN65" s="94"/>
      <c r="DTO65" s="94"/>
      <c r="DTP65" s="94"/>
      <c r="DTQ65" s="94"/>
      <c r="DTR65" s="94"/>
      <c r="DTS65" s="94"/>
      <c r="DTT65" s="94"/>
      <c r="DTU65" s="94"/>
      <c r="DTV65" s="94"/>
      <c r="DTW65" s="94"/>
      <c r="DTX65" s="94"/>
      <c r="DTY65" s="94"/>
      <c r="DTZ65" s="94"/>
      <c r="DUA65" s="94"/>
      <c r="DUB65" s="94"/>
      <c r="DUC65" s="94"/>
      <c r="DUD65" s="94"/>
      <c r="DUE65" s="94"/>
      <c r="DUF65" s="94"/>
      <c r="DUG65" s="94"/>
      <c r="DUH65" s="94"/>
      <c r="DUI65" s="94"/>
      <c r="DUJ65" s="94"/>
      <c r="DUK65" s="94"/>
      <c r="DUL65" s="94"/>
      <c r="DUM65" s="94"/>
      <c r="DUN65" s="94"/>
      <c r="DUO65" s="94"/>
      <c r="DUP65" s="94"/>
      <c r="DUQ65" s="94"/>
      <c r="DUR65" s="94"/>
      <c r="DUS65" s="94"/>
      <c r="DUT65" s="94"/>
      <c r="DUU65" s="94"/>
      <c r="DUV65" s="94"/>
      <c r="DUW65" s="94"/>
      <c r="DUX65" s="94"/>
      <c r="DUY65" s="94"/>
      <c r="DUZ65" s="94"/>
      <c r="DVA65" s="94"/>
      <c r="DVB65" s="94"/>
      <c r="DVC65" s="94"/>
      <c r="DVD65" s="94"/>
      <c r="DVE65" s="94"/>
      <c r="DVF65" s="94"/>
      <c r="DVG65" s="94"/>
      <c r="DVH65" s="94"/>
      <c r="DVI65" s="94"/>
      <c r="DVJ65" s="94"/>
      <c r="DVK65" s="94"/>
      <c r="DVL65" s="94"/>
      <c r="DVM65" s="94"/>
      <c r="DVN65" s="94"/>
      <c r="DVO65" s="94"/>
      <c r="DVP65" s="94"/>
      <c r="DVQ65" s="94"/>
      <c r="DVR65" s="94"/>
      <c r="DVS65" s="94"/>
      <c r="DVT65" s="94"/>
      <c r="DVU65" s="94"/>
      <c r="DVV65" s="94"/>
      <c r="DVW65" s="94"/>
      <c r="DVX65" s="94"/>
      <c r="DVY65" s="94"/>
      <c r="DVZ65" s="94"/>
      <c r="DWA65" s="94"/>
      <c r="DWB65" s="94"/>
      <c r="DWC65" s="94"/>
      <c r="DWD65" s="94"/>
      <c r="DWE65" s="94"/>
      <c r="DWF65" s="94"/>
      <c r="DWG65" s="94"/>
      <c r="DWH65" s="94"/>
      <c r="DWI65" s="94"/>
      <c r="DWJ65" s="94"/>
      <c r="DWK65" s="94"/>
      <c r="DWL65" s="94"/>
      <c r="DWM65" s="94"/>
      <c r="DWN65" s="94"/>
      <c r="DWO65" s="94"/>
      <c r="DWP65" s="94"/>
      <c r="DWQ65" s="94"/>
      <c r="DWR65" s="94"/>
      <c r="DWS65" s="94"/>
      <c r="DWT65" s="94"/>
      <c r="DWU65" s="94"/>
      <c r="DWV65" s="94"/>
      <c r="DWW65" s="94"/>
      <c r="DWX65" s="94"/>
      <c r="DWY65" s="94"/>
      <c r="DWZ65" s="94"/>
      <c r="DXA65" s="94"/>
      <c r="DXB65" s="94"/>
      <c r="DXC65" s="94"/>
      <c r="DXD65" s="94"/>
      <c r="DXE65" s="94"/>
      <c r="DXF65" s="94"/>
      <c r="DXG65" s="94"/>
      <c r="DXH65" s="94"/>
      <c r="DXI65" s="94"/>
      <c r="DXJ65" s="94"/>
      <c r="DXK65" s="94"/>
      <c r="DXL65" s="94"/>
      <c r="DXM65" s="94"/>
      <c r="DXN65" s="94"/>
      <c r="DXO65" s="94"/>
      <c r="DXP65" s="94"/>
      <c r="DXQ65" s="94"/>
      <c r="DXR65" s="94"/>
      <c r="DXS65" s="94"/>
      <c r="DXT65" s="94"/>
      <c r="DXU65" s="94"/>
      <c r="DXV65" s="94"/>
      <c r="DXW65" s="94"/>
      <c r="DXX65" s="94"/>
      <c r="DXY65" s="94"/>
      <c r="DXZ65" s="94"/>
      <c r="DYA65" s="94"/>
      <c r="DYB65" s="94"/>
      <c r="DYC65" s="94"/>
      <c r="DYD65" s="94"/>
      <c r="DYE65" s="94"/>
      <c r="DYF65" s="94"/>
      <c r="DYG65" s="94"/>
      <c r="DYH65" s="94"/>
      <c r="DYI65" s="94"/>
      <c r="DYJ65" s="94"/>
      <c r="DYK65" s="94"/>
      <c r="DYL65" s="94"/>
      <c r="DYM65" s="94"/>
      <c r="DYN65" s="94"/>
      <c r="DYO65" s="94"/>
      <c r="DYP65" s="94"/>
      <c r="DYQ65" s="94"/>
      <c r="DYR65" s="94"/>
      <c r="DYS65" s="94"/>
      <c r="DYT65" s="94"/>
      <c r="DYU65" s="94"/>
      <c r="DYV65" s="94"/>
      <c r="DYW65" s="94"/>
      <c r="DYX65" s="94"/>
      <c r="DYY65" s="94"/>
      <c r="DYZ65" s="94"/>
      <c r="DZA65" s="94"/>
      <c r="DZB65" s="94"/>
      <c r="DZC65" s="94"/>
      <c r="DZD65" s="94"/>
      <c r="DZE65" s="94"/>
      <c r="DZF65" s="94"/>
      <c r="DZG65" s="94"/>
      <c r="DZH65" s="94"/>
      <c r="DZI65" s="94"/>
      <c r="DZJ65" s="94"/>
      <c r="DZK65" s="94"/>
      <c r="DZL65" s="94"/>
      <c r="DZM65" s="94"/>
      <c r="DZN65" s="94"/>
      <c r="DZO65" s="94"/>
      <c r="DZP65" s="94"/>
      <c r="DZQ65" s="94"/>
      <c r="DZR65" s="94"/>
      <c r="DZS65" s="94"/>
      <c r="DZT65" s="94"/>
      <c r="DZU65" s="94"/>
      <c r="DZV65" s="94"/>
      <c r="DZW65" s="94"/>
      <c r="DZX65" s="94"/>
      <c r="DZY65" s="94"/>
      <c r="DZZ65" s="94"/>
      <c r="EAA65" s="94"/>
      <c r="EAB65" s="94"/>
      <c r="EAC65" s="94"/>
      <c r="EAD65" s="94"/>
      <c r="EAE65" s="94"/>
      <c r="EAF65" s="94"/>
      <c r="EAG65" s="94"/>
      <c r="EAH65" s="94"/>
      <c r="EAI65" s="94"/>
      <c r="EAJ65" s="94"/>
      <c r="EAK65" s="94"/>
      <c r="EAL65" s="94"/>
      <c r="EAM65" s="94"/>
      <c r="EAN65" s="94"/>
      <c r="EAO65" s="94"/>
      <c r="EAP65" s="94"/>
      <c r="EAQ65" s="94"/>
      <c r="EAR65" s="94"/>
      <c r="EAS65" s="94"/>
      <c r="EAT65" s="94"/>
      <c r="EAU65" s="94"/>
      <c r="EAV65" s="94"/>
      <c r="EAW65" s="94"/>
      <c r="EAX65" s="94"/>
      <c r="EAY65" s="94"/>
      <c r="EAZ65" s="94"/>
      <c r="EBA65" s="94"/>
      <c r="EBB65" s="94"/>
      <c r="EBC65" s="94"/>
      <c r="EBD65" s="94"/>
      <c r="EBE65" s="94"/>
      <c r="EBF65" s="94"/>
      <c r="EBG65" s="94"/>
      <c r="EBH65" s="94"/>
      <c r="EBI65" s="94"/>
      <c r="EBJ65" s="94"/>
      <c r="EBK65" s="94"/>
      <c r="EBL65" s="94"/>
      <c r="EBM65" s="94"/>
      <c r="EBN65" s="94"/>
      <c r="EBO65" s="94"/>
      <c r="EBP65" s="94"/>
      <c r="EBQ65" s="94"/>
      <c r="EBR65" s="94"/>
      <c r="EBS65" s="94"/>
      <c r="EBT65" s="94"/>
      <c r="EBU65" s="94"/>
      <c r="EBV65" s="94"/>
      <c r="EBW65" s="94"/>
      <c r="EBX65" s="94"/>
      <c r="EBY65" s="94"/>
      <c r="EBZ65" s="94"/>
      <c r="ECA65" s="94"/>
      <c r="ECB65" s="94"/>
      <c r="ECC65" s="94"/>
      <c r="ECD65" s="94"/>
      <c r="ECE65" s="94"/>
      <c r="ECF65" s="94"/>
      <c r="ECG65" s="94"/>
      <c r="ECH65" s="94"/>
      <c r="ECI65" s="94"/>
      <c r="ECJ65" s="94"/>
      <c r="ECK65" s="94"/>
      <c r="ECL65" s="94"/>
      <c r="ECM65" s="94"/>
      <c r="ECN65" s="94"/>
      <c r="ECO65" s="94"/>
      <c r="ECP65" s="94"/>
      <c r="ECQ65" s="94"/>
      <c r="ECR65" s="94"/>
      <c r="ECS65" s="94"/>
      <c r="ECT65" s="94"/>
      <c r="ECU65" s="94"/>
      <c r="ECV65" s="94"/>
      <c r="ECW65" s="94"/>
      <c r="ECX65" s="94"/>
      <c r="ECY65" s="94"/>
      <c r="ECZ65" s="94"/>
      <c r="EDA65" s="94"/>
      <c r="EDB65" s="94"/>
      <c r="EDC65" s="94"/>
      <c r="EDD65" s="94"/>
      <c r="EDE65" s="94"/>
      <c r="EDF65" s="94"/>
      <c r="EDG65" s="94"/>
      <c r="EDH65" s="94"/>
      <c r="EDI65" s="94"/>
      <c r="EDJ65" s="94"/>
      <c r="EDK65" s="94"/>
      <c r="EDL65" s="94"/>
      <c r="EDM65" s="94"/>
      <c r="EDN65" s="94"/>
      <c r="EDO65" s="94"/>
      <c r="EDP65" s="94"/>
      <c r="EDQ65" s="94"/>
      <c r="EDR65" s="94"/>
      <c r="EDS65" s="94"/>
      <c r="EDT65" s="94"/>
      <c r="EDU65" s="94"/>
      <c r="EDV65" s="94"/>
      <c r="EDW65" s="94"/>
      <c r="EDX65" s="94"/>
      <c r="EDY65" s="94"/>
      <c r="EDZ65" s="94"/>
      <c r="EEA65" s="94"/>
      <c r="EEB65" s="94"/>
      <c r="EEC65" s="94"/>
      <c r="EED65" s="94"/>
      <c r="EEE65" s="94"/>
      <c r="EEF65" s="94"/>
      <c r="EEG65" s="94"/>
      <c r="EEH65" s="94"/>
      <c r="EEI65" s="94"/>
      <c r="EEJ65" s="94"/>
      <c r="EEK65" s="94"/>
      <c r="EEL65" s="94"/>
      <c r="EEM65" s="94"/>
      <c r="EEN65" s="94"/>
      <c r="EEO65" s="94"/>
      <c r="EEP65" s="94"/>
      <c r="EEQ65" s="94"/>
      <c r="EER65" s="94"/>
      <c r="EES65" s="94"/>
      <c r="EET65" s="94"/>
      <c r="EEU65" s="94"/>
      <c r="EEV65" s="94"/>
      <c r="EEW65" s="94"/>
      <c r="EEX65" s="94"/>
      <c r="EEY65" s="94"/>
      <c r="EEZ65" s="94"/>
      <c r="EFA65" s="94"/>
      <c r="EFB65" s="94"/>
      <c r="EFC65" s="94"/>
      <c r="EFD65" s="94"/>
      <c r="EFE65" s="94"/>
      <c r="EFF65" s="94"/>
      <c r="EFG65" s="94"/>
      <c r="EFH65" s="94"/>
      <c r="EFI65" s="94"/>
      <c r="EFJ65" s="94"/>
      <c r="EFK65" s="94"/>
      <c r="EFL65" s="94"/>
      <c r="EFM65" s="94"/>
      <c r="EFN65" s="94"/>
      <c r="EFO65" s="94"/>
      <c r="EFP65" s="94"/>
      <c r="EFQ65" s="94"/>
      <c r="EFR65" s="94"/>
      <c r="EFS65" s="94"/>
      <c r="EFT65" s="94"/>
      <c r="EFU65" s="94"/>
      <c r="EFV65" s="94"/>
      <c r="EFW65" s="94"/>
      <c r="EFX65" s="94"/>
      <c r="EFY65" s="94"/>
      <c r="EFZ65" s="94"/>
      <c r="EGA65" s="94"/>
      <c r="EGB65" s="94"/>
      <c r="EGC65" s="94"/>
      <c r="EGD65" s="94"/>
      <c r="EGE65" s="94"/>
      <c r="EGF65" s="94"/>
      <c r="EGG65" s="94"/>
      <c r="EGH65" s="94"/>
      <c r="EGI65" s="94"/>
      <c r="EGJ65" s="94"/>
      <c r="EGK65" s="94"/>
      <c r="EGL65" s="94"/>
      <c r="EGM65" s="94"/>
      <c r="EGN65" s="94"/>
      <c r="EGO65" s="94"/>
      <c r="EGP65" s="94"/>
      <c r="EGQ65" s="94"/>
      <c r="EGR65" s="94"/>
      <c r="EGS65" s="94"/>
      <c r="EGT65" s="94"/>
      <c r="EGU65" s="94"/>
      <c r="EGV65" s="94"/>
      <c r="EGW65" s="94"/>
      <c r="EGX65" s="94"/>
      <c r="EGY65" s="94"/>
      <c r="EGZ65" s="94"/>
      <c r="EHA65" s="94"/>
      <c r="EHB65" s="94"/>
      <c r="EHC65" s="94"/>
      <c r="EHD65" s="94"/>
      <c r="EHE65" s="94"/>
      <c r="EHF65" s="94"/>
      <c r="EHG65" s="94"/>
      <c r="EHH65" s="94"/>
      <c r="EHI65" s="94"/>
      <c r="EHJ65" s="94"/>
      <c r="EHK65" s="94"/>
      <c r="EHL65" s="94"/>
      <c r="EHM65" s="94"/>
      <c r="EHN65" s="94"/>
      <c r="EHO65" s="94"/>
      <c r="EHP65" s="94"/>
      <c r="EHQ65" s="94"/>
      <c r="EHR65" s="94"/>
      <c r="EHS65" s="94"/>
      <c r="EHT65" s="94"/>
      <c r="EHU65" s="94"/>
      <c r="EHV65" s="94"/>
      <c r="EHW65" s="94"/>
      <c r="EHX65" s="94"/>
      <c r="EHY65" s="94"/>
      <c r="EHZ65" s="94"/>
      <c r="EIA65" s="94"/>
      <c r="EIB65" s="94"/>
      <c r="EIC65" s="94"/>
      <c r="EID65" s="94"/>
      <c r="EIE65" s="94"/>
      <c r="EIF65" s="94"/>
      <c r="EIG65" s="94"/>
      <c r="EIH65" s="94"/>
      <c r="EII65" s="94"/>
      <c r="EIJ65" s="94"/>
      <c r="EIK65" s="94"/>
      <c r="EIL65" s="94"/>
      <c r="EIM65" s="94"/>
      <c r="EIN65" s="94"/>
      <c r="EIO65" s="94"/>
      <c r="EIP65" s="94"/>
      <c r="EIQ65" s="94"/>
      <c r="EIR65" s="94"/>
      <c r="EIS65" s="94"/>
      <c r="EIT65" s="94"/>
      <c r="EIU65" s="94"/>
      <c r="EIV65" s="94"/>
      <c r="EIW65" s="94"/>
      <c r="EIX65" s="94"/>
      <c r="EIY65" s="94"/>
      <c r="EIZ65" s="94"/>
      <c r="EJA65" s="94"/>
      <c r="EJB65" s="94"/>
      <c r="EJC65" s="94"/>
      <c r="EJD65" s="94"/>
      <c r="EJE65" s="94"/>
      <c r="EJF65" s="94"/>
      <c r="EJG65" s="94"/>
      <c r="EJH65" s="94"/>
      <c r="EJI65" s="94"/>
      <c r="EJJ65" s="94"/>
      <c r="EJK65" s="94"/>
      <c r="EJL65" s="94"/>
      <c r="EJM65" s="94"/>
      <c r="EJN65" s="94"/>
      <c r="EJO65" s="94"/>
      <c r="EJP65" s="94"/>
      <c r="EJQ65" s="94"/>
      <c r="EJR65" s="94"/>
      <c r="EJS65" s="94"/>
      <c r="EJT65" s="94"/>
      <c r="EJU65" s="94"/>
      <c r="EJV65" s="94"/>
      <c r="EJW65" s="94"/>
      <c r="EJX65" s="94"/>
      <c r="EJY65" s="94"/>
      <c r="EJZ65" s="94"/>
      <c r="EKA65" s="94"/>
      <c r="EKB65" s="94"/>
      <c r="EKC65" s="94"/>
      <c r="EKD65" s="94"/>
      <c r="EKE65" s="94"/>
      <c r="EKF65" s="94"/>
      <c r="EKG65" s="94"/>
      <c r="EKH65" s="94"/>
      <c r="EKI65" s="94"/>
      <c r="EKJ65" s="94"/>
      <c r="EKK65" s="94"/>
      <c r="EKL65" s="94"/>
      <c r="EKM65" s="94"/>
      <c r="EKN65" s="94"/>
      <c r="EKO65" s="94"/>
      <c r="EKP65" s="94"/>
      <c r="EKQ65" s="94"/>
      <c r="EKR65" s="94"/>
      <c r="EKS65" s="94"/>
      <c r="EKT65" s="94"/>
      <c r="EKU65" s="94"/>
      <c r="EKV65" s="94"/>
      <c r="EKW65" s="94"/>
      <c r="EKX65" s="94"/>
      <c r="EKY65" s="94"/>
      <c r="EKZ65" s="94"/>
      <c r="ELA65" s="94"/>
      <c r="ELB65" s="94"/>
      <c r="ELC65" s="94"/>
      <c r="ELD65" s="94"/>
      <c r="ELE65" s="94"/>
      <c r="ELF65" s="94"/>
      <c r="ELG65" s="94"/>
      <c r="ELH65" s="94"/>
      <c r="ELI65" s="94"/>
      <c r="ELJ65" s="94"/>
      <c r="ELK65" s="94"/>
      <c r="ELL65" s="94"/>
      <c r="ELM65" s="94"/>
      <c r="ELN65" s="94"/>
      <c r="ELO65" s="94"/>
      <c r="ELP65" s="94"/>
      <c r="ELQ65" s="94"/>
      <c r="ELR65" s="94"/>
      <c r="ELS65" s="94"/>
      <c r="ELT65" s="94"/>
      <c r="ELU65" s="94"/>
      <c r="ELV65" s="94"/>
      <c r="ELW65" s="94"/>
      <c r="ELX65" s="94"/>
      <c r="ELY65" s="94"/>
      <c r="ELZ65" s="94"/>
      <c r="EMA65" s="94"/>
      <c r="EMB65" s="94"/>
      <c r="EMC65" s="94"/>
      <c r="EMD65" s="94"/>
      <c r="EME65" s="94"/>
      <c r="EMF65" s="94"/>
      <c r="EMG65" s="94"/>
      <c r="EMH65" s="94"/>
      <c r="EMI65" s="94"/>
      <c r="EMJ65" s="94"/>
      <c r="EMK65" s="94"/>
      <c r="EML65" s="94"/>
      <c r="EMM65" s="94"/>
      <c r="EMN65" s="94"/>
      <c r="EMO65" s="94"/>
      <c r="EMP65" s="94"/>
      <c r="EMQ65" s="94"/>
      <c r="EMR65" s="94"/>
      <c r="EMS65" s="94"/>
      <c r="EMT65" s="94"/>
      <c r="EMU65" s="94"/>
      <c r="EMV65" s="94"/>
      <c r="EMW65" s="94"/>
      <c r="EMX65" s="94"/>
      <c r="EMY65" s="94"/>
      <c r="EMZ65" s="94"/>
      <c r="ENA65" s="94"/>
      <c r="ENB65" s="94"/>
      <c r="ENC65" s="94"/>
      <c r="END65" s="94"/>
      <c r="ENE65" s="94"/>
      <c r="ENF65" s="94"/>
      <c r="ENG65" s="94"/>
      <c r="ENH65" s="94"/>
      <c r="ENI65" s="94"/>
      <c r="ENJ65" s="94"/>
      <c r="ENK65" s="94"/>
      <c r="ENL65" s="94"/>
      <c r="ENM65" s="94"/>
      <c r="ENN65" s="94"/>
      <c r="ENO65" s="94"/>
      <c r="ENP65" s="94"/>
      <c r="ENQ65" s="94"/>
      <c r="ENR65" s="94"/>
      <c r="ENS65" s="94"/>
      <c r="ENT65" s="94"/>
      <c r="ENU65" s="94"/>
      <c r="ENV65" s="94"/>
      <c r="ENW65" s="94"/>
      <c r="ENX65" s="94"/>
      <c r="ENY65" s="94"/>
      <c r="ENZ65" s="94"/>
      <c r="EOA65" s="94"/>
      <c r="EOB65" s="94"/>
      <c r="EOC65" s="94"/>
      <c r="EOD65" s="94"/>
      <c r="EOE65" s="94"/>
      <c r="EOF65" s="94"/>
      <c r="EOG65" s="94"/>
      <c r="EOH65" s="94"/>
      <c r="EOI65" s="94"/>
      <c r="EOJ65" s="94"/>
      <c r="EOK65" s="94"/>
      <c r="EOL65" s="94"/>
      <c r="EOM65" s="94"/>
      <c r="EON65" s="94"/>
      <c r="EOO65" s="94"/>
      <c r="EOP65" s="94"/>
      <c r="EOQ65" s="94"/>
      <c r="EOR65" s="94"/>
      <c r="EOS65" s="94"/>
      <c r="EOT65" s="94"/>
      <c r="EOU65" s="94"/>
      <c r="EOV65" s="94"/>
      <c r="EOW65" s="94"/>
      <c r="EOX65" s="94"/>
      <c r="EOY65" s="94"/>
      <c r="EOZ65" s="94"/>
      <c r="EPA65" s="94"/>
      <c r="EPB65" s="94"/>
      <c r="EPC65" s="94"/>
      <c r="EPD65" s="94"/>
      <c r="EPE65" s="94"/>
      <c r="EPF65" s="94"/>
      <c r="EPG65" s="94"/>
      <c r="EPH65" s="94"/>
      <c r="EPI65" s="94"/>
      <c r="EPJ65" s="94"/>
      <c r="EPK65" s="94"/>
      <c r="EPL65" s="94"/>
      <c r="EPM65" s="94"/>
      <c r="EPN65" s="94"/>
      <c r="EPO65" s="94"/>
      <c r="EPP65" s="94"/>
      <c r="EPQ65" s="94"/>
      <c r="EPR65" s="94"/>
      <c r="EPS65" s="94"/>
      <c r="EPT65" s="94"/>
      <c r="EPU65" s="94"/>
      <c r="EPV65" s="94"/>
      <c r="EPW65" s="94"/>
      <c r="EPX65" s="94"/>
      <c r="EPY65" s="94"/>
      <c r="EPZ65" s="94"/>
      <c r="EQA65" s="94"/>
      <c r="EQB65" s="94"/>
      <c r="EQC65" s="94"/>
      <c r="EQD65" s="94"/>
      <c r="EQE65" s="94"/>
      <c r="EQF65" s="94"/>
      <c r="EQG65" s="94"/>
      <c r="EQH65" s="94"/>
      <c r="EQI65" s="94"/>
      <c r="EQJ65" s="94"/>
      <c r="EQK65" s="94"/>
      <c r="EQL65" s="94"/>
      <c r="EQM65" s="94"/>
      <c r="EQN65" s="94"/>
      <c r="EQO65" s="94"/>
      <c r="EQP65" s="94"/>
      <c r="EQQ65" s="94"/>
      <c r="EQR65" s="94"/>
      <c r="EQS65" s="94"/>
      <c r="EQT65" s="94"/>
      <c r="EQU65" s="94"/>
      <c r="EQV65" s="94"/>
      <c r="EQW65" s="94"/>
      <c r="EQX65" s="94"/>
      <c r="EQY65" s="94"/>
      <c r="EQZ65" s="94"/>
      <c r="ERA65" s="94"/>
      <c r="ERB65" s="94"/>
      <c r="ERC65" s="94"/>
      <c r="ERD65" s="94"/>
      <c r="ERE65" s="94"/>
      <c r="ERF65" s="94"/>
      <c r="ERG65" s="94"/>
      <c r="ERH65" s="94"/>
      <c r="ERI65" s="94"/>
      <c r="ERJ65" s="94"/>
      <c r="ERK65" s="94"/>
      <c r="ERL65" s="94"/>
      <c r="ERM65" s="94"/>
      <c r="ERN65" s="94"/>
      <c r="ERO65" s="94"/>
      <c r="ERP65" s="94"/>
      <c r="ERQ65" s="94"/>
      <c r="ERR65" s="94"/>
      <c r="ERS65" s="94"/>
      <c r="ERT65" s="94"/>
      <c r="ERU65" s="94"/>
      <c r="ERV65" s="94"/>
      <c r="ERW65" s="94"/>
      <c r="ERX65" s="94"/>
      <c r="ERY65" s="94"/>
      <c r="ERZ65" s="94"/>
      <c r="ESA65" s="94"/>
      <c r="ESB65" s="94"/>
      <c r="ESC65" s="94"/>
      <c r="ESD65" s="94"/>
      <c r="ESE65" s="94"/>
      <c r="ESF65" s="94"/>
      <c r="ESG65" s="94"/>
      <c r="ESH65" s="94"/>
      <c r="ESI65" s="94"/>
      <c r="ESJ65" s="94"/>
      <c r="ESK65" s="94"/>
      <c r="ESL65" s="94"/>
      <c r="ESM65" s="94"/>
      <c r="ESN65" s="94"/>
      <c r="ESO65" s="94"/>
      <c r="ESP65" s="94"/>
      <c r="ESQ65" s="94"/>
      <c r="ESR65" s="94"/>
      <c r="ESS65" s="94"/>
      <c r="EST65" s="94"/>
      <c r="ESU65" s="94"/>
      <c r="ESV65" s="94"/>
      <c r="ESW65" s="94"/>
      <c r="ESX65" s="94"/>
      <c r="ESY65" s="94"/>
      <c r="ESZ65" s="94"/>
      <c r="ETA65" s="94"/>
      <c r="ETB65" s="94"/>
      <c r="ETC65" s="94"/>
      <c r="ETD65" s="94"/>
      <c r="ETE65" s="94"/>
      <c r="ETF65" s="94"/>
      <c r="ETG65" s="94"/>
      <c r="ETH65" s="94"/>
      <c r="ETI65" s="94"/>
      <c r="ETJ65" s="94"/>
      <c r="ETK65" s="94"/>
      <c r="ETL65" s="94"/>
      <c r="ETM65" s="94"/>
      <c r="ETN65" s="94"/>
      <c r="ETO65" s="94"/>
      <c r="ETP65" s="94"/>
      <c r="ETQ65" s="94"/>
      <c r="ETR65" s="94"/>
      <c r="ETS65" s="94"/>
      <c r="ETT65" s="94"/>
      <c r="ETU65" s="94"/>
      <c r="ETV65" s="94"/>
      <c r="ETW65" s="94"/>
      <c r="ETX65" s="94"/>
      <c r="ETY65" s="94"/>
      <c r="ETZ65" s="94"/>
      <c r="EUA65" s="94"/>
      <c r="EUB65" s="94"/>
      <c r="EUC65" s="94"/>
      <c r="EUD65" s="94"/>
      <c r="EUE65" s="94"/>
      <c r="EUF65" s="94"/>
      <c r="EUG65" s="94"/>
      <c r="EUH65" s="94"/>
      <c r="EUI65" s="94"/>
      <c r="EUJ65" s="94"/>
      <c r="EUK65" s="94"/>
      <c r="EUL65" s="94"/>
      <c r="EUM65" s="94"/>
      <c r="EUN65" s="94"/>
      <c r="EUO65" s="94"/>
      <c r="EUP65" s="94"/>
      <c r="EUQ65" s="94"/>
      <c r="EUR65" s="94"/>
      <c r="EUS65" s="94"/>
      <c r="EUT65" s="94"/>
      <c r="EUU65" s="94"/>
      <c r="EUV65" s="94"/>
      <c r="EUW65" s="94"/>
      <c r="EUX65" s="94"/>
      <c r="EUY65" s="94"/>
      <c r="EUZ65" s="94"/>
      <c r="EVA65" s="94"/>
      <c r="EVB65" s="94"/>
      <c r="EVC65" s="94"/>
      <c r="EVD65" s="94"/>
      <c r="EVE65" s="94"/>
      <c r="EVF65" s="94"/>
      <c r="EVG65" s="94"/>
      <c r="EVH65" s="94"/>
      <c r="EVI65" s="94"/>
      <c r="EVJ65" s="94"/>
      <c r="EVK65" s="94"/>
      <c r="EVL65" s="94"/>
      <c r="EVM65" s="94"/>
      <c r="EVN65" s="94"/>
      <c r="EVO65" s="94"/>
      <c r="EVP65" s="94"/>
      <c r="EVQ65" s="94"/>
      <c r="EVR65" s="94"/>
      <c r="EVS65" s="94"/>
      <c r="EVT65" s="94"/>
      <c r="EVU65" s="94"/>
      <c r="EVV65" s="94"/>
      <c r="EVW65" s="94"/>
      <c r="EVX65" s="94"/>
      <c r="EVY65" s="94"/>
      <c r="EVZ65" s="94"/>
      <c r="EWA65" s="94"/>
      <c r="EWB65" s="94"/>
      <c r="EWC65" s="94"/>
      <c r="EWD65" s="94"/>
      <c r="EWE65" s="94"/>
      <c r="EWF65" s="94"/>
      <c r="EWG65" s="94"/>
      <c r="EWH65" s="94"/>
      <c r="EWI65" s="94"/>
      <c r="EWJ65" s="94"/>
      <c r="EWK65" s="94"/>
      <c r="EWL65" s="94"/>
      <c r="EWM65" s="94"/>
      <c r="EWN65" s="94"/>
      <c r="EWO65" s="94"/>
      <c r="EWP65" s="94"/>
      <c r="EWQ65" s="94"/>
      <c r="EWR65" s="94"/>
      <c r="EWS65" s="94"/>
      <c r="EWT65" s="94"/>
      <c r="EWU65" s="94"/>
      <c r="EWV65" s="94"/>
      <c r="EWW65" s="94"/>
      <c r="EWX65" s="94"/>
      <c r="EWY65" s="94"/>
      <c r="EWZ65" s="94"/>
      <c r="EXA65" s="94"/>
      <c r="EXB65" s="94"/>
      <c r="EXC65" s="94"/>
      <c r="EXD65" s="94"/>
      <c r="EXE65" s="94"/>
      <c r="EXF65" s="94"/>
      <c r="EXG65" s="94"/>
      <c r="EXH65" s="94"/>
      <c r="EXI65" s="94"/>
      <c r="EXJ65" s="94"/>
      <c r="EXK65" s="94"/>
      <c r="EXL65" s="94"/>
      <c r="EXM65" s="94"/>
      <c r="EXN65" s="94"/>
      <c r="EXO65" s="94"/>
      <c r="EXP65" s="94"/>
      <c r="EXQ65" s="94"/>
      <c r="EXR65" s="94"/>
      <c r="EXS65" s="94"/>
      <c r="EXT65" s="94"/>
      <c r="EXU65" s="94"/>
      <c r="EXV65" s="94"/>
      <c r="EXW65" s="94"/>
      <c r="EXX65" s="94"/>
      <c r="EXY65" s="94"/>
      <c r="EXZ65" s="94"/>
      <c r="EYA65" s="94"/>
      <c r="EYB65" s="94"/>
      <c r="EYC65" s="94"/>
      <c r="EYD65" s="94"/>
      <c r="EYE65" s="94"/>
      <c r="EYF65" s="94"/>
      <c r="EYG65" s="94"/>
      <c r="EYH65" s="94"/>
      <c r="EYI65" s="94"/>
      <c r="EYJ65" s="94"/>
      <c r="EYK65" s="94"/>
      <c r="EYL65" s="94"/>
      <c r="EYM65" s="94"/>
      <c r="EYN65" s="94"/>
      <c r="EYO65" s="94"/>
      <c r="EYP65" s="94"/>
      <c r="EYQ65" s="94"/>
      <c r="EYR65" s="94"/>
      <c r="EYS65" s="94"/>
      <c r="EYT65" s="94"/>
      <c r="EYU65" s="94"/>
      <c r="EYV65" s="94"/>
      <c r="EYW65" s="94"/>
      <c r="EYX65" s="94"/>
      <c r="EYY65" s="94"/>
      <c r="EYZ65" s="94"/>
      <c r="EZA65" s="94"/>
      <c r="EZB65" s="94"/>
      <c r="EZC65" s="94"/>
      <c r="EZD65" s="94"/>
      <c r="EZE65" s="94"/>
      <c r="EZF65" s="94"/>
      <c r="EZG65" s="94"/>
      <c r="EZH65" s="94"/>
      <c r="EZI65" s="94"/>
      <c r="EZJ65" s="94"/>
      <c r="EZK65" s="94"/>
      <c r="EZL65" s="94"/>
      <c r="EZM65" s="94"/>
      <c r="EZN65" s="94"/>
      <c r="EZO65" s="94"/>
      <c r="EZP65" s="94"/>
      <c r="EZQ65" s="94"/>
      <c r="EZR65" s="94"/>
      <c r="EZS65" s="94"/>
      <c r="EZT65" s="94"/>
      <c r="EZU65" s="94"/>
      <c r="EZV65" s="94"/>
      <c r="EZW65" s="94"/>
      <c r="EZX65" s="94"/>
      <c r="EZY65" s="94"/>
      <c r="EZZ65" s="94"/>
      <c r="FAA65" s="94"/>
      <c r="FAB65" s="94"/>
      <c r="FAC65" s="94"/>
      <c r="FAD65" s="94"/>
      <c r="FAE65" s="94"/>
      <c r="FAF65" s="94"/>
      <c r="FAG65" s="94"/>
      <c r="FAH65" s="94"/>
      <c r="FAI65" s="94"/>
      <c r="FAJ65" s="94"/>
      <c r="FAK65" s="94"/>
      <c r="FAL65" s="94"/>
      <c r="FAM65" s="94"/>
      <c r="FAN65" s="94"/>
      <c r="FAO65" s="94"/>
      <c r="FAP65" s="94"/>
      <c r="FAQ65" s="94"/>
      <c r="FAR65" s="94"/>
      <c r="FAS65" s="94"/>
      <c r="FAT65" s="94"/>
      <c r="FAU65" s="94"/>
      <c r="FAV65" s="94"/>
      <c r="FAW65" s="94"/>
      <c r="FAX65" s="94"/>
      <c r="FAY65" s="94"/>
      <c r="FAZ65" s="94"/>
      <c r="FBA65" s="94"/>
      <c r="FBB65" s="94"/>
      <c r="FBC65" s="94"/>
      <c r="FBD65" s="94"/>
      <c r="FBE65" s="94"/>
      <c r="FBF65" s="94"/>
      <c r="FBG65" s="94"/>
      <c r="FBH65" s="94"/>
      <c r="FBI65" s="94"/>
      <c r="FBJ65" s="94"/>
      <c r="FBK65" s="94"/>
      <c r="FBL65" s="94"/>
      <c r="FBM65" s="94"/>
      <c r="FBN65" s="94"/>
      <c r="FBO65" s="94"/>
      <c r="FBP65" s="94"/>
      <c r="FBQ65" s="94"/>
      <c r="FBR65" s="94"/>
      <c r="FBS65" s="94"/>
      <c r="FBT65" s="94"/>
      <c r="FBU65" s="94"/>
      <c r="FBV65" s="94"/>
      <c r="FBW65" s="94"/>
      <c r="FBX65" s="94"/>
      <c r="FBY65" s="94"/>
      <c r="FBZ65" s="94"/>
      <c r="FCA65" s="94"/>
      <c r="FCB65" s="94"/>
      <c r="FCC65" s="94"/>
      <c r="FCD65" s="94"/>
      <c r="FCE65" s="94"/>
      <c r="FCF65" s="94"/>
      <c r="FCG65" s="94"/>
      <c r="FCH65" s="94"/>
      <c r="FCI65" s="94"/>
      <c r="FCJ65" s="94"/>
      <c r="FCK65" s="94"/>
      <c r="FCL65" s="94"/>
      <c r="FCM65" s="94"/>
      <c r="FCN65" s="94"/>
      <c r="FCO65" s="94"/>
      <c r="FCP65" s="94"/>
      <c r="FCQ65" s="94"/>
      <c r="FCR65" s="94"/>
      <c r="FCS65" s="94"/>
      <c r="FCT65" s="94"/>
      <c r="FCU65" s="94"/>
      <c r="FCV65" s="94"/>
      <c r="FCW65" s="94"/>
      <c r="FCX65" s="94"/>
      <c r="FCY65" s="94"/>
      <c r="FCZ65" s="94"/>
      <c r="FDA65" s="94"/>
      <c r="FDB65" s="94"/>
      <c r="FDC65" s="94"/>
      <c r="FDD65" s="94"/>
      <c r="FDE65" s="94"/>
      <c r="FDF65" s="94"/>
      <c r="FDG65" s="94"/>
      <c r="FDH65" s="94"/>
      <c r="FDI65" s="94"/>
      <c r="FDJ65" s="94"/>
      <c r="FDK65" s="94"/>
      <c r="FDL65" s="94"/>
      <c r="FDM65" s="94"/>
      <c r="FDN65" s="94"/>
      <c r="FDO65" s="94"/>
      <c r="FDP65" s="94"/>
      <c r="FDQ65" s="94"/>
      <c r="FDR65" s="94"/>
      <c r="FDS65" s="94"/>
      <c r="FDT65" s="94"/>
      <c r="FDU65" s="94"/>
      <c r="FDV65" s="94"/>
      <c r="FDW65" s="94"/>
      <c r="FDX65" s="94"/>
      <c r="FDY65" s="94"/>
      <c r="FDZ65" s="94"/>
      <c r="FEA65" s="94"/>
      <c r="FEB65" s="94"/>
      <c r="FEC65" s="94"/>
      <c r="FED65" s="94"/>
      <c r="FEE65" s="94"/>
      <c r="FEF65" s="94"/>
      <c r="FEG65" s="94"/>
      <c r="FEH65" s="94"/>
      <c r="FEI65" s="94"/>
      <c r="FEJ65" s="94"/>
      <c r="FEK65" s="94"/>
      <c r="FEL65" s="94"/>
      <c r="FEM65" s="94"/>
      <c r="FEN65" s="94"/>
      <c r="FEO65" s="94"/>
      <c r="FEP65" s="94"/>
      <c r="FEQ65" s="94"/>
      <c r="FER65" s="94"/>
      <c r="FES65" s="94"/>
      <c r="FET65" s="94"/>
      <c r="FEU65" s="94"/>
      <c r="FEV65" s="94"/>
      <c r="FEW65" s="94"/>
      <c r="FEX65" s="94"/>
      <c r="FEY65" s="94"/>
      <c r="FEZ65" s="94"/>
      <c r="FFA65" s="94"/>
      <c r="FFB65" s="94"/>
      <c r="FFC65" s="94"/>
      <c r="FFD65" s="94"/>
      <c r="FFE65" s="94"/>
      <c r="FFF65" s="94"/>
      <c r="FFG65" s="94"/>
      <c r="FFH65" s="94"/>
      <c r="FFI65" s="94"/>
      <c r="FFJ65" s="94"/>
      <c r="FFK65" s="94"/>
      <c r="FFL65" s="94"/>
      <c r="FFM65" s="94"/>
      <c r="FFN65" s="94"/>
      <c r="FFO65" s="94"/>
      <c r="FFP65" s="94"/>
      <c r="FFQ65" s="94"/>
      <c r="FFR65" s="94"/>
      <c r="FFS65" s="94"/>
      <c r="FFT65" s="94"/>
      <c r="FFU65" s="94"/>
      <c r="FFV65" s="94"/>
      <c r="FFW65" s="94"/>
      <c r="FFX65" s="94"/>
      <c r="FFY65" s="94"/>
      <c r="FFZ65" s="94"/>
      <c r="FGA65" s="94"/>
      <c r="FGB65" s="94"/>
      <c r="FGC65" s="94"/>
      <c r="FGD65" s="94"/>
      <c r="FGE65" s="94"/>
      <c r="FGF65" s="94"/>
      <c r="FGG65" s="94"/>
      <c r="FGH65" s="94"/>
      <c r="FGI65" s="94"/>
      <c r="FGJ65" s="94"/>
      <c r="FGK65" s="94"/>
      <c r="FGL65" s="94"/>
      <c r="FGM65" s="94"/>
      <c r="FGN65" s="94"/>
      <c r="FGO65" s="94"/>
      <c r="FGP65" s="94"/>
      <c r="FGQ65" s="94"/>
      <c r="FGR65" s="94"/>
      <c r="FGS65" s="94"/>
      <c r="FGT65" s="94"/>
      <c r="FGU65" s="94"/>
      <c r="FGV65" s="94"/>
      <c r="FGW65" s="94"/>
      <c r="FGX65" s="94"/>
      <c r="FGY65" s="94"/>
      <c r="FGZ65" s="94"/>
      <c r="FHA65" s="94"/>
      <c r="FHB65" s="94"/>
      <c r="FHC65" s="94"/>
      <c r="FHD65" s="94"/>
      <c r="FHE65" s="94"/>
      <c r="FHF65" s="94"/>
      <c r="FHG65" s="94"/>
      <c r="FHH65" s="94"/>
      <c r="FHI65" s="94"/>
      <c r="FHJ65" s="94"/>
      <c r="FHK65" s="94"/>
      <c r="FHL65" s="94"/>
      <c r="FHM65" s="94"/>
      <c r="FHN65" s="94"/>
      <c r="FHO65" s="94"/>
      <c r="FHP65" s="94"/>
      <c r="FHQ65" s="94"/>
      <c r="FHR65" s="94"/>
      <c r="FHS65" s="94"/>
      <c r="FHT65" s="94"/>
      <c r="FHU65" s="94"/>
      <c r="FHV65" s="94"/>
      <c r="FHW65" s="94"/>
      <c r="FHX65" s="94"/>
      <c r="FHY65" s="94"/>
      <c r="FHZ65" s="94"/>
      <c r="FIA65" s="94"/>
      <c r="FIB65" s="94"/>
      <c r="FIC65" s="94"/>
      <c r="FID65" s="94"/>
      <c r="FIE65" s="94"/>
      <c r="FIF65" s="94"/>
      <c r="FIG65" s="94"/>
      <c r="FIH65" s="94"/>
      <c r="FII65" s="94"/>
      <c r="FIJ65" s="94"/>
      <c r="FIK65" s="94"/>
      <c r="FIL65" s="94"/>
      <c r="FIM65" s="94"/>
      <c r="FIN65" s="94"/>
      <c r="FIO65" s="94"/>
      <c r="FIP65" s="94"/>
      <c r="FIQ65" s="94"/>
      <c r="FIR65" s="94"/>
      <c r="FIS65" s="94"/>
      <c r="FIT65" s="94"/>
      <c r="FIU65" s="94"/>
      <c r="FIV65" s="94"/>
      <c r="FIW65" s="94"/>
      <c r="FIX65" s="94"/>
      <c r="FIY65" s="94"/>
      <c r="FIZ65" s="94"/>
      <c r="FJA65" s="94"/>
      <c r="FJB65" s="94"/>
      <c r="FJC65" s="94"/>
      <c r="FJD65" s="94"/>
      <c r="FJE65" s="94"/>
      <c r="FJF65" s="94"/>
      <c r="FJG65" s="94"/>
      <c r="FJH65" s="94"/>
      <c r="FJI65" s="94"/>
      <c r="FJJ65" s="94"/>
      <c r="FJK65" s="94"/>
      <c r="FJL65" s="94"/>
      <c r="FJM65" s="94"/>
      <c r="FJN65" s="94"/>
      <c r="FJO65" s="94"/>
      <c r="FJP65" s="94"/>
      <c r="FJQ65" s="94"/>
      <c r="FJR65" s="94"/>
      <c r="FJS65" s="94"/>
      <c r="FJT65" s="94"/>
      <c r="FJU65" s="94"/>
      <c r="FJV65" s="94"/>
      <c r="FJW65" s="94"/>
      <c r="FJX65" s="94"/>
      <c r="FJY65" s="94"/>
      <c r="FJZ65" s="94"/>
      <c r="FKA65" s="94"/>
      <c r="FKB65" s="94"/>
      <c r="FKC65" s="94"/>
      <c r="FKD65" s="94"/>
      <c r="FKE65" s="94"/>
      <c r="FKF65" s="94"/>
      <c r="FKG65" s="94"/>
      <c r="FKH65" s="94"/>
      <c r="FKI65" s="94"/>
      <c r="FKJ65" s="94"/>
      <c r="FKK65" s="94"/>
      <c r="FKL65" s="94"/>
      <c r="FKM65" s="94"/>
      <c r="FKN65" s="94"/>
      <c r="FKO65" s="94"/>
      <c r="FKP65" s="94"/>
      <c r="FKQ65" s="94"/>
      <c r="FKR65" s="94"/>
      <c r="FKS65" s="94"/>
      <c r="FKT65" s="94"/>
      <c r="FKU65" s="94"/>
      <c r="FKV65" s="94"/>
      <c r="FKW65" s="94"/>
      <c r="FKX65" s="94"/>
      <c r="FKY65" s="94"/>
      <c r="FKZ65" s="94"/>
      <c r="FLA65" s="94"/>
      <c r="FLB65" s="94"/>
      <c r="FLC65" s="94"/>
      <c r="FLD65" s="94"/>
      <c r="FLE65" s="94"/>
      <c r="FLF65" s="94"/>
      <c r="FLG65" s="94"/>
      <c r="FLH65" s="94"/>
      <c r="FLI65" s="94"/>
      <c r="FLJ65" s="94"/>
      <c r="FLK65" s="94"/>
      <c r="FLL65" s="94"/>
      <c r="FLM65" s="94"/>
      <c r="FLN65" s="94"/>
      <c r="FLO65" s="94"/>
      <c r="FLP65" s="94"/>
      <c r="FLQ65" s="94"/>
      <c r="FLR65" s="94"/>
      <c r="FLS65" s="94"/>
      <c r="FLT65" s="94"/>
      <c r="FLU65" s="94"/>
      <c r="FLV65" s="94"/>
      <c r="FLW65" s="94"/>
      <c r="FLX65" s="94"/>
      <c r="FLY65" s="94"/>
      <c r="FLZ65" s="94"/>
      <c r="FMA65" s="94"/>
      <c r="FMB65" s="94"/>
      <c r="FMC65" s="94"/>
      <c r="FMD65" s="94"/>
      <c r="FME65" s="94"/>
      <c r="FMF65" s="94"/>
      <c r="FMG65" s="94"/>
      <c r="FMH65" s="94"/>
      <c r="FMI65" s="94"/>
      <c r="FMJ65" s="94"/>
      <c r="FMK65" s="94"/>
      <c r="FML65" s="94"/>
      <c r="FMM65" s="94"/>
      <c r="FMN65" s="94"/>
      <c r="FMO65" s="94"/>
      <c r="FMP65" s="94"/>
      <c r="FMQ65" s="94"/>
      <c r="FMR65" s="94"/>
      <c r="FMS65" s="94"/>
      <c r="FMT65" s="94"/>
      <c r="FMU65" s="94"/>
      <c r="FMV65" s="94"/>
      <c r="FMW65" s="94"/>
      <c r="FMX65" s="94"/>
      <c r="FMY65" s="94"/>
      <c r="FMZ65" s="94"/>
      <c r="FNA65" s="94"/>
      <c r="FNB65" s="94"/>
      <c r="FNC65" s="94"/>
      <c r="FND65" s="94"/>
      <c r="FNE65" s="94"/>
      <c r="FNF65" s="94"/>
      <c r="FNG65" s="94"/>
      <c r="FNH65" s="94"/>
      <c r="FNI65" s="94"/>
      <c r="FNJ65" s="94"/>
      <c r="FNK65" s="94"/>
      <c r="FNL65" s="94"/>
      <c r="FNM65" s="94"/>
      <c r="FNN65" s="94"/>
      <c r="FNO65" s="94"/>
      <c r="FNP65" s="94"/>
      <c r="FNQ65" s="94"/>
      <c r="FNR65" s="94"/>
      <c r="FNS65" s="94"/>
      <c r="FNT65" s="94"/>
      <c r="FNU65" s="94"/>
      <c r="FNV65" s="94"/>
      <c r="FNW65" s="94"/>
      <c r="FNX65" s="94"/>
      <c r="FNY65" s="94"/>
      <c r="FNZ65" s="94"/>
      <c r="FOA65" s="94"/>
      <c r="FOB65" s="94"/>
      <c r="FOC65" s="94"/>
      <c r="FOD65" s="94"/>
      <c r="FOE65" s="94"/>
      <c r="FOF65" s="94"/>
      <c r="FOG65" s="94"/>
      <c r="FOH65" s="94"/>
      <c r="FOI65" s="94"/>
      <c r="FOJ65" s="94"/>
      <c r="FOK65" s="94"/>
      <c r="FOL65" s="94"/>
      <c r="FOM65" s="94"/>
      <c r="FON65" s="94"/>
      <c r="FOO65" s="94"/>
      <c r="FOP65" s="94"/>
      <c r="FOQ65" s="94"/>
      <c r="FOR65" s="94"/>
      <c r="FOS65" s="94"/>
      <c r="FOT65" s="94"/>
      <c r="FOU65" s="94"/>
      <c r="FOV65" s="94"/>
      <c r="FOW65" s="94"/>
      <c r="FOX65" s="94"/>
      <c r="FOY65" s="94"/>
      <c r="FOZ65" s="94"/>
      <c r="FPA65" s="94"/>
      <c r="FPB65" s="94"/>
      <c r="FPC65" s="94"/>
      <c r="FPD65" s="94"/>
      <c r="FPE65" s="94"/>
      <c r="FPF65" s="94"/>
      <c r="FPG65" s="94"/>
      <c r="FPH65" s="94"/>
      <c r="FPI65" s="94"/>
      <c r="FPJ65" s="94"/>
      <c r="FPK65" s="94"/>
      <c r="FPL65" s="94"/>
      <c r="FPM65" s="94"/>
      <c r="FPN65" s="94"/>
      <c r="FPO65" s="94"/>
      <c r="FPP65" s="94"/>
      <c r="FPQ65" s="94"/>
      <c r="FPR65" s="94"/>
      <c r="FPS65" s="94"/>
      <c r="FPT65" s="94"/>
      <c r="FPU65" s="94"/>
      <c r="FPV65" s="94"/>
      <c r="FPW65" s="94"/>
      <c r="FPX65" s="94"/>
      <c r="FPY65" s="94"/>
      <c r="FPZ65" s="94"/>
      <c r="FQA65" s="94"/>
      <c r="FQB65" s="94"/>
      <c r="FQC65" s="94"/>
      <c r="FQD65" s="94"/>
      <c r="FQE65" s="94"/>
      <c r="FQF65" s="94"/>
      <c r="FQG65" s="94"/>
      <c r="FQH65" s="94"/>
      <c r="FQI65" s="94"/>
      <c r="FQJ65" s="94"/>
      <c r="FQK65" s="94"/>
      <c r="FQL65" s="94"/>
      <c r="FQM65" s="94"/>
      <c r="FQN65" s="94"/>
      <c r="FQO65" s="94"/>
      <c r="FQP65" s="94"/>
      <c r="FQQ65" s="94"/>
      <c r="FQR65" s="94"/>
      <c r="FQS65" s="94"/>
      <c r="FQT65" s="94"/>
      <c r="FQU65" s="94"/>
      <c r="FQV65" s="94"/>
      <c r="FQW65" s="94"/>
      <c r="FQX65" s="94"/>
      <c r="FQY65" s="94"/>
      <c r="FQZ65" s="94"/>
      <c r="FRA65" s="94"/>
      <c r="FRB65" s="94"/>
      <c r="FRC65" s="94"/>
      <c r="FRD65" s="94"/>
      <c r="FRE65" s="94"/>
      <c r="FRF65" s="94"/>
      <c r="FRG65" s="94"/>
      <c r="FRH65" s="94"/>
      <c r="FRI65" s="94"/>
      <c r="FRJ65" s="94"/>
      <c r="FRK65" s="94"/>
      <c r="FRL65" s="94"/>
      <c r="FRM65" s="94"/>
      <c r="FRN65" s="94"/>
      <c r="FRO65" s="94"/>
      <c r="FRP65" s="94"/>
      <c r="FRQ65" s="94"/>
      <c r="FRR65" s="94"/>
      <c r="FRS65" s="94"/>
      <c r="FRT65" s="94"/>
      <c r="FRU65" s="94"/>
      <c r="FRV65" s="94"/>
      <c r="FRW65" s="94"/>
      <c r="FRX65" s="94"/>
      <c r="FRY65" s="94"/>
      <c r="FRZ65" s="94"/>
      <c r="FSA65" s="94"/>
      <c r="FSB65" s="94"/>
      <c r="FSC65" s="94"/>
      <c r="FSD65" s="94"/>
      <c r="FSE65" s="94"/>
      <c r="FSF65" s="94"/>
      <c r="FSG65" s="94"/>
      <c r="FSH65" s="94"/>
      <c r="FSI65" s="94"/>
      <c r="FSJ65" s="94"/>
      <c r="FSK65" s="94"/>
      <c r="FSL65" s="94"/>
      <c r="FSM65" s="94"/>
      <c r="FSN65" s="94"/>
      <c r="FSO65" s="94"/>
      <c r="FSP65" s="94"/>
      <c r="FSQ65" s="94"/>
      <c r="FSR65" s="94"/>
      <c r="FSS65" s="94"/>
      <c r="FST65" s="94"/>
      <c r="FSU65" s="94"/>
      <c r="FSV65" s="94"/>
      <c r="FSW65" s="94"/>
      <c r="FSX65" s="94"/>
      <c r="FSY65" s="94"/>
      <c r="FSZ65" s="94"/>
      <c r="FTA65" s="94"/>
      <c r="FTB65" s="94"/>
      <c r="FTC65" s="94"/>
      <c r="FTD65" s="94"/>
      <c r="FTE65" s="94"/>
      <c r="FTF65" s="94"/>
      <c r="FTG65" s="94"/>
      <c r="FTH65" s="94"/>
      <c r="FTI65" s="94"/>
      <c r="FTJ65" s="94"/>
      <c r="FTK65" s="94"/>
      <c r="FTL65" s="94"/>
      <c r="FTM65" s="94"/>
      <c r="FTN65" s="94"/>
      <c r="FTO65" s="94"/>
      <c r="FTP65" s="94"/>
      <c r="FTQ65" s="94"/>
      <c r="FTR65" s="94"/>
      <c r="FTS65" s="94"/>
      <c r="FTT65" s="94"/>
      <c r="FTU65" s="94"/>
      <c r="FTV65" s="94"/>
      <c r="FTW65" s="94"/>
      <c r="FTX65" s="94"/>
      <c r="FTY65" s="94"/>
      <c r="FTZ65" s="94"/>
      <c r="FUA65" s="94"/>
      <c r="FUB65" s="94"/>
      <c r="FUC65" s="94"/>
      <c r="FUD65" s="94"/>
      <c r="FUE65" s="94"/>
      <c r="FUF65" s="94"/>
      <c r="FUG65" s="94"/>
      <c r="FUH65" s="94"/>
      <c r="FUI65" s="94"/>
      <c r="FUJ65" s="94"/>
      <c r="FUK65" s="94"/>
      <c r="FUL65" s="94"/>
      <c r="FUM65" s="94"/>
      <c r="FUN65" s="94"/>
      <c r="FUO65" s="94"/>
      <c r="FUP65" s="94"/>
      <c r="FUQ65" s="94"/>
      <c r="FUR65" s="94"/>
      <c r="FUS65" s="94"/>
      <c r="FUT65" s="94"/>
      <c r="FUU65" s="94"/>
      <c r="FUV65" s="94"/>
      <c r="FUW65" s="94"/>
      <c r="FUX65" s="94"/>
      <c r="FUY65" s="94"/>
      <c r="FUZ65" s="94"/>
      <c r="FVA65" s="94"/>
      <c r="FVB65" s="94"/>
      <c r="FVC65" s="94"/>
      <c r="FVD65" s="94"/>
      <c r="FVE65" s="94"/>
      <c r="FVF65" s="94"/>
      <c r="FVG65" s="94"/>
      <c r="FVH65" s="94"/>
      <c r="FVI65" s="94"/>
      <c r="FVJ65" s="94"/>
      <c r="FVK65" s="94"/>
      <c r="FVL65" s="94"/>
      <c r="FVM65" s="94"/>
      <c r="FVN65" s="94"/>
      <c r="FVO65" s="94"/>
      <c r="FVP65" s="94"/>
      <c r="FVQ65" s="94"/>
      <c r="FVR65" s="94"/>
      <c r="FVS65" s="94"/>
      <c r="FVT65" s="94"/>
      <c r="FVU65" s="94"/>
      <c r="FVV65" s="94"/>
      <c r="FVW65" s="94"/>
      <c r="FVX65" s="94"/>
      <c r="FVY65" s="94"/>
      <c r="FVZ65" s="94"/>
      <c r="FWA65" s="94"/>
      <c r="FWB65" s="94"/>
      <c r="FWC65" s="94"/>
      <c r="FWD65" s="94"/>
      <c r="FWE65" s="94"/>
      <c r="FWF65" s="94"/>
      <c r="FWG65" s="94"/>
      <c r="FWH65" s="94"/>
      <c r="FWI65" s="94"/>
      <c r="FWJ65" s="94"/>
      <c r="FWK65" s="94"/>
      <c r="FWL65" s="94"/>
      <c r="FWM65" s="94"/>
      <c r="FWN65" s="94"/>
      <c r="FWO65" s="94"/>
      <c r="FWP65" s="94"/>
      <c r="FWQ65" s="94"/>
      <c r="FWR65" s="94"/>
      <c r="FWS65" s="94"/>
      <c r="FWT65" s="94"/>
      <c r="FWU65" s="94"/>
      <c r="FWV65" s="94"/>
      <c r="FWW65" s="94"/>
      <c r="FWX65" s="94"/>
      <c r="FWY65" s="94"/>
      <c r="FWZ65" s="94"/>
      <c r="FXA65" s="94"/>
      <c r="FXB65" s="94"/>
      <c r="FXC65" s="94"/>
      <c r="FXD65" s="94"/>
      <c r="FXE65" s="94"/>
      <c r="FXF65" s="94"/>
      <c r="FXG65" s="94"/>
      <c r="FXH65" s="94"/>
      <c r="FXI65" s="94"/>
      <c r="FXJ65" s="94"/>
      <c r="FXK65" s="94"/>
      <c r="FXL65" s="94"/>
      <c r="FXM65" s="94"/>
      <c r="FXN65" s="94"/>
      <c r="FXO65" s="94"/>
      <c r="FXP65" s="94"/>
      <c r="FXQ65" s="94"/>
      <c r="FXR65" s="94"/>
      <c r="FXS65" s="94"/>
      <c r="FXT65" s="94"/>
      <c r="FXU65" s="94"/>
      <c r="FXV65" s="94"/>
      <c r="FXW65" s="94"/>
      <c r="FXX65" s="94"/>
      <c r="FXY65" s="94"/>
      <c r="FXZ65" s="94"/>
      <c r="FYA65" s="94"/>
      <c r="FYB65" s="94"/>
      <c r="FYC65" s="94"/>
      <c r="FYD65" s="94"/>
      <c r="FYE65" s="94"/>
      <c r="FYF65" s="94"/>
      <c r="FYG65" s="94"/>
      <c r="FYH65" s="94"/>
      <c r="FYI65" s="94"/>
      <c r="FYJ65" s="94"/>
      <c r="FYK65" s="94"/>
      <c r="FYL65" s="94"/>
      <c r="FYM65" s="94"/>
      <c r="FYN65" s="94"/>
      <c r="FYO65" s="94"/>
      <c r="FYP65" s="94"/>
      <c r="FYQ65" s="94"/>
      <c r="FYR65" s="94"/>
      <c r="FYS65" s="94"/>
      <c r="FYT65" s="94"/>
      <c r="FYU65" s="94"/>
      <c r="FYV65" s="94"/>
      <c r="FYW65" s="94"/>
      <c r="FYX65" s="94"/>
      <c r="FYY65" s="94"/>
      <c r="FYZ65" s="94"/>
      <c r="FZA65" s="94"/>
      <c r="FZB65" s="94"/>
      <c r="FZC65" s="94"/>
      <c r="FZD65" s="94"/>
      <c r="FZE65" s="94"/>
      <c r="FZF65" s="94"/>
      <c r="FZG65" s="94"/>
      <c r="FZH65" s="94"/>
      <c r="FZI65" s="94"/>
      <c r="FZJ65" s="94"/>
      <c r="FZK65" s="94"/>
      <c r="FZL65" s="94"/>
      <c r="FZM65" s="94"/>
      <c r="FZN65" s="94"/>
      <c r="FZO65" s="94"/>
      <c r="FZP65" s="94"/>
      <c r="FZQ65" s="94"/>
      <c r="FZR65" s="94"/>
      <c r="FZS65" s="94"/>
      <c r="FZT65" s="94"/>
      <c r="FZU65" s="94"/>
      <c r="FZV65" s="94"/>
      <c r="FZW65" s="94"/>
      <c r="FZX65" s="94"/>
      <c r="FZY65" s="94"/>
      <c r="FZZ65" s="94"/>
      <c r="GAA65" s="94"/>
      <c r="GAB65" s="94"/>
      <c r="GAC65" s="94"/>
      <c r="GAD65" s="94"/>
      <c r="GAE65" s="94"/>
      <c r="GAF65" s="94"/>
      <c r="GAG65" s="94"/>
      <c r="GAH65" s="94"/>
      <c r="GAI65" s="94"/>
      <c r="GAJ65" s="94"/>
      <c r="GAK65" s="94"/>
      <c r="GAL65" s="94"/>
      <c r="GAM65" s="94"/>
      <c r="GAN65" s="94"/>
      <c r="GAO65" s="94"/>
      <c r="GAP65" s="94"/>
      <c r="GAQ65" s="94"/>
      <c r="GAR65" s="94"/>
      <c r="GAS65" s="94"/>
      <c r="GAT65" s="94"/>
      <c r="GAU65" s="94"/>
      <c r="GAV65" s="94"/>
      <c r="GAW65" s="94"/>
      <c r="GAX65" s="94"/>
      <c r="GAY65" s="94"/>
      <c r="GAZ65" s="94"/>
      <c r="GBA65" s="94"/>
      <c r="GBB65" s="94"/>
      <c r="GBC65" s="94"/>
      <c r="GBD65" s="94"/>
      <c r="GBE65" s="94"/>
      <c r="GBF65" s="94"/>
      <c r="GBG65" s="94"/>
      <c r="GBH65" s="94"/>
      <c r="GBI65" s="94"/>
      <c r="GBJ65" s="94"/>
      <c r="GBK65" s="94"/>
      <c r="GBL65" s="94"/>
      <c r="GBM65" s="94"/>
      <c r="GBN65" s="94"/>
      <c r="GBO65" s="94"/>
      <c r="GBP65" s="94"/>
      <c r="GBQ65" s="94"/>
      <c r="GBR65" s="94"/>
      <c r="GBS65" s="94"/>
      <c r="GBT65" s="94"/>
      <c r="GBU65" s="94"/>
      <c r="GBV65" s="94"/>
      <c r="GBW65" s="94"/>
      <c r="GBX65" s="94"/>
      <c r="GBY65" s="94"/>
      <c r="GBZ65" s="94"/>
      <c r="GCA65" s="94"/>
      <c r="GCB65" s="94"/>
      <c r="GCC65" s="94"/>
      <c r="GCD65" s="94"/>
      <c r="GCE65" s="94"/>
      <c r="GCF65" s="94"/>
      <c r="GCG65" s="94"/>
      <c r="GCH65" s="94"/>
      <c r="GCI65" s="94"/>
      <c r="GCJ65" s="94"/>
      <c r="GCK65" s="94"/>
      <c r="GCL65" s="94"/>
      <c r="GCM65" s="94"/>
      <c r="GCN65" s="94"/>
      <c r="GCO65" s="94"/>
      <c r="GCP65" s="94"/>
      <c r="GCQ65" s="94"/>
      <c r="GCR65" s="94"/>
      <c r="GCS65" s="94"/>
      <c r="GCT65" s="94"/>
      <c r="GCU65" s="94"/>
      <c r="GCV65" s="94"/>
      <c r="GCW65" s="94"/>
      <c r="GCX65" s="94"/>
      <c r="GCY65" s="94"/>
      <c r="GCZ65" s="94"/>
      <c r="GDA65" s="94"/>
      <c r="GDB65" s="94"/>
      <c r="GDC65" s="94"/>
      <c r="GDD65" s="94"/>
      <c r="GDE65" s="94"/>
      <c r="GDF65" s="94"/>
      <c r="GDG65" s="94"/>
      <c r="GDH65" s="94"/>
      <c r="GDI65" s="94"/>
      <c r="GDJ65" s="94"/>
      <c r="GDK65" s="94"/>
      <c r="GDL65" s="94"/>
      <c r="GDM65" s="94"/>
      <c r="GDN65" s="94"/>
      <c r="GDO65" s="94"/>
      <c r="GDP65" s="94"/>
      <c r="GDQ65" s="94"/>
      <c r="GDR65" s="94"/>
      <c r="GDS65" s="94"/>
      <c r="GDT65" s="94"/>
      <c r="GDU65" s="94"/>
      <c r="GDV65" s="94"/>
      <c r="GDW65" s="94"/>
      <c r="GDX65" s="94"/>
      <c r="GDY65" s="94"/>
      <c r="GDZ65" s="94"/>
      <c r="GEA65" s="94"/>
      <c r="GEB65" s="94"/>
      <c r="GEC65" s="94"/>
      <c r="GED65" s="94"/>
      <c r="GEE65" s="94"/>
      <c r="GEF65" s="94"/>
      <c r="GEG65" s="94"/>
      <c r="GEH65" s="94"/>
      <c r="GEI65" s="94"/>
      <c r="GEJ65" s="94"/>
      <c r="GEK65" s="94"/>
      <c r="GEL65" s="94"/>
      <c r="GEM65" s="94"/>
      <c r="GEN65" s="94"/>
      <c r="GEO65" s="94"/>
      <c r="GEP65" s="94"/>
      <c r="GEQ65" s="94"/>
      <c r="GER65" s="94"/>
      <c r="GES65" s="94"/>
      <c r="GET65" s="94"/>
      <c r="GEU65" s="94"/>
      <c r="GEV65" s="94"/>
      <c r="GEW65" s="94"/>
      <c r="GEX65" s="94"/>
      <c r="GEY65" s="94"/>
      <c r="GEZ65" s="94"/>
      <c r="GFA65" s="94"/>
      <c r="GFB65" s="94"/>
      <c r="GFC65" s="94"/>
      <c r="GFD65" s="94"/>
      <c r="GFE65" s="94"/>
      <c r="GFF65" s="94"/>
      <c r="GFG65" s="94"/>
      <c r="GFH65" s="94"/>
      <c r="GFI65" s="94"/>
      <c r="GFJ65" s="94"/>
      <c r="GFK65" s="94"/>
      <c r="GFL65" s="94"/>
      <c r="GFM65" s="94"/>
      <c r="GFN65" s="94"/>
      <c r="GFO65" s="94"/>
      <c r="GFP65" s="94"/>
      <c r="GFQ65" s="94"/>
      <c r="GFR65" s="94"/>
      <c r="GFS65" s="94"/>
      <c r="GFT65" s="94"/>
      <c r="GFU65" s="94"/>
      <c r="GFV65" s="94"/>
      <c r="GFW65" s="94"/>
      <c r="GFX65" s="94"/>
      <c r="GFY65" s="94"/>
      <c r="GFZ65" s="94"/>
      <c r="GGA65" s="94"/>
      <c r="GGB65" s="94"/>
      <c r="GGC65" s="94"/>
      <c r="GGD65" s="94"/>
      <c r="GGE65" s="94"/>
      <c r="GGF65" s="94"/>
      <c r="GGG65" s="94"/>
      <c r="GGH65" s="94"/>
      <c r="GGI65" s="94"/>
      <c r="GGJ65" s="94"/>
      <c r="GGK65" s="94"/>
      <c r="GGL65" s="94"/>
      <c r="GGM65" s="94"/>
      <c r="GGN65" s="94"/>
      <c r="GGO65" s="94"/>
      <c r="GGP65" s="94"/>
      <c r="GGQ65" s="94"/>
      <c r="GGR65" s="94"/>
      <c r="GGS65" s="94"/>
      <c r="GGT65" s="94"/>
      <c r="GGU65" s="94"/>
      <c r="GGV65" s="94"/>
      <c r="GGW65" s="94"/>
      <c r="GGX65" s="94"/>
      <c r="GGY65" s="94"/>
      <c r="GGZ65" s="94"/>
      <c r="GHA65" s="94"/>
      <c r="GHB65" s="94"/>
      <c r="GHC65" s="94"/>
      <c r="GHD65" s="94"/>
      <c r="GHE65" s="94"/>
      <c r="GHF65" s="94"/>
      <c r="GHG65" s="94"/>
      <c r="GHH65" s="94"/>
      <c r="GHI65" s="94"/>
      <c r="GHJ65" s="94"/>
      <c r="GHK65" s="94"/>
      <c r="GHL65" s="94"/>
      <c r="GHM65" s="94"/>
      <c r="GHN65" s="94"/>
      <c r="GHO65" s="94"/>
      <c r="GHP65" s="94"/>
      <c r="GHQ65" s="94"/>
      <c r="GHR65" s="94"/>
      <c r="GHS65" s="94"/>
      <c r="GHT65" s="94"/>
      <c r="GHU65" s="94"/>
      <c r="GHV65" s="94"/>
      <c r="GHW65" s="94"/>
      <c r="GHX65" s="94"/>
      <c r="GHY65" s="94"/>
      <c r="GHZ65" s="94"/>
      <c r="GIA65" s="94"/>
      <c r="GIB65" s="94"/>
      <c r="GIC65" s="94"/>
      <c r="GID65" s="94"/>
      <c r="GIE65" s="94"/>
      <c r="GIF65" s="94"/>
      <c r="GIG65" s="94"/>
      <c r="GIH65" s="94"/>
      <c r="GII65" s="94"/>
      <c r="GIJ65" s="94"/>
      <c r="GIK65" s="94"/>
      <c r="GIL65" s="94"/>
      <c r="GIM65" s="94"/>
      <c r="GIN65" s="94"/>
      <c r="GIO65" s="94"/>
      <c r="GIP65" s="94"/>
      <c r="GIQ65" s="94"/>
      <c r="GIR65" s="94"/>
      <c r="GIS65" s="94"/>
      <c r="GIT65" s="94"/>
      <c r="GIU65" s="94"/>
      <c r="GIV65" s="94"/>
      <c r="GIW65" s="94"/>
      <c r="GIX65" s="94"/>
      <c r="GIY65" s="94"/>
      <c r="GIZ65" s="94"/>
      <c r="GJA65" s="94"/>
      <c r="GJB65" s="94"/>
      <c r="GJC65" s="94"/>
      <c r="GJD65" s="94"/>
      <c r="GJE65" s="94"/>
      <c r="GJF65" s="94"/>
      <c r="GJG65" s="94"/>
      <c r="GJH65" s="94"/>
      <c r="GJI65" s="94"/>
      <c r="GJJ65" s="94"/>
      <c r="GJK65" s="94"/>
      <c r="GJL65" s="94"/>
      <c r="GJM65" s="94"/>
      <c r="GJN65" s="94"/>
      <c r="GJO65" s="94"/>
      <c r="GJP65" s="94"/>
      <c r="GJQ65" s="94"/>
      <c r="GJR65" s="94"/>
      <c r="GJS65" s="94"/>
      <c r="GJT65" s="94"/>
      <c r="GJU65" s="94"/>
      <c r="GJV65" s="94"/>
      <c r="GJW65" s="94"/>
      <c r="GJX65" s="94"/>
      <c r="GJY65" s="94"/>
      <c r="GJZ65" s="94"/>
      <c r="GKA65" s="94"/>
      <c r="GKB65" s="94"/>
      <c r="GKC65" s="94"/>
      <c r="GKD65" s="94"/>
      <c r="GKE65" s="94"/>
      <c r="GKF65" s="94"/>
      <c r="GKG65" s="94"/>
      <c r="GKH65" s="94"/>
      <c r="GKI65" s="94"/>
      <c r="GKJ65" s="94"/>
      <c r="GKK65" s="94"/>
      <c r="GKL65" s="94"/>
      <c r="GKM65" s="94"/>
      <c r="GKN65" s="94"/>
      <c r="GKO65" s="94"/>
      <c r="GKP65" s="94"/>
      <c r="GKQ65" s="94"/>
      <c r="GKR65" s="94"/>
      <c r="GKS65" s="94"/>
      <c r="GKT65" s="94"/>
      <c r="GKU65" s="94"/>
      <c r="GKV65" s="94"/>
      <c r="GKW65" s="94"/>
      <c r="GKX65" s="94"/>
      <c r="GKY65" s="94"/>
      <c r="GKZ65" s="94"/>
      <c r="GLA65" s="94"/>
      <c r="GLB65" s="94"/>
      <c r="GLC65" s="94"/>
      <c r="GLD65" s="94"/>
      <c r="GLE65" s="94"/>
      <c r="GLF65" s="94"/>
      <c r="GLG65" s="94"/>
      <c r="GLH65" s="94"/>
      <c r="GLI65" s="94"/>
      <c r="GLJ65" s="94"/>
      <c r="GLK65" s="94"/>
      <c r="GLL65" s="94"/>
      <c r="GLM65" s="94"/>
      <c r="GLN65" s="94"/>
      <c r="GLO65" s="94"/>
      <c r="GLP65" s="94"/>
      <c r="GLQ65" s="94"/>
      <c r="GLR65" s="94"/>
      <c r="GLS65" s="94"/>
      <c r="GLT65" s="94"/>
      <c r="GLU65" s="94"/>
      <c r="GLV65" s="94"/>
      <c r="GLW65" s="94"/>
      <c r="GLX65" s="94"/>
      <c r="GLY65" s="94"/>
      <c r="GLZ65" s="94"/>
      <c r="GMA65" s="94"/>
      <c r="GMB65" s="94"/>
      <c r="GMC65" s="94"/>
      <c r="GMD65" s="94"/>
      <c r="GME65" s="94"/>
      <c r="GMF65" s="94"/>
      <c r="GMG65" s="94"/>
      <c r="GMH65" s="94"/>
      <c r="GMI65" s="94"/>
      <c r="GMJ65" s="94"/>
      <c r="GMK65" s="94"/>
      <c r="GML65" s="94"/>
      <c r="GMM65" s="94"/>
      <c r="GMN65" s="94"/>
      <c r="GMO65" s="94"/>
      <c r="GMP65" s="94"/>
      <c r="GMQ65" s="94"/>
      <c r="GMR65" s="94"/>
      <c r="GMS65" s="94"/>
      <c r="GMT65" s="94"/>
      <c r="GMU65" s="94"/>
      <c r="GMV65" s="94"/>
      <c r="GMW65" s="94"/>
      <c r="GMX65" s="94"/>
      <c r="GMY65" s="94"/>
      <c r="GMZ65" s="94"/>
      <c r="GNA65" s="94"/>
      <c r="GNB65" s="94"/>
      <c r="GNC65" s="94"/>
      <c r="GND65" s="94"/>
      <c r="GNE65" s="94"/>
      <c r="GNF65" s="94"/>
      <c r="GNG65" s="94"/>
      <c r="GNH65" s="94"/>
      <c r="GNI65" s="94"/>
      <c r="GNJ65" s="94"/>
      <c r="GNK65" s="94"/>
      <c r="GNL65" s="94"/>
      <c r="GNM65" s="94"/>
      <c r="GNN65" s="94"/>
      <c r="GNO65" s="94"/>
      <c r="GNP65" s="94"/>
      <c r="GNQ65" s="94"/>
      <c r="GNR65" s="94"/>
      <c r="GNS65" s="94"/>
      <c r="GNT65" s="94"/>
      <c r="GNU65" s="94"/>
      <c r="GNV65" s="94"/>
      <c r="GNW65" s="94"/>
      <c r="GNX65" s="94"/>
      <c r="GNY65" s="94"/>
      <c r="GNZ65" s="94"/>
      <c r="GOA65" s="94"/>
      <c r="GOB65" s="94"/>
      <c r="GOC65" s="94"/>
      <c r="GOD65" s="94"/>
      <c r="GOE65" s="94"/>
      <c r="GOF65" s="94"/>
      <c r="GOG65" s="94"/>
      <c r="GOH65" s="94"/>
      <c r="GOI65" s="94"/>
      <c r="GOJ65" s="94"/>
      <c r="GOK65" s="94"/>
      <c r="GOL65" s="94"/>
      <c r="GOM65" s="94"/>
      <c r="GON65" s="94"/>
      <c r="GOO65" s="94"/>
      <c r="GOP65" s="94"/>
      <c r="GOQ65" s="94"/>
      <c r="GOR65" s="94"/>
      <c r="GOS65" s="94"/>
      <c r="GOT65" s="94"/>
      <c r="GOU65" s="94"/>
      <c r="GOV65" s="94"/>
      <c r="GOW65" s="94"/>
      <c r="GOX65" s="94"/>
      <c r="GOY65" s="94"/>
      <c r="GOZ65" s="94"/>
      <c r="GPA65" s="94"/>
      <c r="GPB65" s="94"/>
      <c r="GPC65" s="94"/>
      <c r="GPD65" s="94"/>
      <c r="GPE65" s="94"/>
      <c r="GPF65" s="94"/>
      <c r="GPG65" s="94"/>
      <c r="GPH65" s="94"/>
      <c r="GPI65" s="94"/>
      <c r="GPJ65" s="94"/>
      <c r="GPK65" s="94"/>
      <c r="GPL65" s="94"/>
      <c r="GPM65" s="94"/>
      <c r="GPN65" s="94"/>
      <c r="GPO65" s="94"/>
      <c r="GPP65" s="94"/>
      <c r="GPQ65" s="94"/>
      <c r="GPR65" s="94"/>
      <c r="GPS65" s="94"/>
      <c r="GPT65" s="94"/>
      <c r="GPU65" s="94"/>
      <c r="GPV65" s="94"/>
      <c r="GPW65" s="94"/>
      <c r="GPX65" s="94"/>
      <c r="GPY65" s="94"/>
      <c r="GPZ65" s="94"/>
      <c r="GQA65" s="94"/>
      <c r="GQB65" s="94"/>
      <c r="GQC65" s="94"/>
      <c r="GQD65" s="94"/>
      <c r="GQE65" s="94"/>
      <c r="GQF65" s="94"/>
      <c r="GQG65" s="94"/>
      <c r="GQH65" s="94"/>
      <c r="GQI65" s="94"/>
      <c r="GQJ65" s="94"/>
      <c r="GQK65" s="94"/>
      <c r="GQL65" s="94"/>
      <c r="GQM65" s="94"/>
      <c r="GQN65" s="94"/>
      <c r="GQO65" s="94"/>
      <c r="GQP65" s="94"/>
      <c r="GQQ65" s="94"/>
      <c r="GQR65" s="94"/>
      <c r="GQS65" s="94"/>
      <c r="GQT65" s="94"/>
      <c r="GQU65" s="94"/>
      <c r="GQV65" s="94"/>
      <c r="GQW65" s="94"/>
      <c r="GQX65" s="94"/>
      <c r="GQY65" s="94"/>
      <c r="GQZ65" s="94"/>
      <c r="GRA65" s="94"/>
      <c r="GRB65" s="94"/>
      <c r="GRC65" s="94"/>
      <c r="GRD65" s="94"/>
      <c r="GRE65" s="94"/>
      <c r="GRF65" s="94"/>
      <c r="GRG65" s="94"/>
      <c r="GRH65" s="94"/>
      <c r="GRI65" s="94"/>
      <c r="GRJ65" s="94"/>
      <c r="GRK65" s="94"/>
      <c r="GRL65" s="94"/>
      <c r="GRM65" s="94"/>
      <c r="GRN65" s="94"/>
      <c r="GRO65" s="94"/>
      <c r="GRP65" s="94"/>
      <c r="GRQ65" s="94"/>
      <c r="GRR65" s="94"/>
      <c r="GRS65" s="94"/>
      <c r="GRT65" s="94"/>
      <c r="GRU65" s="94"/>
      <c r="GRV65" s="94"/>
      <c r="GRW65" s="94"/>
      <c r="GRX65" s="94"/>
      <c r="GRY65" s="94"/>
      <c r="GRZ65" s="94"/>
      <c r="GSA65" s="94"/>
      <c r="GSB65" s="94"/>
      <c r="GSC65" s="94"/>
      <c r="GSD65" s="94"/>
      <c r="GSE65" s="94"/>
      <c r="GSF65" s="94"/>
      <c r="GSG65" s="94"/>
      <c r="GSH65" s="94"/>
      <c r="GSI65" s="94"/>
      <c r="GSJ65" s="94"/>
      <c r="GSK65" s="94"/>
      <c r="GSL65" s="94"/>
      <c r="GSM65" s="94"/>
      <c r="GSN65" s="94"/>
      <c r="GSO65" s="94"/>
      <c r="GSP65" s="94"/>
      <c r="GSQ65" s="94"/>
      <c r="GSR65" s="94"/>
      <c r="GSS65" s="94"/>
      <c r="GST65" s="94"/>
      <c r="GSU65" s="94"/>
      <c r="GSV65" s="94"/>
      <c r="GSW65" s="94"/>
      <c r="GSX65" s="94"/>
      <c r="GSY65" s="94"/>
      <c r="GSZ65" s="94"/>
      <c r="GTA65" s="94"/>
      <c r="GTB65" s="94"/>
      <c r="GTC65" s="94"/>
      <c r="GTD65" s="94"/>
      <c r="GTE65" s="94"/>
      <c r="GTF65" s="94"/>
      <c r="GTG65" s="94"/>
      <c r="GTH65" s="94"/>
      <c r="GTI65" s="94"/>
      <c r="GTJ65" s="94"/>
      <c r="GTK65" s="94"/>
      <c r="GTL65" s="94"/>
      <c r="GTM65" s="94"/>
      <c r="GTN65" s="94"/>
      <c r="GTO65" s="94"/>
      <c r="GTP65" s="94"/>
      <c r="GTQ65" s="94"/>
      <c r="GTR65" s="94"/>
      <c r="GTS65" s="94"/>
      <c r="GTT65" s="94"/>
      <c r="GTU65" s="94"/>
      <c r="GTV65" s="94"/>
      <c r="GTW65" s="94"/>
      <c r="GTX65" s="94"/>
      <c r="GTY65" s="94"/>
      <c r="GTZ65" s="94"/>
      <c r="GUA65" s="94"/>
      <c r="GUB65" s="94"/>
      <c r="GUC65" s="94"/>
      <c r="GUD65" s="94"/>
      <c r="GUE65" s="94"/>
      <c r="GUF65" s="94"/>
      <c r="GUG65" s="94"/>
      <c r="GUH65" s="94"/>
      <c r="GUI65" s="94"/>
      <c r="GUJ65" s="94"/>
      <c r="GUK65" s="94"/>
      <c r="GUL65" s="94"/>
      <c r="GUM65" s="94"/>
      <c r="GUN65" s="94"/>
      <c r="GUO65" s="94"/>
      <c r="GUP65" s="94"/>
      <c r="GUQ65" s="94"/>
      <c r="GUR65" s="94"/>
      <c r="GUS65" s="94"/>
      <c r="GUT65" s="94"/>
      <c r="GUU65" s="94"/>
      <c r="GUV65" s="94"/>
      <c r="GUW65" s="94"/>
      <c r="GUX65" s="94"/>
      <c r="GUY65" s="94"/>
      <c r="GUZ65" s="94"/>
      <c r="GVA65" s="94"/>
      <c r="GVB65" s="94"/>
      <c r="GVC65" s="94"/>
      <c r="GVD65" s="94"/>
      <c r="GVE65" s="94"/>
      <c r="GVF65" s="94"/>
      <c r="GVG65" s="94"/>
      <c r="GVH65" s="94"/>
      <c r="GVI65" s="94"/>
      <c r="GVJ65" s="94"/>
      <c r="GVK65" s="94"/>
      <c r="GVL65" s="94"/>
      <c r="GVM65" s="94"/>
      <c r="GVN65" s="94"/>
      <c r="GVO65" s="94"/>
      <c r="GVP65" s="94"/>
      <c r="GVQ65" s="94"/>
      <c r="GVR65" s="94"/>
      <c r="GVS65" s="94"/>
      <c r="GVT65" s="94"/>
      <c r="GVU65" s="94"/>
      <c r="GVV65" s="94"/>
      <c r="GVW65" s="94"/>
      <c r="GVX65" s="94"/>
      <c r="GVY65" s="94"/>
      <c r="GVZ65" s="94"/>
      <c r="GWA65" s="94"/>
      <c r="GWB65" s="94"/>
      <c r="GWC65" s="94"/>
      <c r="GWD65" s="94"/>
      <c r="GWE65" s="94"/>
      <c r="GWF65" s="94"/>
      <c r="GWG65" s="94"/>
      <c r="GWH65" s="94"/>
      <c r="GWI65" s="94"/>
      <c r="GWJ65" s="94"/>
      <c r="GWK65" s="94"/>
      <c r="GWL65" s="94"/>
      <c r="GWM65" s="94"/>
      <c r="GWN65" s="94"/>
      <c r="GWO65" s="94"/>
      <c r="GWP65" s="94"/>
      <c r="GWQ65" s="94"/>
      <c r="GWR65" s="94"/>
      <c r="GWS65" s="94"/>
      <c r="GWT65" s="94"/>
      <c r="GWU65" s="94"/>
      <c r="GWV65" s="94"/>
      <c r="GWW65" s="94"/>
      <c r="GWX65" s="94"/>
      <c r="GWY65" s="94"/>
      <c r="GWZ65" s="94"/>
      <c r="GXA65" s="94"/>
      <c r="GXB65" s="94"/>
      <c r="GXC65" s="94"/>
      <c r="GXD65" s="94"/>
      <c r="GXE65" s="94"/>
      <c r="GXF65" s="94"/>
      <c r="GXG65" s="94"/>
      <c r="GXH65" s="94"/>
      <c r="GXI65" s="94"/>
      <c r="GXJ65" s="94"/>
      <c r="GXK65" s="94"/>
      <c r="GXL65" s="94"/>
      <c r="GXM65" s="94"/>
      <c r="GXN65" s="94"/>
      <c r="GXO65" s="94"/>
      <c r="GXP65" s="94"/>
      <c r="GXQ65" s="94"/>
      <c r="GXR65" s="94"/>
      <c r="GXS65" s="94"/>
      <c r="GXT65" s="94"/>
      <c r="GXU65" s="94"/>
      <c r="GXV65" s="94"/>
      <c r="GXW65" s="94"/>
      <c r="GXX65" s="94"/>
      <c r="GXY65" s="94"/>
      <c r="GXZ65" s="94"/>
      <c r="GYA65" s="94"/>
      <c r="GYB65" s="94"/>
      <c r="GYC65" s="94"/>
      <c r="GYD65" s="94"/>
      <c r="GYE65" s="94"/>
      <c r="GYF65" s="94"/>
      <c r="GYG65" s="94"/>
      <c r="GYH65" s="94"/>
      <c r="GYI65" s="94"/>
      <c r="GYJ65" s="94"/>
      <c r="GYK65" s="94"/>
      <c r="GYL65" s="94"/>
      <c r="GYM65" s="94"/>
      <c r="GYN65" s="94"/>
      <c r="GYO65" s="94"/>
      <c r="GYP65" s="94"/>
      <c r="GYQ65" s="94"/>
      <c r="GYR65" s="94"/>
      <c r="GYS65" s="94"/>
      <c r="GYT65" s="94"/>
      <c r="GYU65" s="94"/>
      <c r="GYV65" s="94"/>
      <c r="GYW65" s="94"/>
      <c r="GYX65" s="94"/>
      <c r="GYY65" s="94"/>
      <c r="GYZ65" s="94"/>
      <c r="GZA65" s="94"/>
      <c r="GZB65" s="94"/>
      <c r="GZC65" s="94"/>
      <c r="GZD65" s="94"/>
      <c r="GZE65" s="94"/>
      <c r="GZF65" s="94"/>
      <c r="GZG65" s="94"/>
      <c r="GZH65" s="94"/>
      <c r="GZI65" s="94"/>
      <c r="GZJ65" s="94"/>
      <c r="GZK65" s="94"/>
      <c r="GZL65" s="94"/>
      <c r="GZM65" s="94"/>
      <c r="GZN65" s="94"/>
      <c r="GZO65" s="94"/>
      <c r="GZP65" s="94"/>
      <c r="GZQ65" s="94"/>
      <c r="GZR65" s="94"/>
      <c r="GZS65" s="94"/>
      <c r="GZT65" s="94"/>
      <c r="GZU65" s="94"/>
      <c r="GZV65" s="94"/>
      <c r="GZW65" s="94"/>
      <c r="GZX65" s="94"/>
      <c r="GZY65" s="94"/>
      <c r="GZZ65" s="94"/>
      <c r="HAA65" s="94"/>
      <c r="HAB65" s="94"/>
      <c r="HAC65" s="94"/>
      <c r="HAD65" s="94"/>
      <c r="HAE65" s="94"/>
      <c r="HAF65" s="94"/>
      <c r="HAG65" s="94"/>
      <c r="HAH65" s="94"/>
      <c r="HAI65" s="94"/>
      <c r="HAJ65" s="94"/>
      <c r="HAK65" s="94"/>
      <c r="HAL65" s="94"/>
      <c r="HAM65" s="94"/>
      <c r="HAN65" s="94"/>
      <c r="HAO65" s="94"/>
      <c r="HAP65" s="94"/>
      <c r="HAQ65" s="94"/>
      <c r="HAR65" s="94"/>
      <c r="HAS65" s="94"/>
      <c r="HAT65" s="94"/>
      <c r="HAU65" s="94"/>
      <c r="HAV65" s="94"/>
      <c r="HAW65" s="94"/>
      <c r="HAX65" s="94"/>
      <c r="HAY65" s="94"/>
      <c r="HAZ65" s="94"/>
      <c r="HBA65" s="94"/>
      <c r="HBB65" s="94"/>
      <c r="HBC65" s="94"/>
      <c r="HBD65" s="94"/>
      <c r="HBE65" s="94"/>
      <c r="HBF65" s="94"/>
      <c r="HBG65" s="94"/>
      <c r="HBH65" s="94"/>
      <c r="HBI65" s="94"/>
      <c r="HBJ65" s="94"/>
      <c r="HBK65" s="94"/>
      <c r="HBL65" s="94"/>
      <c r="HBM65" s="94"/>
      <c r="HBN65" s="94"/>
      <c r="HBO65" s="94"/>
      <c r="HBP65" s="94"/>
      <c r="HBQ65" s="94"/>
      <c r="HBR65" s="94"/>
      <c r="HBS65" s="94"/>
      <c r="HBT65" s="94"/>
      <c r="HBU65" s="94"/>
      <c r="HBV65" s="94"/>
      <c r="HBW65" s="94"/>
      <c r="HBX65" s="94"/>
      <c r="HBY65" s="94"/>
      <c r="HBZ65" s="94"/>
      <c r="HCA65" s="94"/>
      <c r="HCB65" s="94"/>
      <c r="HCC65" s="94"/>
      <c r="HCD65" s="94"/>
      <c r="HCE65" s="94"/>
      <c r="HCF65" s="94"/>
      <c r="HCG65" s="94"/>
      <c r="HCH65" s="94"/>
      <c r="HCI65" s="94"/>
      <c r="HCJ65" s="94"/>
      <c r="HCK65" s="94"/>
      <c r="HCL65" s="94"/>
      <c r="HCM65" s="94"/>
      <c r="HCN65" s="94"/>
      <c r="HCO65" s="94"/>
      <c r="HCP65" s="94"/>
      <c r="HCQ65" s="94"/>
      <c r="HCR65" s="94"/>
      <c r="HCS65" s="94"/>
      <c r="HCT65" s="94"/>
      <c r="HCU65" s="94"/>
      <c r="HCV65" s="94"/>
      <c r="HCW65" s="94"/>
      <c r="HCX65" s="94"/>
      <c r="HCY65" s="94"/>
      <c r="HCZ65" s="94"/>
      <c r="HDA65" s="94"/>
      <c r="HDB65" s="94"/>
      <c r="HDC65" s="94"/>
      <c r="HDD65" s="94"/>
      <c r="HDE65" s="94"/>
      <c r="HDF65" s="94"/>
      <c r="HDG65" s="94"/>
      <c r="HDH65" s="94"/>
      <c r="HDI65" s="94"/>
      <c r="HDJ65" s="94"/>
      <c r="HDK65" s="94"/>
      <c r="HDL65" s="94"/>
      <c r="HDM65" s="94"/>
      <c r="HDN65" s="94"/>
      <c r="HDO65" s="94"/>
      <c r="HDP65" s="94"/>
      <c r="HDQ65" s="94"/>
      <c r="HDR65" s="94"/>
      <c r="HDS65" s="94"/>
      <c r="HDT65" s="94"/>
      <c r="HDU65" s="94"/>
      <c r="HDV65" s="94"/>
      <c r="HDW65" s="94"/>
      <c r="HDX65" s="94"/>
      <c r="HDY65" s="94"/>
      <c r="HDZ65" s="94"/>
      <c r="HEA65" s="94"/>
      <c r="HEB65" s="94"/>
      <c r="HEC65" s="94"/>
      <c r="HED65" s="94"/>
      <c r="HEE65" s="94"/>
      <c r="HEF65" s="94"/>
      <c r="HEG65" s="94"/>
      <c r="HEH65" s="94"/>
      <c r="HEI65" s="94"/>
      <c r="HEJ65" s="94"/>
      <c r="HEK65" s="94"/>
      <c r="HEL65" s="94"/>
      <c r="HEM65" s="94"/>
      <c r="HEN65" s="94"/>
      <c r="HEO65" s="94"/>
      <c r="HEP65" s="94"/>
      <c r="HEQ65" s="94"/>
      <c r="HER65" s="94"/>
      <c r="HES65" s="94"/>
      <c r="HET65" s="94"/>
      <c r="HEU65" s="94"/>
      <c r="HEV65" s="94"/>
      <c r="HEW65" s="94"/>
      <c r="HEX65" s="94"/>
      <c r="HEY65" s="94"/>
      <c r="HEZ65" s="94"/>
      <c r="HFA65" s="94"/>
      <c r="HFB65" s="94"/>
      <c r="HFC65" s="94"/>
      <c r="HFD65" s="94"/>
      <c r="HFE65" s="94"/>
      <c r="HFF65" s="94"/>
      <c r="HFG65" s="94"/>
      <c r="HFH65" s="94"/>
      <c r="HFI65" s="94"/>
      <c r="HFJ65" s="94"/>
      <c r="HFK65" s="94"/>
      <c r="HFL65" s="94"/>
      <c r="HFM65" s="94"/>
      <c r="HFN65" s="94"/>
      <c r="HFO65" s="94"/>
      <c r="HFP65" s="94"/>
      <c r="HFQ65" s="94"/>
      <c r="HFR65" s="94"/>
      <c r="HFS65" s="94"/>
      <c r="HFT65" s="94"/>
      <c r="HFU65" s="94"/>
      <c r="HFV65" s="94"/>
      <c r="HFW65" s="94"/>
      <c r="HFX65" s="94"/>
      <c r="HFY65" s="94"/>
      <c r="HFZ65" s="94"/>
      <c r="HGA65" s="94"/>
      <c r="HGB65" s="94"/>
      <c r="HGC65" s="94"/>
      <c r="HGD65" s="94"/>
      <c r="HGE65" s="94"/>
      <c r="HGF65" s="94"/>
      <c r="HGG65" s="94"/>
      <c r="HGH65" s="94"/>
      <c r="HGI65" s="94"/>
      <c r="HGJ65" s="94"/>
      <c r="HGK65" s="94"/>
      <c r="HGL65" s="94"/>
      <c r="HGM65" s="94"/>
      <c r="HGN65" s="94"/>
      <c r="HGO65" s="94"/>
      <c r="HGP65" s="94"/>
      <c r="HGQ65" s="94"/>
      <c r="HGR65" s="94"/>
      <c r="HGS65" s="94"/>
      <c r="HGT65" s="94"/>
      <c r="HGU65" s="94"/>
      <c r="HGV65" s="94"/>
      <c r="HGW65" s="94"/>
      <c r="HGX65" s="94"/>
      <c r="HGY65" s="94"/>
      <c r="HGZ65" s="94"/>
      <c r="HHA65" s="94"/>
      <c r="HHB65" s="94"/>
      <c r="HHC65" s="94"/>
      <c r="HHD65" s="94"/>
      <c r="HHE65" s="94"/>
      <c r="HHF65" s="94"/>
      <c r="HHG65" s="94"/>
      <c r="HHH65" s="94"/>
      <c r="HHI65" s="94"/>
      <c r="HHJ65" s="94"/>
      <c r="HHK65" s="94"/>
      <c r="HHL65" s="94"/>
      <c r="HHM65" s="94"/>
      <c r="HHN65" s="94"/>
      <c r="HHO65" s="94"/>
      <c r="HHP65" s="94"/>
      <c r="HHQ65" s="94"/>
      <c r="HHR65" s="94"/>
      <c r="HHS65" s="94"/>
      <c r="HHT65" s="94"/>
      <c r="HHU65" s="94"/>
      <c r="HHV65" s="94"/>
      <c r="HHW65" s="94"/>
      <c r="HHX65" s="94"/>
      <c r="HHY65" s="94"/>
      <c r="HHZ65" s="94"/>
      <c r="HIA65" s="94"/>
      <c r="HIB65" s="94"/>
      <c r="HIC65" s="94"/>
      <c r="HID65" s="94"/>
      <c r="HIE65" s="94"/>
      <c r="HIF65" s="94"/>
      <c r="HIG65" s="94"/>
      <c r="HIH65" s="94"/>
      <c r="HII65" s="94"/>
      <c r="HIJ65" s="94"/>
      <c r="HIK65" s="94"/>
      <c r="HIL65" s="94"/>
      <c r="HIM65" s="94"/>
      <c r="HIN65" s="94"/>
      <c r="HIO65" s="94"/>
      <c r="HIP65" s="94"/>
      <c r="HIQ65" s="94"/>
      <c r="HIR65" s="94"/>
      <c r="HIS65" s="94"/>
      <c r="HIT65" s="94"/>
      <c r="HIU65" s="94"/>
      <c r="HIV65" s="94"/>
      <c r="HIW65" s="94"/>
      <c r="HIX65" s="94"/>
      <c r="HIY65" s="94"/>
      <c r="HIZ65" s="94"/>
      <c r="HJA65" s="94"/>
      <c r="HJB65" s="94"/>
      <c r="HJC65" s="94"/>
      <c r="HJD65" s="94"/>
      <c r="HJE65" s="94"/>
      <c r="HJF65" s="94"/>
      <c r="HJG65" s="94"/>
      <c r="HJH65" s="94"/>
      <c r="HJI65" s="94"/>
      <c r="HJJ65" s="94"/>
      <c r="HJK65" s="94"/>
      <c r="HJL65" s="94"/>
      <c r="HJM65" s="94"/>
      <c r="HJN65" s="94"/>
      <c r="HJO65" s="94"/>
      <c r="HJP65" s="94"/>
      <c r="HJQ65" s="94"/>
      <c r="HJR65" s="94"/>
      <c r="HJS65" s="94"/>
      <c r="HJT65" s="94"/>
      <c r="HJU65" s="94"/>
      <c r="HJV65" s="94"/>
      <c r="HJW65" s="94"/>
      <c r="HJX65" s="94"/>
      <c r="HJY65" s="94"/>
      <c r="HJZ65" s="94"/>
      <c r="HKA65" s="94"/>
      <c r="HKB65" s="94"/>
      <c r="HKC65" s="94"/>
      <c r="HKD65" s="94"/>
      <c r="HKE65" s="94"/>
      <c r="HKF65" s="94"/>
      <c r="HKG65" s="94"/>
      <c r="HKH65" s="94"/>
      <c r="HKI65" s="94"/>
      <c r="HKJ65" s="94"/>
      <c r="HKK65" s="94"/>
      <c r="HKL65" s="94"/>
      <c r="HKM65" s="94"/>
      <c r="HKN65" s="94"/>
      <c r="HKO65" s="94"/>
      <c r="HKP65" s="94"/>
      <c r="HKQ65" s="94"/>
      <c r="HKR65" s="94"/>
      <c r="HKS65" s="94"/>
      <c r="HKT65" s="94"/>
      <c r="HKU65" s="94"/>
      <c r="HKV65" s="94"/>
      <c r="HKW65" s="94"/>
      <c r="HKX65" s="94"/>
      <c r="HKY65" s="94"/>
      <c r="HKZ65" s="94"/>
      <c r="HLA65" s="94"/>
      <c r="HLB65" s="94"/>
      <c r="HLC65" s="94"/>
      <c r="HLD65" s="94"/>
      <c r="HLE65" s="94"/>
      <c r="HLF65" s="94"/>
      <c r="HLG65" s="94"/>
      <c r="HLH65" s="94"/>
      <c r="HLI65" s="94"/>
      <c r="HLJ65" s="94"/>
      <c r="HLK65" s="94"/>
      <c r="HLL65" s="94"/>
      <c r="HLM65" s="94"/>
      <c r="HLN65" s="94"/>
      <c r="HLO65" s="94"/>
      <c r="HLP65" s="94"/>
      <c r="HLQ65" s="94"/>
      <c r="HLR65" s="94"/>
      <c r="HLS65" s="94"/>
      <c r="HLT65" s="94"/>
      <c r="HLU65" s="94"/>
      <c r="HLV65" s="94"/>
      <c r="HLW65" s="94"/>
      <c r="HLX65" s="94"/>
      <c r="HLY65" s="94"/>
      <c r="HLZ65" s="94"/>
      <c r="HMA65" s="94"/>
      <c r="HMB65" s="94"/>
      <c r="HMC65" s="94"/>
      <c r="HMD65" s="94"/>
      <c r="HME65" s="94"/>
      <c r="HMF65" s="94"/>
      <c r="HMG65" s="94"/>
      <c r="HMH65" s="94"/>
      <c r="HMI65" s="94"/>
      <c r="HMJ65" s="94"/>
      <c r="HMK65" s="94"/>
      <c r="HML65" s="94"/>
      <c r="HMM65" s="94"/>
      <c r="HMN65" s="94"/>
      <c r="HMO65" s="94"/>
      <c r="HMP65" s="94"/>
      <c r="HMQ65" s="94"/>
      <c r="HMR65" s="94"/>
      <c r="HMS65" s="94"/>
      <c r="HMT65" s="94"/>
      <c r="HMU65" s="94"/>
      <c r="HMV65" s="94"/>
      <c r="HMW65" s="94"/>
      <c r="HMX65" s="94"/>
      <c r="HMY65" s="94"/>
      <c r="HMZ65" s="94"/>
      <c r="HNA65" s="94"/>
      <c r="HNB65" s="94"/>
      <c r="HNC65" s="94"/>
      <c r="HND65" s="94"/>
      <c r="HNE65" s="94"/>
      <c r="HNF65" s="94"/>
      <c r="HNG65" s="94"/>
      <c r="HNH65" s="94"/>
      <c r="HNI65" s="94"/>
      <c r="HNJ65" s="94"/>
      <c r="HNK65" s="94"/>
      <c r="HNL65" s="94"/>
      <c r="HNM65" s="94"/>
      <c r="HNN65" s="94"/>
      <c r="HNO65" s="94"/>
      <c r="HNP65" s="94"/>
      <c r="HNQ65" s="94"/>
      <c r="HNR65" s="94"/>
      <c r="HNS65" s="94"/>
      <c r="HNT65" s="94"/>
      <c r="HNU65" s="94"/>
      <c r="HNV65" s="94"/>
      <c r="HNW65" s="94"/>
      <c r="HNX65" s="94"/>
      <c r="HNY65" s="94"/>
      <c r="HNZ65" s="94"/>
      <c r="HOA65" s="94"/>
      <c r="HOB65" s="94"/>
      <c r="HOC65" s="94"/>
      <c r="HOD65" s="94"/>
      <c r="HOE65" s="94"/>
      <c r="HOF65" s="94"/>
      <c r="HOG65" s="94"/>
      <c r="HOH65" s="94"/>
      <c r="HOI65" s="94"/>
      <c r="HOJ65" s="94"/>
      <c r="HOK65" s="94"/>
      <c r="HOL65" s="94"/>
      <c r="HOM65" s="94"/>
      <c r="HON65" s="94"/>
      <c r="HOO65" s="94"/>
      <c r="HOP65" s="94"/>
      <c r="HOQ65" s="94"/>
      <c r="HOR65" s="94"/>
      <c r="HOS65" s="94"/>
      <c r="HOT65" s="94"/>
      <c r="HOU65" s="94"/>
      <c r="HOV65" s="94"/>
      <c r="HOW65" s="94"/>
      <c r="HOX65" s="94"/>
      <c r="HOY65" s="94"/>
      <c r="HOZ65" s="94"/>
      <c r="HPA65" s="94"/>
      <c r="HPB65" s="94"/>
      <c r="HPC65" s="94"/>
      <c r="HPD65" s="94"/>
      <c r="HPE65" s="94"/>
      <c r="HPF65" s="94"/>
      <c r="HPG65" s="94"/>
      <c r="HPH65" s="94"/>
      <c r="HPI65" s="94"/>
      <c r="HPJ65" s="94"/>
      <c r="HPK65" s="94"/>
      <c r="HPL65" s="94"/>
      <c r="HPM65" s="94"/>
      <c r="HPN65" s="94"/>
      <c r="HPO65" s="94"/>
      <c r="HPP65" s="94"/>
      <c r="HPQ65" s="94"/>
      <c r="HPR65" s="94"/>
      <c r="HPS65" s="94"/>
      <c r="HPT65" s="94"/>
      <c r="HPU65" s="94"/>
      <c r="HPV65" s="94"/>
      <c r="HPW65" s="94"/>
      <c r="HPX65" s="94"/>
      <c r="HPY65" s="94"/>
      <c r="HPZ65" s="94"/>
      <c r="HQA65" s="94"/>
      <c r="HQB65" s="94"/>
      <c r="HQC65" s="94"/>
      <c r="HQD65" s="94"/>
      <c r="HQE65" s="94"/>
      <c r="HQF65" s="94"/>
      <c r="HQG65" s="94"/>
      <c r="HQH65" s="94"/>
      <c r="HQI65" s="94"/>
      <c r="HQJ65" s="94"/>
      <c r="HQK65" s="94"/>
      <c r="HQL65" s="94"/>
      <c r="HQM65" s="94"/>
      <c r="HQN65" s="94"/>
      <c r="HQO65" s="94"/>
      <c r="HQP65" s="94"/>
      <c r="HQQ65" s="94"/>
      <c r="HQR65" s="94"/>
      <c r="HQS65" s="94"/>
      <c r="HQT65" s="94"/>
      <c r="HQU65" s="94"/>
      <c r="HQV65" s="94"/>
      <c r="HQW65" s="94"/>
      <c r="HQX65" s="94"/>
      <c r="HQY65" s="94"/>
      <c r="HQZ65" s="94"/>
      <c r="HRA65" s="94"/>
      <c r="HRB65" s="94"/>
      <c r="HRC65" s="94"/>
      <c r="HRD65" s="94"/>
      <c r="HRE65" s="94"/>
      <c r="HRF65" s="94"/>
      <c r="HRG65" s="94"/>
      <c r="HRH65" s="94"/>
      <c r="HRI65" s="94"/>
      <c r="HRJ65" s="94"/>
      <c r="HRK65" s="94"/>
      <c r="HRL65" s="94"/>
      <c r="HRM65" s="94"/>
      <c r="HRN65" s="94"/>
      <c r="HRO65" s="94"/>
      <c r="HRP65" s="94"/>
      <c r="HRQ65" s="94"/>
      <c r="HRR65" s="94"/>
      <c r="HRS65" s="94"/>
      <c r="HRT65" s="94"/>
      <c r="HRU65" s="94"/>
      <c r="HRV65" s="94"/>
      <c r="HRW65" s="94"/>
      <c r="HRX65" s="94"/>
      <c r="HRY65" s="94"/>
      <c r="HRZ65" s="94"/>
      <c r="HSA65" s="94"/>
      <c r="HSB65" s="94"/>
      <c r="HSC65" s="94"/>
      <c r="HSD65" s="94"/>
      <c r="HSE65" s="94"/>
      <c r="HSF65" s="94"/>
      <c r="HSG65" s="94"/>
      <c r="HSH65" s="94"/>
      <c r="HSI65" s="94"/>
      <c r="HSJ65" s="94"/>
      <c r="HSK65" s="94"/>
      <c r="HSL65" s="94"/>
      <c r="HSM65" s="94"/>
      <c r="HSN65" s="94"/>
      <c r="HSO65" s="94"/>
      <c r="HSP65" s="94"/>
      <c r="HSQ65" s="94"/>
      <c r="HSR65" s="94"/>
      <c r="HSS65" s="94"/>
      <c r="HST65" s="94"/>
      <c r="HSU65" s="94"/>
      <c r="HSV65" s="94"/>
      <c r="HSW65" s="94"/>
      <c r="HSX65" s="94"/>
      <c r="HSY65" s="94"/>
      <c r="HSZ65" s="94"/>
      <c r="HTA65" s="94"/>
      <c r="HTB65" s="94"/>
      <c r="HTC65" s="94"/>
      <c r="HTD65" s="94"/>
      <c r="HTE65" s="94"/>
      <c r="HTF65" s="94"/>
      <c r="HTG65" s="94"/>
      <c r="HTH65" s="94"/>
      <c r="HTI65" s="94"/>
      <c r="HTJ65" s="94"/>
      <c r="HTK65" s="94"/>
      <c r="HTL65" s="94"/>
      <c r="HTM65" s="94"/>
      <c r="HTN65" s="94"/>
      <c r="HTO65" s="94"/>
      <c r="HTP65" s="94"/>
      <c r="HTQ65" s="94"/>
      <c r="HTR65" s="94"/>
      <c r="HTS65" s="94"/>
      <c r="HTT65" s="94"/>
      <c r="HTU65" s="94"/>
      <c r="HTV65" s="94"/>
      <c r="HTW65" s="94"/>
      <c r="HTX65" s="94"/>
      <c r="HTY65" s="94"/>
      <c r="HTZ65" s="94"/>
      <c r="HUA65" s="94"/>
      <c r="HUB65" s="94"/>
      <c r="HUC65" s="94"/>
      <c r="HUD65" s="94"/>
      <c r="HUE65" s="94"/>
      <c r="HUF65" s="94"/>
      <c r="HUG65" s="94"/>
      <c r="HUH65" s="94"/>
      <c r="HUI65" s="94"/>
      <c r="HUJ65" s="94"/>
      <c r="HUK65" s="94"/>
      <c r="HUL65" s="94"/>
      <c r="HUM65" s="94"/>
      <c r="HUN65" s="94"/>
      <c r="HUO65" s="94"/>
      <c r="HUP65" s="94"/>
      <c r="HUQ65" s="94"/>
      <c r="HUR65" s="94"/>
      <c r="HUS65" s="94"/>
      <c r="HUT65" s="94"/>
      <c r="HUU65" s="94"/>
      <c r="HUV65" s="94"/>
      <c r="HUW65" s="94"/>
      <c r="HUX65" s="94"/>
      <c r="HUY65" s="94"/>
      <c r="HUZ65" s="94"/>
      <c r="HVA65" s="94"/>
      <c r="HVB65" s="94"/>
      <c r="HVC65" s="94"/>
      <c r="HVD65" s="94"/>
      <c r="HVE65" s="94"/>
      <c r="HVF65" s="94"/>
      <c r="HVG65" s="94"/>
      <c r="HVH65" s="94"/>
      <c r="HVI65" s="94"/>
      <c r="HVJ65" s="94"/>
      <c r="HVK65" s="94"/>
      <c r="HVL65" s="94"/>
      <c r="HVM65" s="94"/>
      <c r="HVN65" s="94"/>
      <c r="HVO65" s="94"/>
      <c r="HVP65" s="94"/>
      <c r="HVQ65" s="94"/>
      <c r="HVR65" s="94"/>
      <c r="HVS65" s="94"/>
      <c r="HVT65" s="94"/>
      <c r="HVU65" s="94"/>
      <c r="HVV65" s="94"/>
      <c r="HVW65" s="94"/>
      <c r="HVX65" s="94"/>
      <c r="HVY65" s="94"/>
      <c r="HVZ65" s="94"/>
      <c r="HWA65" s="94"/>
      <c r="HWB65" s="94"/>
      <c r="HWC65" s="94"/>
      <c r="HWD65" s="94"/>
      <c r="HWE65" s="94"/>
      <c r="HWF65" s="94"/>
      <c r="HWG65" s="94"/>
      <c r="HWH65" s="94"/>
      <c r="HWI65" s="94"/>
      <c r="HWJ65" s="94"/>
      <c r="HWK65" s="94"/>
      <c r="HWL65" s="94"/>
      <c r="HWM65" s="94"/>
      <c r="HWN65" s="94"/>
      <c r="HWO65" s="94"/>
      <c r="HWP65" s="94"/>
      <c r="HWQ65" s="94"/>
      <c r="HWR65" s="94"/>
      <c r="HWS65" s="94"/>
      <c r="HWT65" s="94"/>
      <c r="HWU65" s="94"/>
      <c r="HWV65" s="94"/>
      <c r="HWW65" s="94"/>
      <c r="HWX65" s="94"/>
      <c r="HWY65" s="94"/>
      <c r="HWZ65" s="94"/>
      <c r="HXA65" s="94"/>
      <c r="HXB65" s="94"/>
      <c r="HXC65" s="94"/>
      <c r="HXD65" s="94"/>
      <c r="HXE65" s="94"/>
      <c r="HXF65" s="94"/>
      <c r="HXG65" s="94"/>
      <c r="HXH65" s="94"/>
      <c r="HXI65" s="94"/>
      <c r="HXJ65" s="94"/>
      <c r="HXK65" s="94"/>
      <c r="HXL65" s="94"/>
      <c r="HXM65" s="94"/>
      <c r="HXN65" s="94"/>
      <c r="HXO65" s="94"/>
      <c r="HXP65" s="94"/>
      <c r="HXQ65" s="94"/>
      <c r="HXR65" s="94"/>
      <c r="HXS65" s="94"/>
      <c r="HXT65" s="94"/>
      <c r="HXU65" s="94"/>
      <c r="HXV65" s="94"/>
      <c r="HXW65" s="94"/>
      <c r="HXX65" s="94"/>
      <c r="HXY65" s="94"/>
      <c r="HXZ65" s="94"/>
      <c r="HYA65" s="94"/>
      <c r="HYB65" s="94"/>
      <c r="HYC65" s="94"/>
      <c r="HYD65" s="94"/>
      <c r="HYE65" s="94"/>
      <c r="HYF65" s="94"/>
      <c r="HYG65" s="94"/>
      <c r="HYH65" s="94"/>
      <c r="HYI65" s="94"/>
      <c r="HYJ65" s="94"/>
      <c r="HYK65" s="94"/>
      <c r="HYL65" s="94"/>
      <c r="HYM65" s="94"/>
      <c r="HYN65" s="94"/>
      <c r="HYO65" s="94"/>
      <c r="HYP65" s="94"/>
      <c r="HYQ65" s="94"/>
      <c r="HYR65" s="94"/>
      <c r="HYS65" s="94"/>
      <c r="HYT65" s="94"/>
      <c r="HYU65" s="94"/>
      <c r="HYV65" s="94"/>
      <c r="HYW65" s="94"/>
      <c r="HYX65" s="94"/>
      <c r="HYY65" s="94"/>
      <c r="HYZ65" s="94"/>
      <c r="HZA65" s="94"/>
      <c r="HZB65" s="94"/>
      <c r="HZC65" s="94"/>
      <c r="HZD65" s="94"/>
      <c r="HZE65" s="94"/>
      <c r="HZF65" s="94"/>
      <c r="HZG65" s="94"/>
      <c r="HZH65" s="94"/>
      <c r="HZI65" s="94"/>
      <c r="HZJ65" s="94"/>
      <c r="HZK65" s="94"/>
      <c r="HZL65" s="94"/>
      <c r="HZM65" s="94"/>
      <c r="HZN65" s="94"/>
      <c r="HZO65" s="94"/>
      <c r="HZP65" s="94"/>
      <c r="HZQ65" s="94"/>
      <c r="HZR65" s="94"/>
      <c r="HZS65" s="94"/>
      <c r="HZT65" s="94"/>
      <c r="HZU65" s="94"/>
      <c r="HZV65" s="94"/>
      <c r="HZW65" s="94"/>
      <c r="HZX65" s="94"/>
      <c r="HZY65" s="94"/>
      <c r="HZZ65" s="94"/>
      <c r="IAA65" s="94"/>
      <c r="IAB65" s="94"/>
      <c r="IAC65" s="94"/>
      <c r="IAD65" s="94"/>
      <c r="IAE65" s="94"/>
      <c r="IAF65" s="94"/>
      <c r="IAG65" s="94"/>
      <c r="IAH65" s="94"/>
      <c r="IAI65" s="94"/>
      <c r="IAJ65" s="94"/>
      <c r="IAK65" s="94"/>
      <c r="IAL65" s="94"/>
      <c r="IAM65" s="94"/>
      <c r="IAN65" s="94"/>
      <c r="IAO65" s="94"/>
      <c r="IAP65" s="94"/>
      <c r="IAQ65" s="94"/>
      <c r="IAR65" s="94"/>
      <c r="IAS65" s="94"/>
      <c r="IAT65" s="94"/>
      <c r="IAU65" s="94"/>
      <c r="IAV65" s="94"/>
      <c r="IAW65" s="94"/>
      <c r="IAX65" s="94"/>
      <c r="IAY65" s="94"/>
      <c r="IAZ65" s="94"/>
      <c r="IBA65" s="94"/>
      <c r="IBB65" s="94"/>
      <c r="IBC65" s="94"/>
      <c r="IBD65" s="94"/>
      <c r="IBE65" s="94"/>
      <c r="IBF65" s="94"/>
      <c r="IBG65" s="94"/>
      <c r="IBH65" s="94"/>
      <c r="IBI65" s="94"/>
      <c r="IBJ65" s="94"/>
      <c r="IBK65" s="94"/>
      <c r="IBL65" s="94"/>
      <c r="IBM65" s="94"/>
      <c r="IBN65" s="94"/>
      <c r="IBO65" s="94"/>
      <c r="IBP65" s="94"/>
      <c r="IBQ65" s="94"/>
      <c r="IBR65" s="94"/>
      <c r="IBS65" s="94"/>
      <c r="IBT65" s="94"/>
      <c r="IBU65" s="94"/>
      <c r="IBV65" s="94"/>
      <c r="IBW65" s="94"/>
      <c r="IBX65" s="94"/>
      <c r="IBY65" s="94"/>
      <c r="IBZ65" s="94"/>
      <c r="ICA65" s="94"/>
      <c r="ICB65" s="94"/>
      <c r="ICC65" s="94"/>
      <c r="ICD65" s="94"/>
      <c r="ICE65" s="94"/>
      <c r="ICF65" s="94"/>
      <c r="ICG65" s="94"/>
      <c r="ICH65" s="94"/>
      <c r="ICI65" s="94"/>
      <c r="ICJ65" s="94"/>
      <c r="ICK65" s="94"/>
      <c r="ICL65" s="94"/>
      <c r="ICM65" s="94"/>
      <c r="ICN65" s="94"/>
      <c r="ICO65" s="94"/>
      <c r="ICP65" s="94"/>
      <c r="ICQ65" s="94"/>
      <c r="ICR65" s="94"/>
      <c r="ICS65" s="94"/>
      <c r="ICT65" s="94"/>
      <c r="ICU65" s="94"/>
      <c r="ICV65" s="94"/>
      <c r="ICW65" s="94"/>
      <c r="ICX65" s="94"/>
      <c r="ICY65" s="94"/>
      <c r="ICZ65" s="94"/>
      <c r="IDA65" s="94"/>
      <c r="IDB65" s="94"/>
      <c r="IDC65" s="94"/>
      <c r="IDD65" s="94"/>
      <c r="IDE65" s="94"/>
      <c r="IDF65" s="94"/>
      <c r="IDG65" s="94"/>
      <c r="IDH65" s="94"/>
      <c r="IDI65" s="94"/>
      <c r="IDJ65" s="94"/>
      <c r="IDK65" s="94"/>
      <c r="IDL65" s="94"/>
      <c r="IDM65" s="94"/>
      <c r="IDN65" s="94"/>
      <c r="IDO65" s="94"/>
      <c r="IDP65" s="94"/>
      <c r="IDQ65" s="94"/>
      <c r="IDR65" s="94"/>
      <c r="IDS65" s="94"/>
      <c r="IDT65" s="94"/>
      <c r="IDU65" s="94"/>
      <c r="IDV65" s="94"/>
      <c r="IDW65" s="94"/>
      <c r="IDX65" s="94"/>
      <c r="IDY65" s="94"/>
      <c r="IDZ65" s="94"/>
      <c r="IEA65" s="94"/>
      <c r="IEB65" s="94"/>
      <c r="IEC65" s="94"/>
      <c r="IED65" s="94"/>
      <c r="IEE65" s="94"/>
      <c r="IEF65" s="94"/>
      <c r="IEG65" s="94"/>
      <c r="IEH65" s="94"/>
      <c r="IEI65" s="94"/>
      <c r="IEJ65" s="94"/>
      <c r="IEK65" s="94"/>
      <c r="IEL65" s="94"/>
      <c r="IEM65" s="94"/>
      <c r="IEN65" s="94"/>
      <c r="IEO65" s="94"/>
      <c r="IEP65" s="94"/>
      <c r="IEQ65" s="94"/>
      <c r="IER65" s="94"/>
      <c r="IES65" s="94"/>
      <c r="IET65" s="94"/>
      <c r="IEU65" s="94"/>
      <c r="IEV65" s="94"/>
      <c r="IEW65" s="94"/>
      <c r="IEX65" s="94"/>
      <c r="IEY65" s="94"/>
      <c r="IEZ65" s="94"/>
      <c r="IFA65" s="94"/>
      <c r="IFB65" s="94"/>
      <c r="IFC65" s="94"/>
      <c r="IFD65" s="94"/>
      <c r="IFE65" s="94"/>
      <c r="IFF65" s="94"/>
      <c r="IFG65" s="94"/>
      <c r="IFH65" s="94"/>
      <c r="IFI65" s="94"/>
      <c r="IFJ65" s="94"/>
      <c r="IFK65" s="94"/>
      <c r="IFL65" s="94"/>
      <c r="IFM65" s="94"/>
      <c r="IFN65" s="94"/>
      <c r="IFO65" s="94"/>
      <c r="IFP65" s="94"/>
      <c r="IFQ65" s="94"/>
      <c r="IFR65" s="94"/>
      <c r="IFS65" s="94"/>
      <c r="IFT65" s="94"/>
      <c r="IFU65" s="94"/>
      <c r="IFV65" s="94"/>
      <c r="IFW65" s="94"/>
      <c r="IFX65" s="94"/>
      <c r="IFY65" s="94"/>
      <c r="IFZ65" s="94"/>
      <c r="IGA65" s="94"/>
      <c r="IGB65" s="94"/>
      <c r="IGC65" s="94"/>
      <c r="IGD65" s="94"/>
      <c r="IGE65" s="94"/>
      <c r="IGF65" s="94"/>
      <c r="IGG65" s="94"/>
      <c r="IGH65" s="94"/>
      <c r="IGI65" s="94"/>
      <c r="IGJ65" s="94"/>
      <c r="IGK65" s="94"/>
      <c r="IGL65" s="94"/>
      <c r="IGM65" s="94"/>
      <c r="IGN65" s="94"/>
      <c r="IGO65" s="94"/>
      <c r="IGP65" s="94"/>
      <c r="IGQ65" s="94"/>
      <c r="IGR65" s="94"/>
      <c r="IGS65" s="94"/>
      <c r="IGT65" s="94"/>
      <c r="IGU65" s="94"/>
      <c r="IGV65" s="94"/>
      <c r="IGW65" s="94"/>
      <c r="IGX65" s="94"/>
      <c r="IGY65" s="94"/>
      <c r="IGZ65" s="94"/>
      <c r="IHA65" s="94"/>
      <c r="IHB65" s="94"/>
      <c r="IHC65" s="94"/>
      <c r="IHD65" s="94"/>
      <c r="IHE65" s="94"/>
      <c r="IHF65" s="94"/>
      <c r="IHG65" s="94"/>
      <c r="IHH65" s="94"/>
      <c r="IHI65" s="94"/>
      <c r="IHJ65" s="94"/>
      <c r="IHK65" s="94"/>
      <c r="IHL65" s="94"/>
      <c r="IHM65" s="94"/>
      <c r="IHN65" s="94"/>
      <c r="IHO65" s="94"/>
      <c r="IHP65" s="94"/>
      <c r="IHQ65" s="94"/>
      <c r="IHR65" s="94"/>
      <c r="IHS65" s="94"/>
      <c r="IHT65" s="94"/>
      <c r="IHU65" s="94"/>
      <c r="IHV65" s="94"/>
      <c r="IHW65" s="94"/>
      <c r="IHX65" s="94"/>
      <c r="IHY65" s="94"/>
      <c r="IHZ65" s="94"/>
      <c r="IIA65" s="94"/>
      <c r="IIB65" s="94"/>
      <c r="IIC65" s="94"/>
      <c r="IID65" s="94"/>
      <c r="IIE65" s="94"/>
      <c r="IIF65" s="94"/>
      <c r="IIG65" s="94"/>
      <c r="IIH65" s="94"/>
      <c r="III65" s="94"/>
      <c r="IIJ65" s="94"/>
      <c r="IIK65" s="94"/>
      <c r="IIL65" s="94"/>
      <c r="IIM65" s="94"/>
      <c r="IIN65" s="94"/>
      <c r="IIO65" s="94"/>
      <c r="IIP65" s="94"/>
      <c r="IIQ65" s="94"/>
      <c r="IIR65" s="94"/>
      <c r="IIS65" s="94"/>
      <c r="IIT65" s="94"/>
      <c r="IIU65" s="94"/>
      <c r="IIV65" s="94"/>
      <c r="IIW65" s="94"/>
      <c r="IIX65" s="94"/>
      <c r="IIY65" s="94"/>
      <c r="IIZ65" s="94"/>
      <c r="IJA65" s="94"/>
      <c r="IJB65" s="94"/>
      <c r="IJC65" s="94"/>
      <c r="IJD65" s="94"/>
      <c r="IJE65" s="94"/>
      <c r="IJF65" s="94"/>
      <c r="IJG65" s="94"/>
      <c r="IJH65" s="94"/>
      <c r="IJI65" s="94"/>
      <c r="IJJ65" s="94"/>
      <c r="IJK65" s="94"/>
      <c r="IJL65" s="94"/>
      <c r="IJM65" s="94"/>
      <c r="IJN65" s="94"/>
      <c r="IJO65" s="94"/>
      <c r="IJP65" s="94"/>
      <c r="IJQ65" s="94"/>
      <c r="IJR65" s="94"/>
      <c r="IJS65" s="94"/>
      <c r="IJT65" s="94"/>
      <c r="IJU65" s="94"/>
      <c r="IJV65" s="94"/>
      <c r="IJW65" s="94"/>
      <c r="IJX65" s="94"/>
      <c r="IJY65" s="94"/>
      <c r="IJZ65" s="94"/>
      <c r="IKA65" s="94"/>
      <c r="IKB65" s="94"/>
      <c r="IKC65" s="94"/>
      <c r="IKD65" s="94"/>
      <c r="IKE65" s="94"/>
      <c r="IKF65" s="94"/>
      <c r="IKG65" s="94"/>
      <c r="IKH65" s="94"/>
      <c r="IKI65" s="94"/>
      <c r="IKJ65" s="94"/>
      <c r="IKK65" s="94"/>
      <c r="IKL65" s="94"/>
      <c r="IKM65" s="94"/>
      <c r="IKN65" s="94"/>
      <c r="IKO65" s="94"/>
      <c r="IKP65" s="94"/>
      <c r="IKQ65" s="94"/>
      <c r="IKR65" s="94"/>
      <c r="IKS65" s="94"/>
      <c r="IKT65" s="94"/>
      <c r="IKU65" s="94"/>
      <c r="IKV65" s="94"/>
      <c r="IKW65" s="94"/>
      <c r="IKX65" s="94"/>
      <c r="IKY65" s="94"/>
      <c r="IKZ65" s="94"/>
      <c r="ILA65" s="94"/>
      <c r="ILB65" s="94"/>
      <c r="ILC65" s="94"/>
      <c r="ILD65" s="94"/>
      <c r="ILE65" s="94"/>
      <c r="ILF65" s="94"/>
      <c r="ILG65" s="94"/>
      <c r="ILH65" s="94"/>
      <c r="ILI65" s="94"/>
      <c r="ILJ65" s="94"/>
      <c r="ILK65" s="94"/>
      <c r="ILL65" s="94"/>
      <c r="ILM65" s="94"/>
      <c r="ILN65" s="94"/>
      <c r="ILO65" s="94"/>
      <c r="ILP65" s="94"/>
      <c r="ILQ65" s="94"/>
      <c r="ILR65" s="94"/>
      <c r="ILS65" s="94"/>
      <c r="ILT65" s="94"/>
      <c r="ILU65" s="94"/>
      <c r="ILV65" s="94"/>
      <c r="ILW65" s="94"/>
      <c r="ILX65" s="94"/>
      <c r="ILY65" s="94"/>
      <c r="ILZ65" s="94"/>
      <c r="IMA65" s="94"/>
      <c r="IMB65" s="94"/>
      <c r="IMC65" s="94"/>
      <c r="IMD65" s="94"/>
      <c r="IME65" s="94"/>
      <c r="IMF65" s="94"/>
      <c r="IMG65" s="94"/>
      <c r="IMH65" s="94"/>
      <c r="IMI65" s="94"/>
      <c r="IMJ65" s="94"/>
      <c r="IMK65" s="94"/>
      <c r="IML65" s="94"/>
      <c r="IMM65" s="94"/>
      <c r="IMN65" s="94"/>
      <c r="IMO65" s="94"/>
      <c r="IMP65" s="94"/>
      <c r="IMQ65" s="94"/>
      <c r="IMR65" s="94"/>
      <c r="IMS65" s="94"/>
      <c r="IMT65" s="94"/>
      <c r="IMU65" s="94"/>
      <c r="IMV65" s="94"/>
      <c r="IMW65" s="94"/>
      <c r="IMX65" s="94"/>
      <c r="IMY65" s="94"/>
      <c r="IMZ65" s="94"/>
      <c r="INA65" s="94"/>
      <c r="INB65" s="94"/>
      <c r="INC65" s="94"/>
      <c r="IND65" s="94"/>
      <c r="INE65" s="94"/>
      <c r="INF65" s="94"/>
      <c r="ING65" s="94"/>
      <c r="INH65" s="94"/>
      <c r="INI65" s="94"/>
      <c r="INJ65" s="94"/>
      <c r="INK65" s="94"/>
      <c r="INL65" s="94"/>
      <c r="INM65" s="94"/>
      <c r="INN65" s="94"/>
      <c r="INO65" s="94"/>
      <c r="INP65" s="94"/>
      <c r="INQ65" s="94"/>
      <c r="INR65" s="94"/>
      <c r="INS65" s="94"/>
      <c r="INT65" s="94"/>
      <c r="INU65" s="94"/>
      <c r="INV65" s="94"/>
      <c r="INW65" s="94"/>
      <c r="INX65" s="94"/>
      <c r="INY65" s="94"/>
      <c r="INZ65" s="94"/>
      <c r="IOA65" s="94"/>
      <c r="IOB65" s="94"/>
      <c r="IOC65" s="94"/>
      <c r="IOD65" s="94"/>
      <c r="IOE65" s="94"/>
      <c r="IOF65" s="94"/>
      <c r="IOG65" s="94"/>
      <c r="IOH65" s="94"/>
      <c r="IOI65" s="94"/>
      <c r="IOJ65" s="94"/>
      <c r="IOK65" s="94"/>
      <c r="IOL65" s="94"/>
      <c r="IOM65" s="94"/>
      <c r="ION65" s="94"/>
      <c r="IOO65" s="94"/>
      <c r="IOP65" s="94"/>
      <c r="IOQ65" s="94"/>
      <c r="IOR65" s="94"/>
      <c r="IOS65" s="94"/>
      <c r="IOT65" s="94"/>
      <c r="IOU65" s="94"/>
      <c r="IOV65" s="94"/>
      <c r="IOW65" s="94"/>
      <c r="IOX65" s="94"/>
      <c r="IOY65" s="94"/>
      <c r="IOZ65" s="94"/>
      <c r="IPA65" s="94"/>
      <c r="IPB65" s="94"/>
      <c r="IPC65" s="94"/>
      <c r="IPD65" s="94"/>
      <c r="IPE65" s="94"/>
      <c r="IPF65" s="94"/>
      <c r="IPG65" s="94"/>
      <c r="IPH65" s="94"/>
      <c r="IPI65" s="94"/>
      <c r="IPJ65" s="94"/>
      <c r="IPK65" s="94"/>
      <c r="IPL65" s="94"/>
      <c r="IPM65" s="94"/>
      <c r="IPN65" s="94"/>
      <c r="IPO65" s="94"/>
      <c r="IPP65" s="94"/>
      <c r="IPQ65" s="94"/>
      <c r="IPR65" s="94"/>
      <c r="IPS65" s="94"/>
      <c r="IPT65" s="94"/>
      <c r="IPU65" s="94"/>
      <c r="IPV65" s="94"/>
      <c r="IPW65" s="94"/>
      <c r="IPX65" s="94"/>
      <c r="IPY65" s="94"/>
      <c r="IPZ65" s="94"/>
      <c r="IQA65" s="94"/>
      <c r="IQB65" s="94"/>
      <c r="IQC65" s="94"/>
      <c r="IQD65" s="94"/>
      <c r="IQE65" s="94"/>
      <c r="IQF65" s="94"/>
      <c r="IQG65" s="94"/>
      <c r="IQH65" s="94"/>
      <c r="IQI65" s="94"/>
      <c r="IQJ65" s="94"/>
      <c r="IQK65" s="94"/>
      <c r="IQL65" s="94"/>
      <c r="IQM65" s="94"/>
      <c r="IQN65" s="94"/>
      <c r="IQO65" s="94"/>
      <c r="IQP65" s="94"/>
      <c r="IQQ65" s="94"/>
      <c r="IQR65" s="94"/>
      <c r="IQS65" s="94"/>
      <c r="IQT65" s="94"/>
      <c r="IQU65" s="94"/>
      <c r="IQV65" s="94"/>
      <c r="IQW65" s="94"/>
      <c r="IQX65" s="94"/>
      <c r="IQY65" s="94"/>
      <c r="IQZ65" s="94"/>
      <c r="IRA65" s="94"/>
      <c r="IRB65" s="94"/>
      <c r="IRC65" s="94"/>
      <c r="IRD65" s="94"/>
      <c r="IRE65" s="94"/>
      <c r="IRF65" s="94"/>
      <c r="IRG65" s="94"/>
      <c r="IRH65" s="94"/>
      <c r="IRI65" s="94"/>
      <c r="IRJ65" s="94"/>
      <c r="IRK65" s="94"/>
      <c r="IRL65" s="94"/>
      <c r="IRM65" s="94"/>
      <c r="IRN65" s="94"/>
      <c r="IRO65" s="94"/>
      <c r="IRP65" s="94"/>
      <c r="IRQ65" s="94"/>
      <c r="IRR65" s="94"/>
      <c r="IRS65" s="94"/>
      <c r="IRT65" s="94"/>
      <c r="IRU65" s="94"/>
      <c r="IRV65" s="94"/>
      <c r="IRW65" s="94"/>
      <c r="IRX65" s="94"/>
      <c r="IRY65" s="94"/>
      <c r="IRZ65" s="94"/>
      <c r="ISA65" s="94"/>
      <c r="ISB65" s="94"/>
      <c r="ISC65" s="94"/>
      <c r="ISD65" s="94"/>
      <c r="ISE65" s="94"/>
      <c r="ISF65" s="94"/>
      <c r="ISG65" s="94"/>
      <c r="ISH65" s="94"/>
      <c r="ISI65" s="94"/>
      <c r="ISJ65" s="94"/>
      <c r="ISK65" s="94"/>
      <c r="ISL65" s="94"/>
      <c r="ISM65" s="94"/>
      <c r="ISN65" s="94"/>
      <c r="ISO65" s="94"/>
      <c r="ISP65" s="94"/>
      <c r="ISQ65" s="94"/>
      <c r="ISR65" s="94"/>
      <c r="ISS65" s="94"/>
      <c r="IST65" s="94"/>
      <c r="ISU65" s="94"/>
      <c r="ISV65" s="94"/>
      <c r="ISW65" s="94"/>
      <c r="ISX65" s="94"/>
      <c r="ISY65" s="94"/>
      <c r="ISZ65" s="94"/>
      <c r="ITA65" s="94"/>
      <c r="ITB65" s="94"/>
      <c r="ITC65" s="94"/>
      <c r="ITD65" s="94"/>
      <c r="ITE65" s="94"/>
      <c r="ITF65" s="94"/>
      <c r="ITG65" s="94"/>
      <c r="ITH65" s="94"/>
      <c r="ITI65" s="94"/>
      <c r="ITJ65" s="94"/>
      <c r="ITK65" s="94"/>
      <c r="ITL65" s="94"/>
      <c r="ITM65" s="94"/>
      <c r="ITN65" s="94"/>
      <c r="ITO65" s="94"/>
      <c r="ITP65" s="94"/>
      <c r="ITQ65" s="94"/>
      <c r="ITR65" s="94"/>
      <c r="ITS65" s="94"/>
      <c r="ITT65" s="94"/>
      <c r="ITU65" s="94"/>
      <c r="ITV65" s="94"/>
      <c r="ITW65" s="94"/>
      <c r="ITX65" s="94"/>
      <c r="ITY65" s="94"/>
      <c r="ITZ65" s="94"/>
      <c r="IUA65" s="94"/>
      <c r="IUB65" s="94"/>
      <c r="IUC65" s="94"/>
      <c r="IUD65" s="94"/>
      <c r="IUE65" s="94"/>
      <c r="IUF65" s="94"/>
      <c r="IUG65" s="94"/>
      <c r="IUH65" s="94"/>
      <c r="IUI65" s="94"/>
      <c r="IUJ65" s="94"/>
      <c r="IUK65" s="94"/>
      <c r="IUL65" s="94"/>
      <c r="IUM65" s="94"/>
      <c r="IUN65" s="94"/>
      <c r="IUO65" s="94"/>
      <c r="IUP65" s="94"/>
      <c r="IUQ65" s="94"/>
      <c r="IUR65" s="94"/>
      <c r="IUS65" s="94"/>
      <c r="IUT65" s="94"/>
      <c r="IUU65" s="94"/>
      <c r="IUV65" s="94"/>
      <c r="IUW65" s="94"/>
      <c r="IUX65" s="94"/>
      <c r="IUY65" s="94"/>
      <c r="IUZ65" s="94"/>
      <c r="IVA65" s="94"/>
      <c r="IVB65" s="94"/>
      <c r="IVC65" s="94"/>
      <c r="IVD65" s="94"/>
      <c r="IVE65" s="94"/>
      <c r="IVF65" s="94"/>
      <c r="IVG65" s="94"/>
      <c r="IVH65" s="94"/>
      <c r="IVI65" s="94"/>
      <c r="IVJ65" s="94"/>
      <c r="IVK65" s="94"/>
      <c r="IVL65" s="94"/>
      <c r="IVM65" s="94"/>
      <c r="IVN65" s="94"/>
      <c r="IVO65" s="94"/>
      <c r="IVP65" s="94"/>
      <c r="IVQ65" s="94"/>
      <c r="IVR65" s="94"/>
      <c r="IVS65" s="94"/>
      <c r="IVT65" s="94"/>
      <c r="IVU65" s="94"/>
      <c r="IVV65" s="94"/>
      <c r="IVW65" s="94"/>
      <c r="IVX65" s="94"/>
      <c r="IVY65" s="94"/>
      <c r="IVZ65" s="94"/>
      <c r="IWA65" s="94"/>
      <c r="IWB65" s="94"/>
      <c r="IWC65" s="94"/>
      <c r="IWD65" s="94"/>
      <c r="IWE65" s="94"/>
      <c r="IWF65" s="94"/>
      <c r="IWG65" s="94"/>
      <c r="IWH65" s="94"/>
      <c r="IWI65" s="94"/>
      <c r="IWJ65" s="94"/>
      <c r="IWK65" s="94"/>
      <c r="IWL65" s="94"/>
      <c r="IWM65" s="94"/>
      <c r="IWN65" s="94"/>
      <c r="IWO65" s="94"/>
      <c r="IWP65" s="94"/>
      <c r="IWQ65" s="94"/>
      <c r="IWR65" s="94"/>
      <c r="IWS65" s="94"/>
      <c r="IWT65" s="94"/>
      <c r="IWU65" s="94"/>
      <c r="IWV65" s="94"/>
      <c r="IWW65" s="94"/>
      <c r="IWX65" s="94"/>
      <c r="IWY65" s="94"/>
      <c r="IWZ65" s="94"/>
      <c r="IXA65" s="94"/>
      <c r="IXB65" s="94"/>
      <c r="IXC65" s="94"/>
      <c r="IXD65" s="94"/>
      <c r="IXE65" s="94"/>
      <c r="IXF65" s="94"/>
      <c r="IXG65" s="94"/>
      <c r="IXH65" s="94"/>
      <c r="IXI65" s="94"/>
      <c r="IXJ65" s="94"/>
      <c r="IXK65" s="94"/>
      <c r="IXL65" s="94"/>
      <c r="IXM65" s="94"/>
      <c r="IXN65" s="94"/>
      <c r="IXO65" s="94"/>
      <c r="IXP65" s="94"/>
      <c r="IXQ65" s="94"/>
      <c r="IXR65" s="94"/>
      <c r="IXS65" s="94"/>
      <c r="IXT65" s="94"/>
      <c r="IXU65" s="94"/>
      <c r="IXV65" s="94"/>
      <c r="IXW65" s="94"/>
      <c r="IXX65" s="94"/>
      <c r="IXY65" s="94"/>
      <c r="IXZ65" s="94"/>
      <c r="IYA65" s="94"/>
      <c r="IYB65" s="94"/>
      <c r="IYC65" s="94"/>
      <c r="IYD65" s="94"/>
      <c r="IYE65" s="94"/>
      <c r="IYF65" s="94"/>
      <c r="IYG65" s="94"/>
      <c r="IYH65" s="94"/>
      <c r="IYI65" s="94"/>
      <c r="IYJ65" s="94"/>
      <c r="IYK65" s="94"/>
      <c r="IYL65" s="94"/>
      <c r="IYM65" s="94"/>
      <c r="IYN65" s="94"/>
      <c r="IYO65" s="94"/>
      <c r="IYP65" s="94"/>
      <c r="IYQ65" s="94"/>
      <c r="IYR65" s="94"/>
      <c r="IYS65" s="94"/>
      <c r="IYT65" s="94"/>
      <c r="IYU65" s="94"/>
      <c r="IYV65" s="94"/>
      <c r="IYW65" s="94"/>
      <c r="IYX65" s="94"/>
      <c r="IYY65" s="94"/>
      <c r="IYZ65" s="94"/>
      <c r="IZA65" s="94"/>
      <c r="IZB65" s="94"/>
      <c r="IZC65" s="94"/>
      <c r="IZD65" s="94"/>
      <c r="IZE65" s="94"/>
      <c r="IZF65" s="94"/>
      <c r="IZG65" s="94"/>
      <c r="IZH65" s="94"/>
      <c r="IZI65" s="94"/>
      <c r="IZJ65" s="94"/>
      <c r="IZK65" s="94"/>
      <c r="IZL65" s="94"/>
      <c r="IZM65" s="94"/>
      <c r="IZN65" s="94"/>
      <c r="IZO65" s="94"/>
      <c r="IZP65" s="94"/>
      <c r="IZQ65" s="94"/>
      <c r="IZR65" s="94"/>
      <c r="IZS65" s="94"/>
      <c r="IZT65" s="94"/>
      <c r="IZU65" s="94"/>
      <c r="IZV65" s="94"/>
      <c r="IZW65" s="94"/>
      <c r="IZX65" s="94"/>
      <c r="IZY65" s="94"/>
      <c r="IZZ65" s="94"/>
      <c r="JAA65" s="94"/>
      <c r="JAB65" s="94"/>
      <c r="JAC65" s="94"/>
      <c r="JAD65" s="94"/>
      <c r="JAE65" s="94"/>
      <c r="JAF65" s="94"/>
      <c r="JAG65" s="94"/>
      <c r="JAH65" s="94"/>
      <c r="JAI65" s="94"/>
      <c r="JAJ65" s="94"/>
      <c r="JAK65" s="94"/>
      <c r="JAL65" s="94"/>
      <c r="JAM65" s="94"/>
      <c r="JAN65" s="94"/>
      <c r="JAO65" s="94"/>
      <c r="JAP65" s="94"/>
      <c r="JAQ65" s="94"/>
      <c r="JAR65" s="94"/>
      <c r="JAS65" s="94"/>
      <c r="JAT65" s="94"/>
      <c r="JAU65" s="94"/>
      <c r="JAV65" s="94"/>
      <c r="JAW65" s="94"/>
      <c r="JAX65" s="94"/>
      <c r="JAY65" s="94"/>
      <c r="JAZ65" s="94"/>
      <c r="JBA65" s="94"/>
      <c r="JBB65" s="94"/>
      <c r="JBC65" s="94"/>
      <c r="JBD65" s="94"/>
      <c r="JBE65" s="94"/>
      <c r="JBF65" s="94"/>
      <c r="JBG65" s="94"/>
      <c r="JBH65" s="94"/>
      <c r="JBI65" s="94"/>
      <c r="JBJ65" s="94"/>
      <c r="JBK65" s="94"/>
      <c r="JBL65" s="94"/>
      <c r="JBM65" s="94"/>
      <c r="JBN65" s="94"/>
      <c r="JBO65" s="94"/>
      <c r="JBP65" s="94"/>
      <c r="JBQ65" s="94"/>
      <c r="JBR65" s="94"/>
      <c r="JBS65" s="94"/>
      <c r="JBT65" s="94"/>
      <c r="JBU65" s="94"/>
      <c r="JBV65" s="94"/>
      <c r="JBW65" s="94"/>
      <c r="JBX65" s="94"/>
      <c r="JBY65" s="94"/>
      <c r="JBZ65" s="94"/>
      <c r="JCA65" s="94"/>
      <c r="JCB65" s="94"/>
      <c r="JCC65" s="94"/>
      <c r="JCD65" s="94"/>
      <c r="JCE65" s="94"/>
      <c r="JCF65" s="94"/>
      <c r="JCG65" s="94"/>
      <c r="JCH65" s="94"/>
      <c r="JCI65" s="94"/>
      <c r="JCJ65" s="94"/>
      <c r="JCK65" s="94"/>
      <c r="JCL65" s="94"/>
      <c r="JCM65" s="94"/>
      <c r="JCN65" s="94"/>
      <c r="JCO65" s="94"/>
      <c r="JCP65" s="94"/>
      <c r="JCQ65" s="94"/>
      <c r="JCR65" s="94"/>
      <c r="JCS65" s="94"/>
      <c r="JCT65" s="94"/>
      <c r="JCU65" s="94"/>
      <c r="JCV65" s="94"/>
      <c r="JCW65" s="94"/>
      <c r="JCX65" s="94"/>
      <c r="JCY65" s="94"/>
      <c r="JCZ65" s="94"/>
      <c r="JDA65" s="94"/>
      <c r="JDB65" s="94"/>
      <c r="JDC65" s="94"/>
      <c r="JDD65" s="94"/>
      <c r="JDE65" s="94"/>
      <c r="JDF65" s="94"/>
      <c r="JDG65" s="94"/>
      <c r="JDH65" s="94"/>
      <c r="JDI65" s="94"/>
      <c r="JDJ65" s="94"/>
      <c r="JDK65" s="94"/>
      <c r="JDL65" s="94"/>
      <c r="JDM65" s="94"/>
      <c r="JDN65" s="94"/>
      <c r="JDO65" s="94"/>
      <c r="JDP65" s="94"/>
      <c r="JDQ65" s="94"/>
      <c r="JDR65" s="94"/>
      <c r="JDS65" s="94"/>
      <c r="JDT65" s="94"/>
      <c r="JDU65" s="94"/>
      <c r="JDV65" s="94"/>
      <c r="JDW65" s="94"/>
      <c r="JDX65" s="94"/>
      <c r="JDY65" s="94"/>
      <c r="JDZ65" s="94"/>
      <c r="JEA65" s="94"/>
      <c r="JEB65" s="94"/>
      <c r="JEC65" s="94"/>
      <c r="JED65" s="94"/>
      <c r="JEE65" s="94"/>
      <c r="JEF65" s="94"/>
      <c r="JEG65" s="94"/>
      <c r="JEH65" s="94"/>
      <c r="JEI65" s="94"/>
      <c r="JEJ65" s="94"/>
      <c r="JEK65" s="94"/>
      <c r="JEL65" s="94"/>
      <c r="JEM65" s="94"/>
      <c r="JEN65" s="94"/>
      <c r="JEO65" s="94"/>
      <c r="JEP65" s="94"/>
      <c r="JEQ65" s="94"/>
      <c r="JER65" s="94"/>
      <c r="JES65" s="94"/>
      <c r="JET65" s="94"/>
      <c r="JEU65" s="94"/>
      <c r="JEV65" s="94"/>
      <c r="JEW65" s="94"/>
      <c r="JEX65" s="94"/>
      <c r="JEY65" s="94"/>
      <c r="JEZ65" s="94"/>
      <c r="JFA65" s="94"/>
      <c r="JFB65" s="94"/>
      <c r="JFC65" s="94"/>
      <c r="JFD65" s="94"/>
      <c r="JFE65" s="94"/>
      <c r="JFF65" s="94"/>
      <c r="JFG65" s="94"/>
      <c r="JFH65" s="94"/>
      <c r="JFI65" s="94"/>
      <c r="JFJ65" s="94"/>
      <c r="JFK65" s="94"/>
      <c r="JFL65" s="94"/>
      <c r="JFM65" s="94"/>
      <c r="JFN65" s="94"/>
      <c r="JFO65" s="94"/>
      <c r="JFP65" s="94"/>
      <c r="JFQ65" s="94"/>
      <c r="JFR65" s="94"/>
      <c r="JFS65" s="94"/>
      <c r="JFT65" s="94"/>
      <c r="JFU65" s="94"/>
      <c r="JFV65" s="94"/>
      <c r="JFW65" s="94"/>
      <c r="JFX65" s="94"/>
      <c r="JFY65" s="94"/>
      <c r="JFZ65" s="94"/>
      <c r="JGA65" s="94"/>
      <c r="JGB65" s="94"/>
      <c r="JGC65" s="94"/>
      <c r="JGD65" s="94"/>
      <c r="JGE65" s="94"/>
      <c r="JGF65" s="94"/>
      <c r="JGG65" s="94"/>
      <c r="JGH65" s="94"/>
      <c r="JGI65" s="94"/>
      <c r="JGJ65" s="94"/>
      <c r="JGK65" s="94"/>
      <c r="JGL65" s="94"/>
      <c r="JGM65" s="94"/>
      <c r="JGN65" s="94"/>
      <c r="JGO65" s="94"/>
      <c r="JGP65" s="94"/>
      <c r="JGQ65" s="94"/>
      <c r="JGR65" s="94"/>
      <c r="JGS65" s="94"/>
      <c r="JGT65" s="94"/>
      <c r="JGU65" s="94"/>
      <c r="JGV65" s="94"/>
      <c r="JGW65" s="94"/>
      <c r="JGX65" s="94"/>
      <c r="JGY65" s="94"/>
      <c r="JGZ65" s="94"/>
      <c r="JHA65" s="94"/>
      <c r="JHB65" s="94"/>
      <c r="JHC65" s="94"/>
      <c r="JHD65" s="94"/>
      <c r="JHE65" s="94"/>
      <c r="JHF65" s="94"/>
      <c r="JHG65" s="94"/>
      <c r="JHH65" s="94"/>
      <c r="JHI65" s="94"/>
      <c r="JHJ65" s="94"/>
      <c r="JHK65" s="94"/>
      <c r="JHL65" s="94"/>
      <c r="JHM65" s="94"/>
      <c r="JHN65" s="94"/>
      <c r="JHO65" s="94"/>
      <c r="JHP65" s="94"/>
      <c r="JHQ65" s="94"/>
      <c r="JHR65" s="94"/>
      <c r="JHS65" s="94"/>
      <c r="JHT65" s="94"/>
      <c r="JHU65" s="94"/>
      <c r="JHV65" s="94"/>
      <c r="JHW65" s="94"/>
      <c r="JHX65" s="94"/>
      <c r="JHY65" s="94"/>
      <c r="JHZ65" s="94"/>
      <c r="JIA65" s="94"/>
      <c r="JIB65" s="94"/>
      <c r="JIC65" s="94"/>
      <c r="JID65" s="94"/>
      <c r="JIE65" s="94"/>
      <c r="JIF65" s="94"/>
      <c r="JIG65" s="94"/>
      <c r="JIH65" s="94"/>
      <c r="JII65" s="94"/>
      <c r="JIJ65" s="94"/>
      <c r="JIK65" s="94"/>
      <c r="JIL65" s="94"/>
      <c r="JIM65" s="94"/>
      <c r="JIN65" s="94"/>
      <c r="JIO65" s="94"/>
      <c r="JIP65" s="94"/>
      <c r="JIQ65" s="94"/>
      <c r="JIR65" s="94"/>
      <c r="JIS65" s="94"/>
      <c r="JIT65" s="94"/>
      <c r="JIU65" s="94"/>
      <c r="JIV65" s="94"/>
      <c r="JIW65" s="94"/>
      <c r="JIX65" s="94"/>
      <c r="JIY65" s="94"/>
      <c r="JIZ65" s="94"/>
      <c r="JJA65" s="94"/>
      <c r="JJB65" s="94"/>
      <c r="JJC65" s="94"/>
      <c r="JJD65" s="94"/>
      <c r="JJE65" s="94"/>
      <c r="JJF65" s="94"/>
      <c r="JJG65" s="94"/>
      <c r="JJH65" s="94"/>
      <c r="JJI65" s="94"/>
      <c r="JJJ65" s="94"/>
      <c r="JJK65" s="94"/>
      <c r="JJL65" s="94"/>
      <c r="JJM65" s="94"/>
      <c r="JJN65" s="94"/>
      <c r="JJO65" s="94"/>
      <c r="JJP65" s="94"/>
      <c r="JJQ65" s="94"/>
      <c r="JJR65" s="94"/>
      <c r="JJS65" s="94"/>
      <c r="JJT65" s="94"/>
      <c r="JJU65" s="94"/>
      <c r="JJV65" s="94"/>
      <c r="JJW65" s="94"/>
      <c r="JJX65" s="94"/>
      <c r="JJY65" s="94"/>
      <c r="JJZ65" s="94"/>
      <c r="JKA65" s="94"/>
      <c r="JKB65" s="94"/>
      <c r="JKC65" s="94"/>
      <c r="JKD65" s="94"/>
      <c r="JKE65" s="94"/>
      <c r="JKF65" s="94"/>
      <c r="JKG65" s="94"/>
      <c r="JKH65" s="94"/>
      <c r="JKI65" s="94"/>
      <c r="JKJ65" s="94"/>
      <c r="JKK65" s="94"/>
      <c r="JKL65" s="94"/>
      <c r="JKM65" s="94"/>
      <c r="JKN65" s="94"/>
      <c r="JKO65" s="94"/>
      <c r="JKP65" s="94"/>
      <c r="JKQ65" s="94"/>
      <c r="JKR65" s="94"/>
      <c r="JKS65" s="94"/>
      <c r="JKT65" s="94"/>
      <c r="JKU65" s="94"/>
      <c r="JKV65" s="94"/>
      <c r="JKW65" s="94"/>
      <c r="JKX65" s="94"/>
      <c r="JKY65" s="94"/>
      <c r="JKZ65" s="94"/>
      <c r="JLA65" s="94"/>
      <c r="JLB65" s="94"/>
      <c r="JLC65" s="94"/>
      <c r="JLD65" s="94"/>
      <c r="JLE65" s="94"/>
      <c r="JLF65" s="94"/>
      <c r="JLG65" s="94"/>
      <c r="JLH65" s="94"/>
      <c r="JLI65" s="94"/>
      <c r="JLJ65" s="94"/>
      <c r="JLK65" s="94"/>
      <c r="JLL65" s="94"/>
      <c r="JLM65" s="94"/>
      <c r="JLN65" s="94"/>
      <c r="JLO65" s="94"/>
      <c r="JLP65" s="94"/>
      <c r="JLQ65" s="94"/>
      <c r="JLR65" s="94"/>
      <c r="JLS65" s="94"/>
      <c r="JLT65" s="94"/>
      <c r="JLU65" s="94"/>
      <c r="JLV65" s="94"/>
      <c r="JLW65" s="94"/>
      <c r="JLX65" s="94"/>
      <c r="JLY65" s="94"/>
      <c r="JLZ65" s="94"/>
      <c r="JMA65" s="94"/>
      <c r="JMB65" s="94"/>
      <c r="JMC65" s="94"/>
      <c r="JMD65" s="94"/>
      <c r="JME65" s="94"/>
      <c r="JMF65" s="94"/>
      <c r="JMG65" s="94"/>
      <c r="JMH65" s="94"/>
      <c r="JMI65" s="94"/>
      <c r="JMJ65" s="94"/>
      <c r="JMK65" s="94"/>
      <c r="JML65" s="94"/>
      <c r="JMM65" s="94"/>
      <c r="JMN65" s="94"/>
      <c r="JMO65" s="94"/>
      <c r="JMP65" s="94"/>
      <c r="JMQ65" s="94"/>
      <c r="JMR65" s="94"/>
      <c r="JMS65" s="94"/>
      <c r="JMT65" s="94"/>
      <c r="JMU65" s="94"/>
      <c r="JMV65" s="94"/>
      <c r="JMW65" s="94"/>
      <c r="JMX65" s="94"/>
      <c r="JMY65" s="94"/>
      <c r="JMZ65" s="94"/>
      <c r="JNA65" s="94"/>
      <c r="JNB65" s="94"/>
      <c r="JNC65" s="94"/>
      <c r="JND65" s="94"/>
      <c r="JNE65" s="94"/>
      <c r="JNF65" s="94"/>
      <c r="JNG65" s="94"/>
      <c r="JNH65" s="94"/>
      <c r="JNI65" s="94"/>
      <c r="JNJ65" s="94"/>
      <c r="JNK65" s="94"/>
      <c r="JNL65" s="94"/>
      <c r="JNM65" s="94"/>
      <c r="JNN65" s="94"/>
      <c r="JNO65" s="94"/>
      <c r="JNP65" s="94"/>
      <c r="JNQ65" s="94"/>
      <c r="JNR65" s="94"/>
      <c r="JNS65" s="94"/>
      <c r="JNT65" s="94"/>
      <c r="JNU65" s="94"/>
      <c r="JNV65" s="94"/>
      <c r="JNW65" s="94"/>
      <c r="JNX65" s="94"/>
      <c r="JNY65" s="94"/>
      <c r="JNZ65" s="94"/>
      <c r="JOA65" s="94"/>
      <c r="JOB65" s="94"/>
      <c r="JOC65" s="94"/>
      <c r="JOD65" s="94"/>
      <c r="JOE65" s="94"/>
      <c r="JOF65" s="94"/>
      <c r="JOG65" s="94"/>
      <c r="JOH65" s="94"/>
      <c r="JOI65" s="94"/>
      <c r="JOJ65" s="94"/>
      <c r="JOK65" s="94"/>
      <c r="JOL65" s="94"/>
      <c r="JOM65" s="94"/>
      <c r="JON65" s="94"/>
      <c r="JOO65" s="94"/>
      <c r="JOP65" s="94"/>
      <c r="JOQ65" s="94"/>
      <c r="JOR65" s="94"/>
      <c r="JOS65" s="94"/>
      <c r="JOT65" s="94"/>
      <c r="JOU65" s="94"/>
      <c r="JOV65" s="94"/>
      <c r="JOW65" s="94"/>
      <c r="JOX65" s="94"/>
      <c r="JOY65" s="94"/>
      <c r="JOZ65" s="94"/>
      <c r="JPA65" s="94"/>
      <c r="JPB65" s="94"/>
      <c r="JPC65" s="94"/>
      <c r="JPD65" s="94"/>
      <c r="JPE65" s="94"/>
      <c r="JPF65" s="94"/>
      <c r="JPG65" s="94"/>
      <c r="JPH65" s="94"/>
      <c r="JPI65" s="94"/>
      <c r="JPJ65" s="94"/>
      <c r="JPK65" s="94"/>
      <c r="JPL65" s="94"/>
      <c r="JPM65" s="94"/>
      <c r="JPN65" s="94"/>
      <c r="JPO65" s="94"/>
      <c r="JPP65" s="94"/>
      <c r="JPQ65" s="94"/>
      <c r="JPR65" s="94"/>
      <c r="JPS65" s="94"/>
      <c r="JPT65" s="94"/>
      <c r="JPU65" s="94"/>
      <c r="JPV65" s="94"/>
      <c r="JPW65" s="94"/>
      <c r="JPX65" s="94"/>
      <c r="JPY65" s="94"/>
      <c r="JPZ65" s="94"/>
      <c r="JQA65" s="94"/>
      <c r="JQB65" s="94"/>
      <c r="JQC65" s="94"/>
      <c r="JQD65" s="94"/>
      <c r="JQE65" s="94"/>
      <c r="JQF65" s="94"/>
      <c r="JQG65" s="94"/>
      <c r="JQH65" s="94"/>
      <c r="JQI65" s="94"/>
      <c r="JQJ65" s="94"/>
      <c r="JQK65" s="94"/>
      <c r="JQL65" s="94"/>
      <c r="JQM65" s="94"/>
      <c r="JQN65" s="94"/>
      <c r="JQO65" s="94"/>
      <c r="JQP65" s="94"/>
      <c r="JQQ65" s="94"/>
      <c r="JQR65" s="94"/>
      <c r="JQS65" s="94"/>
      <c r="JQT65" s="94"/>
      <c r="JQU65" s="94"/>
      <c r="JQV65" s="94"/>
      <c r="JQW65" s="94"/>
      <c r="JQX65" s="94"/>
      <c r="JQY65" s="94"/>
      <c r="JQZ65" s="94"/>
      <c r="JRA65" s="94"/>
      <c r="JRB65" s="94"/>
      <c r="JRC65" s="94"/>
      <c r="JRD65" s="94"/>
      <c r="JRE65" s="94"/>
      <c r="JRF65" s="94"/>
      <c r="JRG65" s="94"/>
      <c r="JRH65" s="94"/>
      <c r="JRI65" s="94"/>
      <c r="JRJ65" s="94"/>
      <c r="JRK65" s="94"/>
      <c r="JRL65" s="94"/>
      <c r="JRM65" s="94"/>
      <c r="JRN65" s="94"/>
      <c r="JRO65" s="94"/>
      <c r="JRP65" s="94"/>
      <c r="JRQ65" s="94"/>
      <c r="JRR65" s="94"/>
      <c r="JRS65" s="94"/>
      <c r="JRT65" s="94"/>
      <c r="JRU65" s="94"/>
      <c r="JRV65" s="94"/>
      <c r="JRW65" s="94"/>
      <c r="JRX65" s="94"/>
      <c r="JRY65" s="94"/>
      <c r="JRZ65" s="94"/>
      <c r="JSA65" s="94"/>
      <c r="JSB65" s="94"/>
      <c r="JSC65" s="94"/>
      <c r="JSD65" s="94"/>
      <c r="JSE65" s="94"/>
      <c r="JSF65" s="94"/>
      <c r="JSG65" s="94"/>
      <c r="JSH65" s="94"/>
      <c r="JSI65" s="94"/>
      <c r="JSJ65" s="94"/>
      <c r="JSK65" s="94"/>
      <c r="JSL65" s="94"/>
      <c r="JSM65" s="94"/>
      <c r="JSN65" s="94"/>
      <c r="JSO65" s="94"/>
      <c r="JSP65" s="94"/>
      <c r="JSQ65" s="94"/>
      <c r="JSR65" s="94"/>
      <c r="JSS65" s="94"/>
      <c r="JST65" s="94"/>
      <c r="JSU65" s="94"/>
      <c r="JSV65" s="94"/>
      <c r="JSW65" s="94"/>
      <c r="JSX65" s="94"/>
      <c r="JSY65" s="94"/>
      <c r="JSZ65" s="94"/>
      <c r="JTA65" s="94"/>
      <c r="JTB65" s="94"/>
      <c r="JTC65" s="94"/>
      <c r="JTD65" s="94"/>
      <c r="JTE65" s="94"/>
      <c r="JTF65" s="94"/>
      <c r="JTG65" s="94"/>
      <c r="JTH65" s="94"/>
      <c r="JTI65" s="94"/>
      <c r="JTJ65" s="94"/>
      <c r="JTK65" s="94"/>
      <c r="JTL65" s="94"/>
      <c r="JTM65" s="94"/>
      <c r="JTN65" s="94"/>
      <c r="JTO65" s="94"/>
      <c r="JTP65" s="94"/>
      <c r="JTQ65" s="94"/>
      <c r="JTR65" s="94"/>
      <c r="JTS65" s="94"/>
      <c r="JTT65" s="94"/>
      <c r="JTU65" s="94"/>
      <c r="JTV65" s="94"/>
      <c r="JTW65" s="94"/>
      <c r="JTX65" s="94"/>
      <c r="JTY65" s="94"/>
      <c r="JTZ65" s="94"/>
      <c r="JUA65" s="94"/>
      <c r="JUB65" s="94"/>
      <c r="JUC65" s="94"/>
      <c r="JUD65" s="94"/>
      <c r="JUE65" s="94"/>
      <c r="JUF65" s="94"/>
      <c r="JUG65" s="94"/>
      <c r="JUH65" s="94"/>
      <c r="JUI65" s="94"/>
      <c r="JUJ65" s="94"/>
      <c r="JUK65" s="94"/>
      <c r="JUL65" s="94"/>
      <c r="JUM65" s="94"/>
      <c r="JUN65" s="94"/>
      <c r="JUO65" s="94"/>
      <c r="JUP65" s="94"/>
      <c r="JUQ65" s="94"/>
      <c r="JUR65" s="94"/>
      <c r="JUS65" s="94"/>
      <c r="JUT65" s="94"/>
      <c r="JUU65" s="94"/>
      <c r="JUV65" s="94"/>
      <c r="JUW65" s="94"/>
      <c r="JUX65" s="94"/>
      <c r="JUY65" s="94"/>
      <c r="JUZ65" s="94"/>
      <c r="JVA65" s="94"/>
      <c r="JVB65" s="94"/>
      <c r="JVC65" s="94"/>
      <c r="JVD65" s="94"/>
      <c r="JVE65" s="94"/>
      <c r="JVF65" s="94"/>
      <c r="JVG65" s="94"/>
      <c r="JVH65" s="94"/>
      <c r="JVI65" s="94"/>
      <c r="JVJ65" s="94"/>
      <c r="JVK65" s="94"/>
      <c r="JVL65" s="94"/>
      <c r="JVM65" s="94"/>
      <c r="JVN65" s="94"/>
      <c r="JVO65" s="94"/>
      <c r="JVP65" s="94"/>
      <c r="JVQ65" s="94"/>
      <c r="JVR65" s="94"/>
      <c r="JVS65" s="94"/>
      <c r="JVT65" s="94"/>
      <c r="JVU65" s="94"/>
      <c r="JVV65" s="94"/>
      <c r="JVW65" s="94"/>
      <c r="JVX65" s="94"/>
      <c r="JVY65" s="94"/>
      <c r="JVZ65" s="94"/>
      <c r="JWA65" s="94"/>
      <c r="JWB65" s="94"/>
      <c r="JWC65" s="94"/>
      <c r="JWD65" s="94"/>
      <c r="JWE65" s="94"/>
      <c r="JWF65" s="94"/>
      <c r="JWG65" s="94"/>
      <c r="JWH65" s="94"/>
      <c r="JWI65" s="94"/>
      <c r="JWJ65" s="94"/>
      <c r="JWK65" s="94"/>
      <c r="JWL65" s="94"/>
      <c r="JWM65" s="94"/>
      <c r="JWN65" s="94"/>
      <c r="JWO65" s="94"/>
      <c r="JWP65" s="94"/>
      <c r="JWQ65" s="94"/>
      <c r="JWR65" s="94"/>
      <c r="JWS65" s="94"/>
      <c r="JWT65" s="94"/>
      <c r="JWU65" s="94"/>
      <c r="JWV65" s="94"/>
      <c r="JWW65" s="94"/>
      <c r="JWX65" s="94"/>
      <c r="JWY65" s="94"/>
      <c r="JWZ65" s="94"/>
      <c r="JXA65" s="94"/>
      <c r="JXB65" s="94"/>
      <c r="JXC65" s="94"/>
      <c r="JXD65" s="94"/>
      <c r="JXE65" s="94"/>
      <c r="JXF65" s="94"/>
      <c r="JXG65" s="94"/>
      <c r="JXH65" s="94"/>
      <c r="JXI65" s="94"/>
      <c r="JXJ65" s="94"/>
      <c r="JXK65" s="94"/>
      <c r="JXL65" s="94"/>
      <c r="JXM65" s="94"/>
      <c r="JXN65" s="94"/>
      <c r="JXO65" s="94"/>
      <c r="JXP65" s="94"/>
      <c r="JXQ65" s="94"/>
      <c r="JXR65" s="94"/>
      <c r="JXS65" s="94"/>
      <c r="JXT65" s="94"/>
      <c r="JXU65" s="94"/>
      <c r="JXV65" s="94"/>
      <c r="JXW65" s="94"/>
      <c r="JXX65" s="94"/>
      <c r="JXY65" s="94"/>
      <c r="JXZ65" s="94"/>
      <c r="JYA65" s="94"/>
      <c r="JYB65" s="94"/>
      <c r="JYC65" s="94"/>
      <c r="JYD65" s="94"/>
      <c r="JYE65" s="94"/>
      <c r="JYF65" s="94"/>
      <c r="JYG65" s="94"/>
      <c r="JYH65" s="94"/>
      <c r="JYI65" s="94"/>
      <c r="JYJ65" s="94"/>
      <c r="JYK65" s="94"/>
      <c r="JYL65" s="94"/>
      <c r="JYM65" s="94"/>
      <c r="JYN65" s="94"/>
      <c r="JYO65" s="94"/>
      <c r="JYP65" s="94"/>
      <c r="JYQ65" s="94"/>
      <c r="JYR65" s="94"/>
      <c r="JYS65" s="94"/>
      <c r="JYT65" s="94"/>
      <c r="JYU65" s="94"/>
      <c r="JYV65" s="94"/>
      <c r="JYW65" s="94"/>
      <c r="JYX65" s="94"/>
      <c r="JYY65" s="94"/>
      <c r="JYZ65" s="94"/>
      <c r="JZA65" s="94"/>
      <c r="JZB65" s="94"/>
      <c r="JZC65" s="94"/>
      <c r="JZD65" s="94"/>
      <c r="JZE65" s="94"/>
      <c r="JZF65" s="94"/>
      <c r="JZG65" s="94"/>
      <c r="JZH65" s="94"/>
      <c r="JZI65" s="94"/>
      <c r="JZJ65" s="94"/>
      <c r="JZK65" s="94"/>
      <c r="JZL65" s="94"/>
      <c r="JZM65" s="94"/>
      <c r="JZN65" s="94"/>
      <c r="JZO65" s="94"/>
      <c r="JZP65" s="94"/>
      <c r="JZQ65" s="94"/>
      <c r="JZR65" s="94"/>
      <c r="JZS65" s="94"/>
      <c r="JZT65" s="94"/>
      <c r="JZU65" s="94"/>
      <c r="JZV65" s="94"/>
      <c r="JZW65" s="94"/>
      <c r="JZX65" s="94"/>
      <c r="JZY65" s="94"/>
      <c r="JZZ65" s="94"/>
      <c r="KAA65" s="94"/>
      <c r="KAB65" s="94"/>
      <c r="KAC65" s="94"/>
      <c r="KAD65" s="94"/>
      <c r="KAE65" s="94"/>
      <c r="KAF65" s="94"/>
      <c r="KAG65" s="94"/>
      <c r="KAH65" s="94"/>
      <c r="KAI65" s="94"/>
      <c r="KAJ65" s="94"/>
      <c r="KAK65" s="94"/>
      <c r="KAL65" s="94"/>
      <c r="KAM65" s="94"/>
      <c r="KAN65" s="94"/>
      <c r="KAO65" s="94"/>
      <c r="KAP65" s="94"/>
      <c r="KAQ65" s="94"/>
      <c r="KAR65" s="94"/>
      <c r="KAS65" s="94"/>
      <c r="KAT65" s="94"/>
      <c r="KAU65" s="94"/>
      <c r="KAV65" s="94"/>
      <c r="KAW65" s="94"/>
      <c r="KAX65" s="94"/>
      <c r="KAY65" s="94"/>
      <c r="KAZ65" s="94"/>
      <c r="KBA65" s="94"/>
      <c r="KBB65" s="94"/>
      <c r="KBC65" s="94"/>
      <c r="KBD65" s="94"/>
      <c r="KBE65" s="94"/>
      <c r="KBF65" s="94"/>
      <c r="KBG65" s="94"/>
      <c r="KBH65" s="94"/>
      <c r="KBI65" s="94"/>
      <c r="KBJ65" s="94"/>
      <c r="KBK65" s="94"/>
      <c r="KBL65" s="94"/>
      <c r="KBM65" s="94"/>
      <c r="KBN65" s="94"/>
      <c r="KBO65" s="94"/>
      <c r="KBP65" s="94"/>
      <c r="KBQ65" s="94"/>
      <c r="KBR65" s="94"/>
      <c r="KBS65" s="94"/>
      <c r="KBT65" s="94"/>
      <c r="KBU65" s="94"/>
      <c r="KBV65" s="94"/>
      <c r="KBW65" s="94"/>
      <c r="KBX65" s="94"/>
      <c r="KBY65" s="94"/>
      <c r="KBZ65" s="94"/>
      <c r="KCA65" s="94"/>
      <c r="KCB65" s="94"/>
      <c r="KCC65" s="94"/>
      <c r="KCD65" s="94"/>
      <c r="KCE65" s="94"/>
      <c r="KCF65" s="94"/>
      <c r="KCG65" s="94"/>
      <c r="KCH65" s="94"/>
      <c r="KCI65" s="94"/>
      <c r="KCJ65" s="94"/>
      <c r="KCK65" s="94"/>
      <c r="KCL65" s="94"/>
      <c r="KCM65" s="94"/>
      <c r="KCN65" s="94"/>
      <c r="KCO65" s="94"/>
      <c r="KCP65" s="94"/>
      <c r="KCQ65" s="94"/>
      <c r="KCR65" s="94"/>
      <c r="KCS65" s="94"/>
      <c r="KCT65" s="94"/>
      <c r="KCU65" s="94"/>
      <c r="KCV65" s="94"/>
      <c r="KCW65" s="94"/>
      <c r="KCX65" s="94"/>
      <c r="KCY65" s="94"/>
      <c r="KCZ65" s="94"/>
      <c r="KDA65" s="94"/>
      <c r="KDB65" s="94"/>
      <c r="KDC65" s="94"/>
      <c r="KDD65" s="94"/>
      <c r="KDE65" s="94"/>
      <c r="KDF65" s="94"/>
      <c r="KDG65" s="94"/>
      <c r="KDH65" s="94"/>
      <c r="KDI65" s="94"/>
      <c r="KDJ65" s="94"/>
      <c r="KDK65" s="94"/>
      <c r="KDL65" s="94"/>
      <c r="KDM65" s="94"/>
      <c r="KDN65" s="94"/>
      <c r="KDO65" s="94"/>
      <c r="KDP65" s="94"/>
      <c r="KDQ65" s="94"/>
      <c r="KDR65" s="94"/>
      <c r="KDS65" s="94"/>
      <c r="KDT65" s="94"/>
      <c r="KDU65" s="94"/>
      <c r="KDV65" s="94"/>
      <c r="KDW65" s="94"/>
      <c r="KDX65" s="94"/>
      <c r="KDY65" s="94"/>
      <c r="KDZ65" s="94"/>
      <c r="KEA65" s="94"/>
      <c r="KEB65" s="94"/>
      <c r="KEC65" s="94"/>
      <c r="KED65" s="94"/>
      <c r="KEE65" s="94"/>
      <c r="KEF65" s="94"/>
      <c r="KEG65" s="94"/>
      <c r="KEH65" s="94"/>
      <c r="KEI65" s="94"/>
      <c r="KEJ65" s="94"/>
      <c r="KEK65" s="94"/>
      <c r="KEL65" s="94"/>
      <c r="KEM65" s="94"/>
      <c r="KEN65" s="94"/>
      <c r="KEO65" s="94"/>
      <c r="KEP65" s="94"/>
      <c r="KEQ65" s="94"/>
      <c r="KER65" s="94"/>
      <c r="KES65" s="94"/>
      <c r="KET65" s="94"/>
      <c r="KEU65" s="94"/>
      <c r="KEV65" s="94"/>
      <c r="KEW65" s="94"/>
      <c r="KEX65" s="94"/>
      <c r="KEY65" s="94"/>
      <c r="KEZ65" s="94"/>
      <c r="KFA65" s="94"/>
      <c r="KFB65" s="94"/>
      <c r="KFC65" s="94"/>
      <c r="KFD65" s="94"/>
      <c r="KFE65" s="94"/>
      <c r="KFF65" s="94"/>
      <c r="KFG65" s="94"/>
      <c r="KFH65" s="94"/>
      <c r="KFI65" s="94"/>
      <c r="KFJ65" s="94"/>
      <c r="KFK65" s="94"/>
      <c r="KFL65" s="94"/>
      <c r="KFM65" s="94"/>
      <c r="KFN65" s="94"/>
      <c r="KFO65" s="94"/>
      <c r="KFP65" s="94"/>
      <c r="KFQ65" s="94"/>
      <c r="KFR65" s="94"/>
      <c r="KFS65" s="94"/>
      <c r="KFT65" s="94"/>
      <c r="KFU65" s="94"/>
      <c r="KFV65" s="94"/>
      <c r="KFW65" s="94"/>
      <c r="KFX65" s="94"/>
      <c r="KFY65" s="94"/>
      <c r="KFZ65" s="94"/>
      <c r="KGA65" s="94"/>
      <c r="KGB65" s="94"/>
      <c r="KGC65" s="94"/>
      <c r="KGD65" s="94"/>
      <c r="KGE65" s="94"/>
      <c r="KGF65" s="94"/>
      <c r="KGG65" s="94"/>
      <c r="KGH65" s="94"/>
      <c r="KGI65" s="94"/>
      <c r="KGJ65" s="94"/>
      <c r="KGK65" s="94"/>
      <c r="KGL65" s="94"/>
      <c r="KGM65" s="94"/>
      <c r="KGN65" s="94"/>
      <c r="KGO65" s="94"/>
      <c r="KGP65" s="94"/>
      <c r="KGQ65" s="94"/>
      <c r="KGR65" s="94"/>
      <c r="KGS65" s="94"/>
      <c r="KGT65" s="94"/>
      <c r="KGU65" s="94"/>
      <c r="KGV65" s="94"/>
      <c r="KGW65" s="94"/>
      <c r="KGX65" s="94"/>
      <c r="KGY65" s="94"/>
      <c r="KGZ65" s="94"/>
      <c r="KHA65" s="94"/>
      <c r="KHB65" s="94"/>
      <c r="KHC65" s="94"/>
      <c r="KHD65" s="94"/>
      <c r="KHE65" s="94"/>
      <c r="KHF65" s="94"/>
      <c r="KHG65" s="94"/>
      <c r="KHH65" s="94"/>
      <c r="KHI65" s="94"/>
      <c r="KHJ65" s="94"/>
      <c r="KHK65" s="94"/>
      <c r="KHL65" s="94"/>
      <c r="KHM65" s="94"/>
      <c r="KHN65" s="94"/>
      <c r="KHO65" s="94"/>
      <c r="KHP65" s="94"/>
      <c r="KHQ65" s="94"/>
      <c r="KHR65" s="94"/>
      <c r="KHS65" s="94"/>
      <c r="KHT65" s="94"/>
      <c r="KHU65" s="94"/>
      <c r="KHV65" s="94"/>
      <c r="KHW65" s="94"/>
      <c r="KHX65" s="94"/>
      <c r="KHY65" s="94"/>
      <c r="KHZ65" s="94"/>
      <c r="KIA65" s="94"/>
      <c r="KIB65" s="94"/>
      <c r="KIC65" s="94"/>
      <c r="KID65" s="94"/>
      <c r="KIE65" s="94"/>
      <c r="KIF65" s="94"/>
      <c r="KIG65" s="94"/>
      <c r="KIH65" s="94"/>
      <c r="KII65" s="94"/>
      <c r="KIJ65" s="94"/>
      <c r="KIK65" s="94"/>
      <c r="KIL65" s="94"/>
      <c r="KIM65" s="94"/>
      <c r="KIN65" s="94"/>
      <c r="KIO65" s="94"/>
      <c r="KIP65" s="94"/>
      <c r="KIQ65" s="94"/>
      <c r="KIR65" s="94"/>
      <c r="KIS65" s="94"/>
      <c r="KIT65" s="94"/>
      <c r="KIU65" s="94"/>
      <c r="KIV65" s="94"/>
      <c r="KIW65" s="94"/>
      <c r="KIX65" s="94"/>
      <c r="KIY65" s="94"/>
      <c r="KIZ65" s="94"/>
      <c r="KJA65" s="94"/>
      <c r="KJB65" s="94"/>
      <c r="KJC65" s="94"/>
      <c r="KJD65" s="94"/>
      <c r="KJE65" s="94"/>
      <c r="KJF65" s="94"/>
      <c r="KJG65" s="94"/>
      <c r="KJH65" s="94"/>
      <c r="KJI65" s="94"/>
      <c r="KJJ65" s="94"/>
      <c r="KJK65" s="94"/>
      <c r="KJL65" s="94"/>
      <c r="KJM65" s="94"/>
      <c r="KJN65" s="94"/>
      <c r="KJO65" s="94"/>
      <c r="KJP65" s="94"/>
      <c r="KJQ65" s="94"/>
      <c r="KJR65" s="94"/>
      <c r="KJS65" s="94"/>
      <c r="KJT65" s="94"/>
      <c r="KJU65" s="94"/>
      <c r="KJV65" s="94"/>
      <c r="KJW65" s="94"/>
      <c r="KJX65" s="94"/>
      <c r="KJY65" s="94"/>
      <c r="KJZ65" s="94"/>
      <c r="KKA65" s="94"/>
      <c r="KKB65" s="94"/>
      <c r="KKC65" s="94"/>
      <c r="KKD65" s="94"/>
      <c r="KKE65" s="94"/>
      <c r="KKF65" s="94"/>
      <c r="KKG65" s="94"/>
      <c r="KKH65" s="94"/>
      <c r="KKI65" s="94"/>
      <c r="KKJ65" s="94"/>
      <c r="KKK65" s="94"/>
      <c r="KKL65" s="94"/>
      <c r="KKM65" s="94"/>
      <c r="KKN65" s="94"/>
      <c r="KKO65" s="94"/>
      <c r="KKP65" s="94"/>
      <c r="KKQ65" s="94"/>
      <c r="KKR65" s="94"/>
      <c r="KKS65" s="94"/>
      <c r="KKT65" s="94"/>
      <c r="KKU65" s="94"/>
      <c r="KKV65" s="94"/>
      <c r="KKW65" s="94"/>
      <c r="KKX65" s="94"/>
      <c r="KKY65" s="94"/>
      <c r="KKZ65" s="94"/>
      <c r="KLA65" s="94"/>
      <c r="KLB65" s="94"/>
      <c r="KLC65" s="94"/>
      <c r="KLD65" s="94"/>
      <c r="KLE65" s="94"/>
      <c r="KLF65" s="94"/>
      <c r="KLG65" s="94"/>
      <c r="KLH65" s="94"/>
      <c r="KLI65" s="94"/>
      <c r="KLJ65" s="94"/>
      <c r="KLK65" s="94"/>
      <c r="KLL65" s="94"/>
      <c r="KLM65" s="94"/>
      <c r="KLN65" s="94"/>
      <c r="KLO65" s="94"/>
      <c r="KLP65" s="94"/>
      <c r="KLQ65" s="94"/>
      <c r="KLR65" s="94"/>
      <c r="KLS65" s="94"/>
      <c r="KLT65" s="94"/>
      <c r="KLU65" s="94"/>
      <c r="KLV65" s="94"/>
      <c r="KLW65" s="94"/>
      <c r="KLX65" s="94"/>
      <c r="KLY65" s="94"/>
      <c r="KLZ65" s="94"/>
      <c r="KMA65" s="94"/>
      <c r="KMB65" s="94"/>
      <c r="KMC65" s="94"/>
      <c r="KMD65" s="94"/>
      <c r="KME65" s="94"/>
      <c r="KMF65" s="94"/>
      <c r="KMG65" s="94"/>
      <c r="KMH65" s="94"/>
      <c r="KMI65" s="94"/>
      <c r="KMJ65" s="94"/>
      <c r="KMK65" s="94"/>
      <c r="KML65" s="94"/>
      <c r="KMM65" s="94"/>
      <c r="KMN65" s="94"/>
      <c r="KMO65" s="94"/>
      <c r="KMP65" s="94"/>
      <c r="KMQ65" s="94"/>
      <c r="KMR65" s="94"/>
      <c r="KMS65" s="94"/>
      <c r="KMT65" s="94"/>
      <c r="KMU65" s="94"/>
      <c r="KMV65" s="94"/>
      <c r="KMW65" s="94"/>
      <c r="KMX65" s="94"/>
      <c r="KMY65" s="94"/>
      <c r="KMZ65" s="94"/>
      <c r="KNA65" s="94"/>
      <c r="KNB65" s="94"/>
      <c r="KNC65" s="94"/>
      <c r="KND65" s="94"/>
      <c r="KNE65" s="94"/>
      <c r="KNF65" s="94"/>
      <c r="KNG65" s="94"/>
      <c r="KNH65" s="94"/>
      <c r="KNI65" s="94"/>
      <c r="KNJ65" s="94"/>
      <c r="KNK65" s="94"/>
      <c r="KNL65" s="94"/>
      <c r="KNM65" s="94"/>
      <c r="KNN65" s="94"/>
      <c r="KNO65" s="94"/>
      <c r="KNP65" s="94"/>
      <c r="KNQ65" s="94"/>
      <c r="KNR65" s="94"/>
      <c r="KNS65" s="94"/>
      <c r="KNT65" s="94"/>
      <c r="KNU65" s="94"/>
      <c r="KNV65" s="94"/>
      <c r="KNW65" s="94"/>
      <c r="KNX65" s="94"/>
      <c r="KNY65" s="94"/>
      <c r="KNZ65" s="94"/>
      <c r="KOA65" s="94"/>
      <c r="KOB65" s="94"/>
      <c r="KOC65" s="94"/>
      <c r="KOD65" s="94"/>
      <c r="KOE65" s="94"/>
      <c r="KOF65" s="94"/>
      <c r="KOG65" s="94"/>
      <c r="KOH65" s="94"/>
      <c r="KOI65" s="94"/>
      <c r="KOJ65" s="94"/>
      <c r="KOK65" s="94"/>
      <c r="KOL65" s="94"/>
      <c r="KOM65" s="94"/>
      <c r="KON65" s="94"/>
      <c r="KOO65" s="94"/>
      <c r="KOP65" s="94"/>
      <c r="KOQ65" s="94"/>
      <c r="KOR65" s="94"/>
      <c r="KOS65" s="94"/>
      <c r="KOT65" s="94"/>
      <c r="KOU65" s="94"/>
      <c r="KOV65" s="94"/>
      <c r="KOW65" s="94"/>
      <c r="KOX65" s="94"/>
      <c r="KOY65" s="94"/>
      <c r="KOZ65" s="94"/>
      <c r="KPA65" s="94"/>
      <c r="KPB65" s="94"/>
      <c r="KPC65" s="94"/>
      <c r="KPD65" s="94"/>
      <c r="KPE65" s="94"/>
      <c r="KPF65" s="94"/>
      <c r="KPG65" s="94"/>
      <c r="KPH65" s="94"/>
      <c r="KPI65" s="94"/>
      <c r="KPJ65" s="94"/>
      <c r="KPK65" s="94"/>
      <c r="KPL65" s="94"/>
      <c r="KPM65" s="94"/>
      <c r="KPN65" s="94"/>
      <c r="KPO65" s="94"/>
      <c r="KPP65" s="94"/>
      <c r="KPQ65" s="94"/>
      <c r="KPR65" s="94"/>
      <c r="KPS65" s="94"/>
      <c r="KPT65" s="94"/>
      <c r="KPU65" s="94"/>
      <c r="KPV65" s="94"/>
      <c r="KPW65" s="94"/>
      <c r="KPX65" s="94"/>
      <c r="KPY65" s="94"/>
      <c r="KPZ65" s="94"/>
      <c r="KQA65" s="94"/>
      <c r="KQB65" s="94"/>
      <c r="KQC65" s="94"/>
      <c r="KQD65" s="94"/>
      <c r="KQE65" s="94"/>
      <c r="KQF65" s="94"/>
      <c r="KQG65" s="94"/>
      <c r="KQH65" s="94"/>
      <c r="KQI65" s="94"/>
      <c r="KQJ65" s="94"/>
      <c r="KQK65" s="94"/>
      <c r="KQL65" s="94"/>
      <c r="KQM65" s="94"/>
      <c r="KQN65" s="94"/>
      <c r="KQO65" s="94"/>
      <c r="KQP65" s="94"/>
      <c r="KQQ65" s="94"/>
      <c r="KQR65" s="94"/>
      <c r="KQS65" s="94"/>
      <c r="KQT65" s="94"/>
      <c r="KQU65" s="94"/>
      <c r="KQV65" s="94"/>
      <c r="KQW65" s="94"/>
      <c r="KQX65" s="94"/>
      <c r="KQY65" s="94"/>
      <c r="KQZ65" s="94"/>
      <c r="KRA65" s="94"/>
      <c r="KRB65" s="94"/>
      <c r="KRC65" s="94"/>
      <c r="KRD65" s="94"/>
      <c r="KRE65" s="94"/>
      <c r="KRF65" s="94"/>
      <c r="KRG65" s="94"/>
      <c r="KRH65" s="94"/>
      <c r="KRI65" s="94"/>
      <c r="KRJ65" s="94"/>
      <c r="KRK65" s="94"/>
      <c r="KRL65" s="94"/>
      <c r="KRM65" s="94"/>
      <c r="KRN65" s="94"/>
      <c r="KRO65" s="94"/>
      <c r="KRP65" s="94"/>
      <c r="KRQ65" s="94"/>
      <c r="KRR65" s="94"/>
      <c r="KRS65" s="94"/>
      <c r="KRT65" s="94"/>
      <c r="KRU65" s="94"/>
      <c r="KRV65" s="94"/>
      <c r="KRW65" s="94"/>
      <c r="KRX65" s="94"/>
      <c r="KRY65" s="94"/>
      <c r="KRZ65" s="94"/>
      <c r="KSA65" s="94"/>
      <c r="KSB65" s="94"/>
      <c r="KSC65" s="94"/>
      <c r="KSD65" s="94"/>
      <c r="KSE65" s="94"/>
      <c r="KSF65" s="94"/>
      <c r="KSG65" s="94"/>
      <c r="KSH65" s="94"/>
      <c r="KSI65" s="94"/>
      <c r="KSJ65" s="94"/>
      <c r="KSK65" s="94"/>
      <c r="KSL65" s="94"/>
      <c r="KSM65" s="94"/>
      <c r="KSN65" s="94"/>
      <c r="KSO65" s="94"/>
      <c r="KSP65" s="94"/>
      <c r="KSQ65" s="94"/>
      <c r="KSR65" s="94"/>
      <c r="KSS65" s="94"/>
      <c r="KST65" s="94"/>
      <c r="KSU65" s="94"/>
      <c r="KSV65" s="94"/>
      <c r="KSW65" s="94"/>
      <c r="KSX65" s="94"/>
      <c r="KSY65" s="94"/>
      <c r="KSZ65" s="94"/>
      <c r="KTA65" s="94"/>
      <c r="KTB65" s="94"/>
      <c r="KTC65" s="94"/>
      <c r="KTD65" s="94"/>
      <c r="KTE65" s="94"/>
      <c r="KTF65" s="94"/>
      <c r="KTG65" s="94"/>
      <c r="KTH65" s="94"/>
      <c r="KTI65" s="94"/>
      <c r="KTJ65" s="94"/>
      <c r="KTK65" s="94"/>
      <c r="KTL65" s="94"/>
      <c r="KTM65" s="94"/>
      <c r="KTN65" s="94"/>
      <c r="KTO65" s="94"/>
      <c r="KTP65" s="94"/>
      <c r="KTQ65" s="94"/>
      <c r="KTR65" s="94"/>
      <c r="KTS65" s="94"/>
      <c r="KTT65" s="94"/>
      <c r="KTU65" s="94"/>
      <c r="KTV65" s="94"/>
      <c r="KTW65" s="94"/>
      <c r="KTX65" s="94"/>
      <c r="KTY65" s="94"/>
      <c r="KTZ65" s="94"/>
      <c r="KUA65" s="94"/>
      <c r="KUB65" s="94"/>
      <c r="KUC65" s="94"/>
      <c r="KUD65" s="94"/>
      <c r="KUE65" s="94"/>
      <c r="KUF65" s="94"/>
      <c r="KUG65" s="94"/>
      <c r="KUH65" s="94"/>
      <c r="KUI65" s="94"/>
      <c r="KUJ65" s="94"/>
      <c r="KUK65" s="94"/>
      <c r="KUL65" s="94"/>
      <c r="KUM65" s="94"/>
      <c r="KUN65" s="94"/>
      <c r="KUO65" s="94"/>
      <c r="KUP65" s="94"/>
      <c r="KUQ65" s="94"/>
      <c r="KUR65" s="94"/>
      <c r="KUS65" s="94"/>
      <c r="KUT65" s="94"/>
      <c r="KUU65" s="94"/>
      <c r="KUV65" s="94"/>
      <c r="KUW65" s="94"/>
      <c r="KUX65" s="94"/>
      <c r="KUY65" s="94"/>
      <c r="KUZ65" s="94"/>
      <c r="KVA65" s="94"/>
      <c r="KVB65" s="94"/>
      <c r="KVC65" s="94"/>
      <c r="KVD65" s="94"/>
      <c r="KVE65" s="94"/>
      <c r="KVF65" s="94"/>
      <c r="KVG65" s="94"/>
      <c r="KVH65" s="94"/>
      <c r="KVI65" s="94"/>
      <c r="KVJ65" s="94"/>
      <c r="KVK65" s="94"/>
      <c r="KVL65" s="94"/>
      <c r="KVM65" s="94"/>
      <c r="KVN65" s="94"/>
      <c r="KVO65" s="94"/>
      <c r="KVP65" s="94"/>
      <c r="KVQ65" s="94"/>
      <c r="KVR65" s="94"/>
      <c r="KVS65" s="94"/>
      <c r="KVT65" s="94"/>
      <c r="KVU65" s="94"/>
      <c r="KVV65" s="94"/>
      <c r="KVW65" s="94"/>
      <c r="KVX65" s="94"/>
      <c r="KVY65" s="94"/>
      <c r="KVZ65" s="94"/>
      <c r="KWA65" s="94"/>
      <c r="KWB65" s="94"/>
      <c r="KWC65" s="94"/>
      <c r="KWD65" s="94"/>
      <c r="KWE65" s="94"/>
      <c r="KWF65" s="94"/>
      <c r="KWG65" s="94"/>
      <c r="KWH65" s="94"/>
      <c r="KWI65" s="94"/>
      <c r="KWJ65" s="94"/>
      <c r="KWK65" s="94"/>
      <c r="KWL65" s="94"/>
      <c r="KWM65" s="94"/>
      <c r="KWN65" s="94"/>
      <c r="KWO65" s="94"/>
      <c r="KWP65" s="94"/>
      <c r="KWQ65" s="94"/>
      <c r="KWR65" s="94"/>
      <c r="KWS65" s="94"/>
      <c r="KWT65" s="94"/>
      <c r="KWU65" s="94"/>
      <c r="KWV65" s="94"/>
      <c r="KWW65" s="94"/>
      <c r="KWX65" s="94"/>
      <c r="KWY65" s="94"/>
      <c r="KWZ65" s="94"/>
      <c r="KXA65" s="94"/>
      <c r="KXB65" s="94"/>
      <c r="KXC65" s="94"/>
      <c r="KXD65" s="94"/>
      <c r="KXE65" s="94"/>
      <c r="KXF65" s="94"/>
      <c r="KXG65" s="94"/>
      <c r="KXH65" s="94"/>
      <c r="KXI65" s="94"/>
      <c r="KXJ65" s="94"/>
      <c r="KXK65" s="94"/>
      <c r="KXL65" s="94"/>
      <c r="KXM65" s="94"/>
      <c r="KXN65" s="94"/>
      <c r="KXO65" s="94"/>
      <c r="KXP65" s="94"/>
      <c r="KXQ65" s="94"/>
      <c r="KXR65" s="94"/>
      <c r="KXS65" s="94"/>
      <c r="KXT65" s="94"/>
      <c r="KXU65" s="94"/>
      <c r="KXV65" s="94"/>
      <c r="KXW65" s="94"/>
      <c r="KXX65" s="94"/>
      <c r="KXY65" s="94"/>
      <c r="KXZ65" s="94"/>
      <c r="KYA65" s="94"/>
      <c r="KYB65" s="94"/>
      <c r="KYC65" s="94"/>
      <c r="KYD65" s="94"/>
      <c r="KYE65" s="94"/>
      <c r="KYF65" s="94"/>
      <c r="KYG65" s="94"/>
      <c r="KYH65" s="94"/>
      <c r="KYI65" s="94"/>
      <c r="KYJ65" s="94"/>
      <c r="KYK65" s="94"/>
      <c r="KYL65" s="94"/>
      <c r="KYM65" s="94"/>
      <c r="KYN65" s="94"/>
      <c r="KYO65" s="94"/>
      <c r="KYP65" s="94"/>
      <c r="KYQ65" s="94"/>
      <c r="KYR65" s="94"/>
      <c r="KYS65" s="94"/>
      <c r="KYT65" s="94"/>
      <c r="KYU65" s="94"/>
      <c r="KYV65" s="94"/>
      <c r="KYW65" s="94"/>
      <c r="KYX65" s="94"/>
      <c r="KYY65" s="94"/>
      <c r="KYZ65" s="94"/>
      <c r="KZA65" s="94"/>
      <c r="KZB65" s="94"/>
      <c r="KZC65" s="94"/>
      <c r="KZD65" s="94"/>
      <c r="KZE65" s="94"/>
      <c r="KZF65" s="94"/>
      <c r="KZG65" s="94"/>
      <c r="KZH65" s="94"/>
      <c r="KZI65" s="94"/>
      <c r="KZJ65" s="94"/>
      <c r="KZK65" s="94"/>
      <c r="KZL65" s="94"/>
      <c r="KZM65" s="94"/>
      <c r="KZN65" s="94"/>
      <c r="KZO65" s="94"/>
      <c r="KZP65" s="94"/>
      <c r="KZQ65" s="94"/>
      <c r="KZR65" s="94"/>
      <c r="KZS65" s="94"/>
      <c r="KZT65" s="94"/>
      <c r="KZU65" s="94"/>
      <c r="KZV65" s="94"/>
      <c r="KZW65" s="94"/>
      <c r="KZX65" s="94"/>
      <c r="KZY65" s="94"/>
      <c r="KZZ65" s="94"/>
      <c r="LAA65" s="94"/>
      <c r="LAB65" s="94"/>
      <c r="LAC65" s="94"/>
      <c r="LAD65" s="94"/>
      <c r="LAE65" s="94"/>
      <c r="LAF65" s="94"/>
      <c r="LAG65" s="94"/>
      <c r="LAH65" s="94"/>
      <c r="LAI65" s="94"/>
      <c r="LAJ65" s="94"/>
      <c r="LAK65" s="94"/>
      <c r="LAL65" s="94"/>
      <c r="LAM65" s="94"/>
      <c r="LAN65" s="94"/>
      <c r="LAO65" s="94"/>
      <c r="LAP65" s="94"/>
      <c r="LAQ65" s="94"/>
      <c r="LAR65" s="94"/>
      <c r="LAS65" s="94"/>
      <c r="LAT65" s="94"/>
      <c r="LAU65" s="94"/>
      <c r="LAV65" s="94"/>
      <c r="LAW65" s="94"/>
      <c r="LAX65" s="94"/>
      <c r="LAY65" s="94"/>
      <c r="LAZ65" s="94"/>
      <c r="LBA65" s="94"/>
      <c r="LBB65" s="94"/>
      <c r="LBC65" s="94"/>
      <c r="LBD65" s="94"/>
      <c r="LBE65" s="94"/>
      <c r="LBF65" s="94"/>
      <c r="LBG65" s="94"/>
      <c r="LBH65" s="94"/>
      <c r="LBI65" s="94"/>
      <c r="LBJ65" s="94"/>
      <c r="LBK65" s="94"/>
      <c r="LBL65" s="94"/>
      <c r="LBM65" s="94"/>
      <c r="LBN65" s="94"/>
      <c r="LBO65" s="94"/>
      <c r="LBP65" s="94"/>
      <c r="LBQ65" s="94"/>
      <c r="LBR65" s="94"/>
      <c r="LBS65" s="94"/>
      <c r="LBT65" s="94"/>
      <c r="LBU65" s="94"/>
      <c r="LBV65" s="94"/>
      <c r="LBW65" s="94"/>
      <c r="LBX65" s="94"/>
      <c r="LBY65" s="94"/>
      <c r="LBZ65" s="94"/>
      <c r="LCA65" s="94"/>
      <c r="LCB65" s="94"/>
      <c r="LCC65" s="94"/>
      <c r="LCD65" s="94"/>
      <c r="LCE65" s="94"/>
      <c r="LCF65" s="94"/>
      <c r="LCG65" s="94"/>
      <c r="LCH65" s="94"/>
      <c r="LCI65" s="94"/>
      <c r="LCJ65" s="94"/>
      <c r="LCK65" s="94"/>
      <c r="LCL65" s="94"/>
      <c r="LCM65" s="94"/>
      <c r="LCN65" s="94"/>
      <c r="LCO65" s="94"/>
      <c r="LCP65" s="94"/>
      <c r="LCQ65" s="94"/>
      <c r="LCR65" s="94"/>
      <c r="LCS65" s="94"/>
      <c r="LCT65" s="94"/>
      <c r="LCU65" s="94"/>
      <c r="LCV65" s="94"/>
      <c r="LCW65" s="94"/>
      <c r="LCX65" s="94"/>
      <c r="LCY65" s="94"/>
      <c r="LCZ65" s="94"/>
      <c r="LDA65" s="94"/>
      <c r="LDB65" s="94"/>
      <c r="LDC65" s="94"/>
      <c r="LDD65" s="94"/>
      <c r="LDE65" s="94"/>
      <c r="LDF65" s="94"/>
      <c r="LDG65" s="94"/>
      <c r="LDH65" s="94"/>
      <c r="LDI65" s="94"/>
      <c r="LDJ65" s="94"/>
      <c r="LDK65" s="94"/>
      <c r="LDL65" s="94"/>
      <c r="LDM65" s="94"/>
      <c r="LDN65" s="94"/>
      <c r="LDO65" s="94"/>
      <c r="LDP65" s="94"/>
      <c r="LDQ65" s="94"/>
      <c r="LDR65" s="94"/>
      <c r="LDS65" s="94"/>
      <c r="LDT65" s="94"/>
      <c r="LDU65" s="94"/>
      <c r="LDV65" s="94"/>
      <c r="LDW65" s="94"/>
      <c r="LDX65" s="94"/>
      <c r="LDY65" s="94"/>
      <c r="LDZ65" s="94"/>
      <c r="LEA65" s="94"/>
      <c r="LEB65" s="94"/>
      <c r="LEC65" s="94"/>
      <c r="LED65" s="94"/>
      <c r="LEE65" s="94"/>
      <c r="LEF65" s="94"/>
      <c r="LEG65" s="94"/>
      <c r="LEH65" s="94"/>
      <c r="LEI65" s="94"/>
      <c r="LEJ65" s="94"/>
      <c r="LEK65" s="94"/>
      <c r="LEL65" s="94"/>
      <c r="LEM65" s="94"/>
      <c r="LEN65" s="94"/>
      <c r="LEO65" s="94"/>
      <c r="LEP65" s="94"/>
      <c r="LEQ65" s="94"/>
      <c r="LER65" s="94"/>
      <c r="LES65" s="94"/>
      <c r="LET65" s="94"/>
      <c r="LEU65" s="94"/>
      <c r="LEV65" s="94"/>
      <c r="LEW65" s="94"/>
      <c r="LEX65" s="94"/>
      <c r="LEY65" s="94"/>
      <c r="LEZ65" s="94"/>
      <c r="LFA65" s="94"/>
      <c r="LFB65" s="94"/>
      <c r="LFC65" s="94"/>
      <c r="LFD65" s="94"/>
      <c r="LFE65" s="94"/>
      <c r="LFF65" s="94"/>
      <c r="LFG65" s="94"/>
      <c r="LFH65" s="94"/>
      <c r="LFI65" s="94"/>
      <c r="LFJ65" s="94"/>
      <c r="LFK65" s="94"/>
      <c r="LFL65" s="94"/>
      <c r="LFM65" s="94"/>
      <c r="LFN65" s="94"/>
      <c r="LFO65" s="94"/>
      <c r="LFP65" s="94"/>
      <c r="LFQ65" s="94"/>
      <c r="LFR65" s="94"/>
      <c r="LFS65" s="94"/>
      <c r="LFT65" s="94"/>
      <c r="LFU65" s="94"/>
      <c r="LFV65" s="94"/>
      <c r="LFW65" s="94"/>
      <c r="LFX65" s="94"/>
      <c r="LFY65" s="94"/>
      <c r="LFZ65" s="94"/>
      <c r="LGA65" s="94"/>
      <c r="LGB65" s="94"/>
      <c r="LGC65" s="94"/>
      <c r="LGD65" s="94"/>
      <c r="LGE65" s="94"/>
      <c r="LGF65" s="94"/>
      <c r="LGG65" s="94"/>
      <c r="LGH65" s="94"/>
      <c r="LGI65" s="94"/>
      <c r="LGJ65" s="94"/>
      <c r="LGK65" s="94"/>
      <c r="LGL65" s="94"/>
      <c r="LGM65" s="94"/>
      <c r="LGN65" s="94"/>
      <c r="LGO65" s="94"/>
      <c r="LGP65" s="94"/>
      <c r="LGQ65" s="94"/>
      <c r="LGR65" s="94"/>
      <c r="LGS65" s="94"/>
      <c r="LGT65" s="94"/>
      <c r="LGU65" s="94"/>
      <c r="LGV65" s="94"/>
      <c r="LGW65" s="94"/>
      <c r="LGX65" s="94"/>
      <c r="LGY65" s="94"/>
      <c r="LGZ65" s="94"/>
      <c r="LHA65" s="94"/>
      <c r="LHB65" s="94"/>
      <c r="LHC65" s="94"/>
      <c r="LHD65" s="94"/>
      <c r="LHE65" s="94"/>
      <c r="LHF65" s="94"/>
      <c r="LHG65" s="94"/>
      <c r="LHH65" s="94"/>
      <c r="LHI65" s="94"/>
      <c r="LHJ65" s="94"/>
      <c r="LHK65" s="94"/>
      <c r="LHL65" s="94"/>
      <c r="LHM65" s="94"/>
      <c r="LHN65" s="94"/>
      <c r="LHO65" s="94"/>
      <c r="LHP65" s="94"/>
      <c r="LHQ65" s="94"/>
      <c r="LHR65" s="94"/>
      <c r="LHS65" s="94"/>
      <c r="LHT65" s="94"/>
      <c r="LHU65" s="94"/>
      <c r="LHV65" s="94"/>
      <c r="LHW65" s="94"/>
      <c r="LHX65" s="94"/>
      <c r="LHY65" s="94"/>
      <c r="LHZ65" s="94"/>
      <c r="LIA65" s="94"/>
      <c r="LIB65" s="94"/>
      <c r="LIC65" s="94"/>
      <c r="LID65" s="94"/>
      <c r="LIE65" s="94"/>
      <c r="LIF65" s="94"/>
      <c r="LIG65" s="94"/>
      <c r="LIH65" s="94"/>
      <c r="LII65" s="94"/>
      <c r="LIJ65" s="94"/>
      <c r="LIK65" s="94"/>
      <c r="LIL65" s="94"/>
      <c r="LIM65" s="94"/>
      <c r="LIN65" s="94"/>
      <c r="LIO65" s="94"/>
      <c r="LIP65" s="94"/>
      <c r="LIQ65" s="94"/>
      <c r="LIR65" s="94"/>
      <c r="LIS65" s="94"/>
      <c r="LIT65" s="94"/>
      <c r="LIU65" s="94"/>
      <c r="LIV65" s="94"/>
      <c r="LIW65" s="94"/>
      <c r="LIX65" s="94"/>
      <c r="LIY65" s="94"/>
      <c r="LIZ65" s="94"/>
      <c r="LJA65" s="94"/>
      <c r="LJB65" s="94"/>
      <c r="LJC65" s="94"/>
      <c r="LJD65" s="94"/>
      <c r="LJE65" s="94"/>
      <c r="LJF65" s="94"/>
      <c r="LJG65" s="94"/>
      <c r="LJH65" s="94"/>
      <c r="LJI65" s="94"/>
      <c r="LJJ65" s="94"/>
      <c r="LJK65" s="94"/>
      <c r="LJL65" s="94"/>
      <c r="LJM65" s="94"/>
      <c r="LJN65" s="94"/>
      <c r="LJO65" s="94"/>
      <c r="LJP65" s="94"/>
      <c r="LJQ65" s="94"/>
      <c r="LJR65" s="94"/>
      <c r="LJS65" s="94"/>
      <c r="LJT65" s="94"/>
      <c r="LJU65" s="94"/>
      <c r="LJV65" s="94"/>
      <c r="LJW65" s="94"/>
      <c r="LJX65" s="94"/>
      <c r="LJY65" s="94"/>
      <c r="LJZ65" s="94"/>
      <c r="LKA65" s="94"/>
      <c r="LKB65" s="94"/>
      <c r="LKC65" s="94"/>
      <c r="LKD65" s="94"/>
      <c r="LKE65" s="94"/>
      <c r="LKF65" s="94"/>
      <c r="LKG65" s="94"/>
      <c r="LKH65" s="94"/>
      <c r="LKI65" s="94"/>
      <c r="LKJ65" s="94"/>
      <c r="LKK65" s="94"/>
      <c r="LKL65" s="94"/>
      <c r="LKM65" s="94"/>
      <c r="LKN65" s="94"/>
      <c r="LKO65" s="94"/>
      <c r="LKP65" s="94"/>
      <c r="LKQ65" s="94"/>
      <c r="LKR65" s="94"/>
      <c r="LKS65" s="94"/>
      <c r="LKT65" s="94"/>
      <c r="LKU65" s="94"/>
      <c r="LKV65" s="94"/>
      <c r="LKW65" s="94"/>
      <c r="LKX65" s="94"/>
      <c r="LKY65" s="94"/>
      <c r="LKZ65" s="94"/>
      <c r="LLA65" s="94"/>
      <c r="LLB65" s="94"/>
      <c r="LLC65" s="94"/>
      <c r="LLD65" s="94"/>
      <c r="LLE65" s="94"/>
      <c r="LLF65" s="94"/>
      <c r="LLG65" s="94"/>
      <c r="LLH65" s="94"/>
      <c r="LLI65" s="94"/>
      <c r="LLJ65" s="94"/>
      <c r="LLK65" s="94"/>
      <c r="LLL65" s="94"/>
      <c r="LLM65" s="94"/>
      <c r="LLN65" s="94"/>
      <c r="LLO65" s="94"/>
      <c r="LLP65" s="94"/>
      <c r="LLQ65" s="94"/>
      <c r="LLR65" s="94"/>
      <c r="LLS65" s="94"/>
      <c r="LLT65" s="94"/>
      <c r="LLU65" s="94"/>
      <c r="LLV65" s="94"/>
      <c r="LLW65" s="94"/>
      <c r="LLX65" s="94"/>
      <c r="LLY65" s="94"/>
      <c r="LLZ65" s="94"/>
      <c r="LMA65" s="94"/>
      <c r="LMB65" s="94"/>
      <c r="LMC65" s="94"/>
      <c r="LMD65" s="94"/>
      <c r="LME65" s="94"/>
      <c r="LMF65" s="94"/>
      <c r="LMG65" s="94"/>
      <c r="LMH65" s="94"/>
      <c r="LMI65" s="94"/>
      <c r="LMJ65" s="94"/>
      <c r="LMK65" s="94"/>
      <c r="LML65" s="94"/>
      <c r="LMM65" s="94"/>
      <c r="LMN65" s="94"/>
      <c r="LMO65" s="94"/>
      <c r="LMP65" s="94"/>
      <c r="LMQ65" s="94"/>
      <c r="LMR65" s="94"/>
      <c r="LMS65" s="94"/>
      <c r="LMT65" s="94"/>
      <c r="LMU65" s="94"/>
      <c r="LMV65" s="94"/>
      <c r="LMW65" s="94"/>
      <c r="LMX65" s="94"/>
      <c r="LMY65" s="94"/>
      <c r="LMZ65" s="94"/>
      <c r="LNA65" s="94"/>
      <c r="LNB65" s="94"/>
      <c r="LNC65" s="94"/>
      <c r="LND65" s="94"/>
      <c r="LNE65" s="94"/>
      <c r="LNF65" s="94"/>
      <c r="LNG65" s="94"/>
      <c r="LNH65" s="94"/>
      <c r="LNI65" s="94"/>
      <c r="LNJ65" s="94"/>
      <c r="LNK65" s="94"/>
      <c r="LNL65" s="94"/>
      <c r="LNM65" s="94"/>
      <c r="LNN65" s="94"/>
      <c r="LNO65" s="94"/>
      <c r="LNP65" s="94"/>
      <c r="LNQ65" s="94"/>
      <c r="LNR65" s="94"/>
      <c r="LNS65" s="94"/>
      <c r="LNT65" s="94"/>
      <c r="LNU65" s="94"/>
      <c r="LNV65" s="94"/>
      <c r="LNW65" s="94"/>
      <c r="LNX65" s="94"/>
      <c r="LNY65" s="94"/>
      <c r="LNZ65" s="94"/>
      <c r="LOA65" s="94"/>
      <c r="LOB65" s="94"/>
      <c r="LOC65" s="94"/>
      <c r="LOD65" s="94"/>
      <c r="LOE65" s="94"/>
      <c r="LOF65" s="94"/>
      <c r="LOG65" s="94"/>
      <c r="LOH65" s="94"/>
      <c r="LOI65" s="94"/>
      <c r="LOJ65" s="94"/>
      <c r="LOK65" s="94"/>
      <c r="LOL65" s="94"/>
      <c r="LOM65" s="94"/>
      <c r="LON65" s="94"/>
      <c r="LOO65" s="94"/>
      <c r="LOP65" s="94"/>
      <c r="LOQ65" s="94"/>
      <c r="LOR65" s="94"/>
      <c r="LOS65" s="94"/>
      <c r="LOT65" s="94"/>
      <c r="LOU65" s="94"/>
      <c r="LOV65" s="94"/>
      <c r="LOW65" s="94"/>
      <c r="LOX65" s="94"/>
      <c r="LOY65" s="94"/>
      <c r="LOZ65" s="94"/>
      <c r="LPA65" s="94"/>
      <c r="LPB65" s="94"/>
      <c r="LPC65" s="94"/>
      <c r="LPD65" s="94"/>
      <c r="LPE65" s="94"/>
      <c r="LPF65" s="94"/>
      <c r="LPG65" s="94"/>
      <c r="LPH65" s="94"/>
      <c r="LPI65" s="94"/>
      <c r="LPJ65" s="94"/>
      <c r="LPK65" s="94"/>
      <c r="LPL65" s="94"/>
      <c r="LPM65" s="94"/>
      <c r="LPN65" s="94"/>
      <c r="LPO65" s="94"/>
      <c r="LPP65" s="94"/>
      <c r="LPQ65" s="94"/>
      <c r="LPR65" s="94"/>
      <c r="LPS65" s="94"/>
      <c r="LPT65" s="94"/>
      <c r="LPU65" s="94"/>
      <c r="LPV65" s="94"/>
      <c r="LPW65" s="94"/>
      <c r="LPX65" s="94"/>
      <c r="LPY65" s="94"/>
      <c r="LPZ65" s="94"/>
      <c r="LQA65" s="94"/>
      <c r="LQB65" s="94"/>
      <c r="LQC65" s="94"/>
      <c r="LQD65" s="94"/>
      <c r="LQE65" s="94"/>
      <c r="LQF65" s="94"/>
      <c r="LQG65" s="94"/>
      <c r="LQH65" s="94"/>
      <c r="LQI65" s="94"/>
      <c r="LQJ65" s="94"/>
      <c r="LQK65" s="94"/>
      <c r="LQL65" s="94"/>
      <c r="LQM65" s="94"/>
      <c r="LQN65" s="94"/>
      <c r="LQO65" s="94"/>
      <c r="LQP65" s="94"/>
      <c r="LQQ65" s="94"/>
      <c r="LQR65" s="94"/>
      <c r="LQS65" s="94"/>
      <c r="LQT65" s="94"/>
      <c r="LQU65" s="94"/>
      <c r="LQV65" s="94"/>
      <c r="LQW65" s="94"/>
      <c r="LQX65" s="94"/>
      <c r="LQY65" s="94"/>
      <c r="LQZ65" s="94"/>
      <c r="LRA65" s="94"/>
      <c r="LRB65" s="94"/>
      <c r="LRC65" s="94"/>
      <c r="LRD65" s="94"/>
      <c r="LRE65" s="94"/>
      <c r="LRF65" s="94"/>
      <c r="LRG65" s="94"/>
      <c r="LRH65" s="94"/>
      <c r="LRI65" s="94"/>
      <c r="LRJ65" s="94"/>
      <c r="LRK65" s="94"/>
      <c r="LRL65" s="94"/>
      <c r="LRM65" s="94"/>
      <c r="LRN65" s="94"/>
      <c r="LRO65" s="94"/>
      <c r="LRP65" s="94"/>
      <c r="LRQ65" s="94"/>
      <c r="LRR65" s="94"/>
      <c r="LRS65" s="94"/>
      <c r="LRT65" s="94"/>
      <c r="LRU65" s="94"/>
      <c r="LRV65" s="94"/>
      <c r="LRW65" s="94"/>
      <c r="LRX65" s="94"/>
      <c r="LRY65" s="94"/>
      <c r="LRZ65" s="94"/>
      <c r="LSA65" s="94"/>
      <c r="LSB65" s="94"/>
      <c r="LSC65" s="94"/>
      <c r="LSD65" s="94"/>
      <c r="LSE65" s="94"/>
      <c r="LSF65" s="94"/>
      <c r="LSG65" s="94"/>
      <c r="LSH65" s="94"/>
      <c r="LSI65" s="94"/>
      <c r="LSJ65" s="94"/>
      <c r="LSK65" s="94"/>
      <c r="LSL65" s="94"/>
      <c r="LSM65" s="94"/>
      <c r="LSN65" s="94"/>
      <c r="LSO65" s="94"/>
      <c r="LSP65" s="94"/>
      <c r="LSQ65" s="94"/>
      <c r="LSR65" s="94"/>
      <c r="LSS65" s="94"/>
      <c r="LST65" s="94"/>
      <c r="LSU65" s="94"/>
      <c r="LSV65" s="94"/>
      <c r="LSW65" s="94"/>
      <c r="LSX65" s="94"/>
      <c r="LSY65" s="94"/>
      <c r="LSZ65" s="94"/>
      <c r="LTA65" s="94"/>
      <c r="LTB65" s="94"/>
      <c r="LTC65" s="94"/>
      <c r="LTD65" s="94"/>
      <c r="LTE65" s="94"/>
      <c r="LTF65" s="94"/>
      <c r="LTG65" s="94"/>
      <c r="LTH65" s="94"/>
      <c r="LTI65" s="94"/>
      <c r="LTJ65" s="94"/>
      <c r="LTK65" s="94"/>
      <c r="LTL65" s="94"/>
      <c r="LTM65" s="94"/>
      <c r="LTN65" s="94"/>
      <c r="LTO65" s="94"/>
      <c r="LTP65" s="94"/>
      <c r="LTQ65" s="94"/>
      <c r="LTR65" s="94"/>
      <c r="LTS65" s="94"/>
      <c r="LTT65" s="94"/>
      <c r="LTU65" s="94"/>
      <c r="LTV65" s="94"/>
      <c r="LTW65" s="94"/>
      <c r="LTX65" s="94"/>
      <c r="LTY65" s="94"/>
      <c r="LTZ65" s="94"/>
      <c r="LUA65" s="94"/>
      <c r="LUB65" s="94"/>
      <c r="LUC65" s="94"/>
      <c r="LUD65" s="94"/>
      <c r="LUE65" s="94"/>
      <c r="LUF65" s="94"/>
      <c r="LUG65" s="94"/>
      <c r="LUH65" s="94"/>
      <c r="LUI65" s="94"/>
      <c r="LUJ65" s="94"/>
      <c r="LUK65" s="94"/>
      <c r="LUL65" s="94"/>
      <c r="LUM65" s="94"/>
      <c r="LUN65" s="94"/>
      <c r="LUO65" s="94"/>
      <c r="LUP65" s="94"/>
      <c r="LUQ65" s="94"/>
      <c r="LUR65" s="94"/>
      <c r="LUS65" s="94"/>
      <c r="LUT65" s="94"/>
      <c r="LUU65" s="94"/>
      <c r="LUV65" s="94"/>
      <c r="LUW65" s="94"/>
      <c r="LUX65" s="94"/>
      <c r="LUY65" s="94"/>
      <c r="LUZ65" s="94"/>
      <c r="LVA65" s="94"/>
      <c r="LVB65" s="94"/>
      <c r="LVC65" s="94"/>
      <c r="LVD65" s="94"/>
      <c r="LVE65" s="94"/>
      <c r="LVF65" s="94"/>
      <c r="LVG65" s="94"/>
      <c r="LVH65" s="94"/>
      <c r="LVI65" s="94"/>
      <c r="LVJ65" s="94"/>
      <c r="LVK65" s="94"/>
      <c r="LVL65" s="94"/>
      <c r="LVM65" s="94"/>
      <c r="LVN65" s="94"/>
      <c r="LVO65" s="94"/>
      <c r="LVP65" s="94"/>
      <c r="LVQ65" s="94"/>
      <c r="LVR65" s="94"/>
      <c r="LVS65" s="94"/>
      <c r="LVT65" s="94"/>
      <c r="LVU65" s="94"/>
      <c r="LVV65" s="94"/>
      <c r="LVW65" s="94"/>
      <c r="LVX65" s="94"/>
      <c r="LVY65" s="94"/>
      <c r="LVZ65" s="94"/>
      <c r="LWA65" s="94"/>
      <c r="LWB65" s="94"/>
      <c r="LWC65" s="94"/>
      <c r="LWD65" s="94"/>
      <c r="LWE65" s="94"/>
      <c r="LWF65" s="94"/>
      <c r="LWG65" s="94"/>
      <c r="LWH65" s="94"/>
      <c r="LWI65" s="94"/>
      <c r="LWJ65" s="94"/>
      <c r="LWK65" s="94"/>
      <c r="LWL65" s="94"/>
      <c r="LWM65" s="94"/>
      <c r="LWN65" s="94"/>
      <c r="LWO65" s="94"/>
      <c r="LWP65" s="94"/>
      <c r="LWQ65" s="94"/>
      <c r="LWR65" s="94"/>
      <c r="LWS65" s="94"/>
      <c r="LWT65" s="94"/>
      <c r="LWU65" s="94"/>
      <c r="LWV65" s="94"/>
      <c r="LWW65" s="94"/>
      <c r="LWX65" s="94"/>
      <c r="LWY65" s="94"/>
      <c r="LWZ65" s="94"/>
      <c r="LXA65" s="94"/>
      <c r="LXB65" s="94"/>
      <c r="LXC65" s="94"/>
      <c r="LXD65" s="94"/>
      <c r="LXE65" s="94"/>
      <c r="LXF65" s="94"/>
      <c r="LXG65" s="94"/>
      <c r="LXH65" s="94"/>
      <c r="LXI65" s="94"/>
      <c r="LXJ65" s="94"/>
      <c r="LXK65" s="94"/>
      <c r="LXL65" s="94"/>
      <c r="LXM65" s="94"/>
      <c r="LXN65" s="94"/>
      <c r="LXO65" s="94"/>
      <c r="LXP65" s="94"/>
      <c r="LXQ65" s="94"/>
      <c r="LXR65" s="94"/>
      <c r="LXS65" s="94"/>
      <c r="LXT65" s="94"/>
      <c r="LXU65" s="94"/>
      <c r="LXV65" s="94"/>
      <c r="LXW65" s="94"/>
      <c r="LXX65" s="94"/>
      <c r="LXY65" s="94"/>
      <c r="LXZ65" s="94"/>
      <c r="LYA65" s="94"/>
      <c r="LYB65" s="94"/>
      <c r="LYC65" s="94"/>
      <c r="LYD65" s="94"/>
      <c r="LYE65" s="94"/>
      <c r="LYF65" s="94"/>
      <c r="LYG65" s="94"/>
      <c r="LYH65" s="94"/>
      <c r="LYI65" s="94"/>
      <c r="LYJ65" s="94"/>
      <c r="LYK65" s="94"/>
      <c r="LYL65" s="94"/>
      <c r="LYM65" s="94"/>
      <c r="LYN65" s="94"/>
      <c r="LYO65" s="94"/>
      <c r="LYP65" s="94"/>
      <c r="LYQ65" s="94"/>
      <c r="LYR65" s="94"/>
      <c r="LYS65" s="94"/>
      <c r="LYT65" s="94"/>
      <c r="LYU65" s="94"/>
      <c r="LYV65" s="94"/>
      <c r="LYW65" s="94"/>
      <c r="LYX65" s="94"/>
      <c r="LYY65" s="94"/>
      <c r="LYZ65" s="94"/>
      <c r="LZA65" s="94"/>
      <c r="LZB65" s="94"/>
      <c r="LZC65" s="94"/>
      <c r="LZD65" s="94"/>
      <c r="LZE65" s="94"/>
      <c r="LZF65" s="94"/>
      <c r="LZG65" s="94"/>
      <c r="LZH65" s="94"/>
      <c r="LZI65" s="94"/>
      <c r="LZJ65" s="94"/>
      <c r="LZK65" s="94"/>
      <c r="LZL65" s="94"/>
      <c r="LZM65" s="94"/>
      <c r="LZN65" s="94"/>
      <c r="LZO65" s="94"/>
      <c r="LZP65" s="94"/>
      <c r="LZQ65" s="94"/>
      <c r="LZR65" s="94"/>
      <c r="LZS65" s="94"/>
      <c r="LZT65" s="94"/>
      <c r="LZU65" s="94"/>
      <c r="LZV65" s="94"/>
      <c r="LZW65" s="94"/>
      <c r="LZX65" s="94"/>
      <c r="LZY65" s="94"/>
      <c r="LZZ65" s="94"/>
      <c r="MAA65" s="94"/>
      <c r="MAB65" s="94"/>
      <c r="MAC65" s="94"/>
      <c r="MAD65" s="94"/>
      <c r="MAE65" s="94"/>
      <c r="MAF65" s="94"/>
      <c r="MAG65" s="94"/>
      <c r="MAH65" s="94"/>
      <c r="MAI65" s="94"/>
      <c r="MAJ65" s="94"/>
      <c r="MAK65" s="94"/>
      <c r="MAL65" s="94"/>
      <c r="MAM65" s="94"/>
      <c r="MAN65" s="94"/>
      <c r="MAO65" s="94"/>
      <c r="MAP65" s="94"/>
      <c r="MAQ65" s="94"/>
      <c r="MAR65" s="94"/>
      <c r="MAS65" s="94"/>
      <c r="MAT65" s="94"/>
      <c r="MAU65" s="94"/>
      <c r="MAV65" s="94"/>
      <c r="MAW65" s="94"/>
      <c r="MAX65" s="94"/>
      <c r="MAY65" s="94"/>
      <c r="MAZ65" s="94"/>
      <c r="MBA65" s="94"/>
      <c r="MBB65" s="94"/>
      <c r="MBC65" s="94"/>
      <c r="MBD65" s="94"/>
      <c r="MBE65" s="94"/>
      <c r="MBF65" s="94"/>
      <c r="MBG65" s="94"/>
      <c r="MBH65" s="94"/>
      <c r="MBI65" s="94"/>
      <c r="MBJ65" s="94"/>
      <c r="MBK65" s="94"/>
      <c r="MBL65" s="94"/>
      <c r="MBM65" s="94"/>
      <c r="MBN65" s="94"/>
      <c r="MBO65" s="94"/>
      <c r="MBP65" s="94"/>
      <c r="MBQ65" s="94"/>
      <c r="MBR65" s="94"/>
      <c r="MBS65" s="94"/>
      <c r="MBT65" s="94"/>
      <c r="MBU65" s="94"/>
      <c r="MBV65" s="94"/>
      <c r="MBW65" s="94"/>
      <c r="MBX65" s="94"/>
      <c r="MBY65" s="94"/>
      <c r="MBZ65" s="94"/>
      <c r="MCA65" s="94"/>
      <c r="MCB65" s="94"/>
      <c r="MCC65" s="94"/>
      <c r="MCD65" s="94"/>
      <c r="MCE65" s="94"/>
      <c r="MCF65" s="94"/>
      <c r="MCG65" s="94"/>
      <c r="MCH65" s="94"/>
      <c r="MCI65" s="94"/>
      <c r="MCJ65" s="94"/>
      <c r="MCK65" s="94"/>
      <c r="MCL65" s="94"/>
      <c r="MCM65" s="94"/>
      <c r="MCN65" s="94"/>
      <c r="MCO65" s="94"/>
      <c r="MCP65" s="94"/>
      <c r="MCQ65" s="94"/>
      <c r="MCR65" s="94"/>
      <c r="MCS65" s="94"/>
      <c r="MCT65" s="94"/>
      <c r="MCU65" s="94"/>
      <c r="MCV65" s="94"/>
      <c r="MCW65" s="94"/>
      <c r="MCX65" s="94"/>
      <c r="MCY65" s="94"/>
      <c r="MCZ65" s="94"/>
      <c r="MDA65" s="94"/>
      <c r="MDB65" s="94"/>
      <c r="MDC65" s="94"/>
      <c r="MDD65" s="94"/>
      <c r="MDE65" s="94"/>
      <c r="MDF65" s="94"/>
      <c r="MDG65" s="94"/>
      <c r="MDH65" s="94"/>
      <c r="MDI65" s="94"/>
      <c r="MDJ65" s="94"/>
      <c r="MDK65" s="94"/>
      <c r="MDL65" s="94"/>
      <c r="MDM65" s="94"/>
      <c r="MDN65" s="94"/>
      <c r="MDO65" s="94"/>
      <c r="MDP65" s="94"/>
      <c r="MDQ65" s="94"/>
      <c r="MDR65" s="94"/>
      <c r="MDS65" s="94"/>
      <c r="MDT65" s="94"/>
      <c r="MDU65" s="94"/>
      <c r="MDV65" s="94"/>
      <c r="MDW65" s="94"/>
      <c r="MDX65" s="94"/>
      <c r="MDY65" s="94"/>
      <c r="MDZ65" s="94"/>
      <c r="MEA65" s="94"/>
      <c r="MEB65" s="94"/>
      <c r="MEC65" s="94"/>
      <c r="MED65" s="94"/>
      <c r="MEE65" s="94"/>
      <c r="MEF65" s="94"/>
      <c r="MEG65" s="94"/>
      <c r="MEH65" s="94"/>
      <c r="MEI65" s="94"/>
      <c r="MEJ65" s="94"/>
      <c r="MEK65" s="94"/>
      <c r="MEL65" s="94"/>
      <c r="MEM65" s="94"/>
      <c r="MEN65" s="94"/>
      <c r="MEO65" s="94"/>
      <c r="MEP65" s="94"/>
      <c r="MEQ65" s="94"/>
      <c r="MER65" s="94"/>
      <c r="MES65" s="94"/>
      <c r="MET65" s="94"/>
      <c r="MEU65" s="94"/>
      <c r="MEV65" s="94"/>
      <c r="MEW65" s="94"/>
      <c r="MEX65" s="94"/>
      <c r="MEY65" s="94"/>
      <c r="MEZ65" s="94"/>
      <c r="MFA65" s="94"/>
      <c r="MFB65" s="94"/>
      <c r="MFC65" s="94"/>
      <c r="MFD65" s="94"/>
      <c r="MFE65" s="94"/>
      <c r="MFF65" s="94"/>
      <c r="MFG65" s="94"/>
      <c r="MFH65" s="94"/>
      <c r="MFI65" s="94"/>
      <c r="MFJ65" s="94"/>
      <c r="MFK65" s="94"/>
      <c r="MFL65" s="94"/>
      <c r="MFM65" s="94"/>
      <c r="MFN65" s="94"/>
      <c r="MFO65" s="94"/>
      <c r="MFP65" s="94"/>
      <c r="MFQ65" s="94"/>
      <c r="MFR65" s="94"/>
      <c r="MFS65" s="94"/>
      <c r="MFT65" s="94"/>
      <c r="MFU65" s="94"/>
      <c r="MFV65" s="94"/>
      <c r="MFW65" s="94"/>
      <c r="MFX65" s="94"/>
      <c r="MFY65" s="94"/>
      <c r="MFZ65" s="94"/>
      <c r="MGA65" s="94"/>
      <c r="MGB65" s="94"/>
      <c r="MGC65" s="94"/>
      <c r="MGD65" s="94"/>
      <c r="MGE65" s="94"/>
      <c r="MGF65" s="94"/>
      <c r="MGG65" s="94"/>
      <c r="MGH65" s="94"/>
      <c r="MGI65" s="94"/>
      <c r="MGJ65" s="94"/>
      <c r="MGK65" s="94"/>
      <c r="MGL65" s="94"/>
      <c r="MGM65" s="94"/>
      <c r="MGN65" s="94"/>
      <c r="MGO65" s="94"/>
      <c r="MGP65" s="94"/>
      <c r="MGQ65" s="94"/>
      <c r="MGR65" s="94"/>
      <c r="MGS65" s="94"/>
      <c r="MGT65" s="94"/>
      <c r="MGU65" s="94"/>
      <c r="MGV65" s="94"/>
      <c r="MGW65" s="94"/>
      <c r="MGX65" s="94"/>
      <c r="MGY65" s="94"/>
      <c r="MGZ65" s="94"/>
      <c r="MHA65" s="94"/>
      <c r="MHB65" s="94"/>
      <c r="MHC65" s="94"/>
      <c r="MHD65" s="94"/>
      <c r="MHE65" s="94"/>
      <c r="MHF65" s="94"/>
      <c r="MHG65" s="94"/>
      <c r="MHH65" s="94"/>
      <c r="MHI65" s="94"/>
      <c r="MHJ65" s="94"/>
      <c r="MHK65" s="94"/>
      <c r="MHL65" s="94"/>
      <c r="MHM65" s="94"/>
      <c r="MHN65" s="94"/>
      <c r="MHO65" s="94"/>
      <c r="MHP65" s="94"/>
      <c r="MHQ65" s="94"/>
      <c r="MHR65" s="94"/>
      <c r="MHS65" s="94"/>
      <c r="MHT65" s="94"/>
      <c r="MHU65" s="94"/>
      <c r="MHV65" s="94"/>
      <c r="MHW65" s="94"/>
      <c r="MHX65" s="94"/>
      <c r="MHY65" s="94"/>
      <c r="MHZ65" s="94"/>
      <c r="MIA65" s="94"/>
      <c r="MIB65" s="94"/>
      <c r="MIC65" s="94"/>
      <c r="MID65" s="94"/>
      <c r="MIE65" s="94"/>
      <c r="MIF65" s="94"/>
      <c r="MIG65" s="94"/>
      <c r="MIH65" s="94"/>
      <c r="MII65" s="94"/>
      <c r="MIJ65" s="94"/>
      <c r="MIK65" s="94"/>
      <c r="MIL65" s="94"/>
      <c r="MIM65" s="94"/>
      <c r="MIN65" s="94"/>
      <c r="MIO65" s="94"/>
      <c r="MIP65" s="94"/>
      <c r="MIQ65" s="94"/>
      <c r="MIR65" s="94"/>
      <c r="MIS65" s="94"/>
      <c r="MIT65" s="94"/>
      <c r="MIU65" s="94"/>
      <c r="MIV65" s="94"/>
      <c r="MIW65" s="94"/>
      <c r="MIX65" s="94"/>
      <c r="MIY65" s="94"/>
      <c r="MIZ65" s="94"/>
      <c r="MJA65" s="94"/>
      <c r="MJB65" s="94"/>
      <c r="MJC65" s="94"/>
      <c r="MJD65" s="94"/>
      <c r="MJE65" s="94"/>
      <c r="MJF65" s="94"/>
      <c r="MJG65" s="94"/>
      <c r="MJH65" s="94"/>
      <c r="MJI65" s="94"/>
      <c r="MJJ65" s="94"/>
      <c r="MJK65" s="94"/>
      <c r="MJL65" s="94"/>
      <c r="MJM65" s="94"/>
      <c r="MJN65" s="94"/>
      <c r="MJO65" s="94"/>
      <c r="MJP65" s="94"/>
      <c r="MJQ65" s="94"/>
      <c r="MJR65" s="94"/>
      <c r="MJS65" s="94"/>
      <c r="MJT65" s="94"/>
      <c r="MJU65" s="94"/>
      <c r="MJV65" s="94"/>
      <c r="MJW65" s="94"/>
      <c r="MJX65" s="94"/>
      <c r="MJY65" s="94"/>
      <c r="MJZ65" s="94"/>
      <c r="MKA65" s="94"/>
      <c r="MKB65" s="94"/>
      <c r="MKC65" s="94"/>
      <c r="MKD65" s="94"/>
      <c r="MKE65" s="94"/>
      <c r="MKF65" s="94"/>
      <c r="MKG65" s="94"/>
      <c r="MKH65" s="94"/>
      <c r="MKI65" s="94"/>
      <c r="MKJ65" s="94"/>
      <c r="MKK65" s="94"/>
      <c r="MKL65" s="94"/>
      <c r="MKM65" s="94"/>
      <c r="MKN65" s="94"/>
      <c r="MKO65" s="94"/>
      <c r="MKP65" s="94"/>
      <c r="MKQ65" s="94"/>
      <c r="MKR65" s="94"/>
      <c r="MKS65" s="94"/>
      <c r="MKT65" s="94"/>
      <c r="MKU65" s="94"/>
      <c r="MKV65" s="94"/>
      <c r="MKW65" s="94"/>
      <c r="MKX65" s="94"/>
      <c r="MKY65" s="94"/>
      <c r="MKZ65" s="94"/>
      <c r="MLA65" s="94"/>
      <c r="MLB65" s="94"/>
      <c r="MLC65" s="94"/>
      <c r="MLD65" s="94"/>
      <c r="MLE65" s="94"/>
      <c r="MLF65" s="94"/>
      <c r="MLG65" s="94"/>
      <c r="MLH65" s="94"/>
      <c r="MLI65" s="94"/>
      <c r="MLJ65" s="94"/>
      <c r="MLK65" s="94"/>
      <c r="MLL65" s="94"/>
      <c r="MLM65" s="94"/>
      <c r="MLN65" s="94"/>
      <c r="MLO65" s="94"/>
      <c r="MLP65" s="94"/>
      <c r="MLQ65" s="94"/>
      <c r="MLR65" s="94"/>
      <c r="MLS65" s="94"/>
      <c r="MLT65" s="94"/>
      <c r="MLU65" s="94"/>
      <c r="MLV65" s="94"/>
      <c r="MLW65" s="94"/>
      <c r="MLX65" s="94"/>
      <c r="MLY65" s="94"/>
      <c r="MLZ65" s="94"/>
      <c r="MMA65" s="94"/>
      <c r="MMB65" s="94"/>
      <c r="MMC65" s="94"/>
      <c r="MMD65" s="94"/>
      <c r="MME65" s="94"/>
      <c r="MMF65" s="94"/>
      <c r="MMG65" s="94"/>
      <c r="MMH65" s="94"/>
      <c r="MMI65" s="94"/>
      <c r="MMJ65" s="94"/>
      <c r="MMK65" s="94"/>
      <c r="MML65" s="94"/>
      <c r="MMM65" s="94"/>
      <c r="MMN65" s="94"/>
      <c r="MMO65" s="94"/>
      <c r="MMP65" s="94"/>
      <c r="MMQ65" s="94"/>
      <c r="MMR65" s="94"/>
      <c r="MMS65" s="94"/>
      <c r="MMT65" s="94"/>
      <c r="MMU65" s="94"/>
      <c r="MMV65" s="94"/>
      <c r="MMW65" s="94"/>
      <c r="MMX65" s="94"/>
      <c r="MMY65" s="94"/>
      <c r="MMZ65" s="94"/>
      <c r="MNA65" s="94"/>
      <c r="MNB65" s="94"/>
      <c r="MNC65" s="94"/>
      <c r="MND65" s="94"/>
      <c r="MNE65" s="94"/>
      <c r="MNF65" s="94"/>
      <c r="MNG65" s="94"/>
      <c r="MNH65" s="94"/>
      <c r="MNI65" s="94"/>
      <c r="MNJ65" s="94"/>
      <c r="MNK65" s="94"/>
      <c r="MNL65" s="94"/>
      <c r="MNM65" s="94"/>
      <c r="MNN65" s="94"/>
      <c r="MNO65" s="94"/>
      <c r="MNP65" s="94"/>
      <c r="MNQ65" s="94"/>
      <c r="MNR65" s="94"/>
      <c r="MNS65" s="94"/>
      <c r="MNT65" s="94"/>
      <c r="MNU65" s="94"/>
      <c r="MNV65" s="94"/>
      <c r="MNW65" s="94"/>
      <c r="MNX65" s="94"/>
      <c r="MNY65" s="94"/>
      <c r="MNZ65" s="94"/>
      <c r="MOA65" s="94"/>
      <c r="MOB65" s="94"/>
      <c r="MOC65" s="94"/>
      <c r="MOD65" s="94"/>
      <c r="MOE65" s="94"/>
      <c r="MOF65" s="94"/>
      <c r="MOG65" s="94"/>
      <c r="MOH65" s="94"/>
      <c r="MOI65" s="94"/>
      <c r="MOJ65" s="94"/>
      <c r="MOK65" s="94"/>
      <c r="MOL65" s="94"/>
      <c r="MOM65" s="94"/>
      <c r="MON65" s="94"/>
      <c r="MOO65" s="94"/>
      <c r="MOP65" s="94"/>
      <c r="MOQ65" s="94"/>
      <c r="MOR65" s="94"/>
      <c r="MOS65" s="94"/>
      <c r="MOT65" s="94"/>
      <c r="MOU65" s="94"/>
      <c r="MOV65" s="94"/>
      <c r="MOW65" s="94"/>
      <c r="MOX65" s="94"/>
      <c r="MOY65" s="94"/>
      <c r="MOZ65" s="94"/>
      <c r="MPA65" s="94"/>
      <c r="MPB65" s="94"/>
      <c r="MPC65" s="94"/>
      <c r="MPD65" s="94"/>
      <c r="MPE65" s="94"/>
      <c r="MPF65" s="94"/>
      <c r="MPG65" s="94"/>
      <c r="MPH65" s="94"/>
      <c r="MPI65" s="94"/>
      <c r="MPJ65" s="94"/>
      <c r="MPK65" s="94"/>
      <c r="MPL65" s="94"/>
      <c r="MPM65" s="94"/>
      <c r="MPN65" s="94"/>
      <c r="MPO65" s="94"/>
      <c r="MPP65" s="94"/>
      <c r="MPQ65" s="94"/>
      <c r="MPR65" s="94"/>
      <c r="MPS65" s="94"/>
      <c r="MPT65" s="94"/>
      <c r="MPU65" s="94"/>
      <c r="MPV65" s="94"/>
      <c r="MPW65" s="94"/>
      <c r="MPX65" s="94"/>
      <c r="MPY65" s="94"/>
      <c r="MPZ65" s="94"/>
      <c r="MQA65" s="94"/>
      <c r="MQB65" s="94"/>
      <c r="MQC65" s="94"/>
      <c r="MQD65" s="94"/>
      <c r="MQE65" s="94"/>
      <c r="MQF65" s="94"/>
      <c r="MQG65" s="94"/>
      <c r="MQH65" s="94"/>
      <c r="MQI65" s="94"/>
      <c r="MQJ65" s="94"/>
      <c r="MQK65" s="94"/>
      <c r="MQL65" s="94"/>
      <c r="MQM65" s="94"/>
      <c r="MQN65" s="94"/>
      <c r="MQO65" s="94"/>
      <c r="MQP65" s="94"/>
      <c r="MQQ65" s="94"/>
      <c r="MQR65" s="94"/>
      <c r="MQS65" s="94"/>
      <c r="MQT65" s="94"/>
      <c r="MQU65" s="94"/>
      <c r="MQV65" s="94"/>
      <c r="MQW65" s="94"/>
      <c r="MQX65" s="94"/>
      <c r="MQY65" s="94"/>
      <c r="MQZ65" s="94"/>
      <c r="MRA65" s="94"/>
      <c r="MRB65" s="94"/>
      <c r="MRC65" s="94"/>
      <c r="MRD65" s="94"/>
      <c r="MRE65" s="94"/>
      <c r="MRF65" s="94"/>
      <c r="MRG65" s="94"/>
      <c r="MRH65" s="94"/>
      <c r="MRI65" s="94"/>
      <c r="MRJ65" s="94"/>
      <c r="MRK65" s="94"/>
      <c r="MRL65" s="94"/>
      <c r="MRM65" s="94"/>
      <c r="MRN65" s="94"/>
      <c r="MRO65" s="94"/>
      <c r="MRP65" s="94"/>
      <c r="MRQ65" s="94"/>
      <c r="MRR65" s="94"/>
      <c r="MRS65" s="94"/>
      <c r="MRT65" s="94"/>
      <c r="MRU65" s="94"/>
      <c r="MRV65" s="94"/>
      <c r="MRW65" s="94"/>
      <c r="MRX65" s="94"/>
      <c r="MRY65" s="94"/>
      <c r="MRZ65" s="94"/>
      <c r="MSA65" s="94"/>
      <c r="MSB65" s="94"/>
      <c r="MSC65" s="94"/>
      <c r="MSD65" s="94"/>
      <c r="MSE65" s="94"/>
      <c r="MSF65" s="94"/>
      <c r="MSG65" s="94"/>
      <c r="MSH65" s="94"/>
      <c r="MSI65" s="94"/>
      <c r="MSJ65" s="94"/>
      <c r="MSK65" s="94"/>
      <c r="MSL65" s="94"/>
      <c r="MSM65" s="94"/>
      <c r="MSN65" s="94"/>
      <c r="MSO65" s="94"/>
      <c r="MSP65" s="94"/>
      <c r="MSQ65" s="94"/>
      <c r="MSR65" s="94"/>
      <c r="MSS65" s="94"/>
      <c r="MST65" s="94"/>
      <c r="MSU65" s="94"/>
      <c r="MSV65" s="94"/>
      <c r="MSW65" s="94"/>
      <c r="MSX65" s="94"/>
      <c r="MSY65" s="94"/>
      <c r="MSZ65" s="94"/>
      <c r="MTA65" s="94"/>
      <c r="MTB65" s="94"/>
      <c r="MTC65" s="94"/>
      <c r="MTD65" s="94"/>
      <c r="MTE65" s="94"/>
      <c r="MTF65" s="94"/>
      <c r="MTG65" s="94"/>
      <c r="MTH65" s="94"/>
      <c r="MTI65" s="94"/>
      <c r="MTJ65" s="94"/>
      <c r="MTK65" s="94"/>
      <c r="MTL65" s="94"/>
      <c r="MTM65" s="94"/>
      <c r="MTN65" s="94"/>
      <c r="MTO65" s="94"/>
      <c r="MTP65" s="94"/>
      <c r="MTQ65" s="94"/>
      <c r="MTR65" s="94"/>
      <c r="MTS65" s="94"/>
      <c r="MTT65" s="94"/>
      <c r="MTU65" s="94"/>
      <c r="MTV65" s="94"/>
      <c r="MTW65" s="94"/>
      <c r="MTX65" s="94"/>
      <c r="MTY65" s="94"/>
      <c r="MTZ65" s="94"/>
      <c r="MUA65" s="94"/>
      <c r="MUB65" s="94"/>
      <c r="MUC65" s="94"/>
      <c r="MUD65" s="94"/>
      <c r="MUE65" s="94"/>
      <c r="MUF65" s="94"/>
      <c r="MUG65" s="94"/>
      <c r="MUH65" s="94"/>
      <c r="MUI65" s="94"/>
      <c r="MUJ65" s="94"/>
      <c r="MUK65" s="94"/>
      <c r="MUL65" s="94"/>
      <c r="MUM65" s="94"/>
      <c r="MUN65" s="94"/>
      <c r="MUO65" s="94"/>
      <c r="MUP65" s="94"/>
      <c r="MUQ65" s="94"/>
      <c r="MUR65" s="94"/>
      <c r="MUS65" s="94"/>
      <c r="MUT65" s="94"/>
      <c r="MUU65" s="94"/>
      <c r="MUV65" s="94"/>
      <c r="MUW65" s="94"/>
      <c r="MUX65" s="94"/>
      <c r="MUY65" s="94"/>
      <c r="MUZ65" s="94"/>
      <c r="MVA65" s="94"/>
      <c r="MVB65" s="94"/>
      <c r="MVC65" s="94"/>
      <c r="MVD65" s="94"/>
      <c r="MVE65" s="94"/>
      <c r="MVF65" s="94"/>
      <c r="MVG65" s="94"/>
      <c r="MVH65" s="94"/>
      <c r="MVI65" s="94"/>
      <c r="MVJ65" s="94"/>
      <c r="MVK65" s="94"/>
      <c r="MVL65" s="94"/>
      <c r="MVM65" s="94"/>
      <c r="MVN65" s="94"/>
      <c r="MVO65" s="94"/>
      <c r="MVP65" s="94"/>
      <c r="MVQ65" s="94"/>
      <c r="MVR65" s="94"/>
      <c r="MVS65" s="94"/>
      <c r="MVT65" s="94"/>
      <c r="MVU65" s="94"/>
      <c r="MVV65" s="94"/>
      <c r="MVW65" s="94"/>
      <c r="MVX65" s="94"/>
      <c r="MVY65" s="94"/>
      <c r="MVZ65" s="94"/>
      <c r="MWA65" s="94"/>
      <c r="MWB65" s="94"/>
      <c r="MWC65" s="94"/>
      <c r="MWD65" s="94"/>
      <c r="MWE65" s="94"/>
      <c r="MWF65" s="94"/>
      <c r="MWG65" s="94"/>
      <c r="MWH65" s="94"/>
      <c r="MWI65" s="94"/>
      <c r="MWJ65" s="94"/>
      <c r="MWK65" s="94"/>
      <c r="MWL65" s="94"/>
      <c r="MWM65" s="94"/>
      <c r="MWN65" s="94"/>
      <c r="MWO65" s="94"/>
      <c r="MWP65" s="94"/>
      <c r="MWQ65" s="94"/>
      <c r="MWR65" s="94"/>
      <c r="MWS65" s="94"/>
      <c r="MWT65" s="94"/>
      <c r="MWU65" s="94"/>
      <c r="MWV65" s="94"/>
      <c r="MWW65" s="94"/>
      <c r="MWX65" s="94"/>
      <c r="MWY65" s="94"/>
      <c r="MWZ65" s="94"/>
      <c r="MXA65" s="94"/>
      <c r="MXB65" s="94"/>
      <c r="MXC65" s="94"/>
      <c r="MXD65" s="94"/>
      <c r="MXE65" s="94"/>
      <c r="MXF65" s="94"/>
      <c r="MXG65" s="94"/>
      <c r="MXH65" s="94"/>
      <c r="MXI65" s="94"/>
      <c r="MXJ65" s="94"/>
      <c r="MXK65" s="94"/>
      <c r="MXL65" s="94"/>
      <c r="MXM65" s="94"/>
      <c r="MXN65" s="94"/>
      <c r="MXO65" s="94"/>
      <c r="MXP65" s="94"/>
      <c r="MXQ65" s="94"/>
      <c r="MXR65" s="94"/>
      <c r="MXS65" s="94"/>
      <c r="MXT65" s="94"/>
      <c r="MXU65" s="94"/>
      <c r="MXV65" s="94"/>
      <c r="MXW65" s="94"/>
      <c r="MXX65" s="94"/>
      <c r="MXY65" s="94"/>
      <c r="MXZ65" s="94"/>
      <c r="MYA65" s="94"/>
      <c r="MYB65" s="94"/>
      <c r="MYC65" s="94"/>
      <c r="MYD65" s="94"/>
      <c r="MYE65" s="94"/>
      <c r="MYF65" s="94"/>
      <c r="MYG65" s="94"/>
      <c r="MYH65" s="94"/>
      <c r="MYI65" s="94"/>
      <c r="MYJ65" s="94"/>
      <c r="MYK65" s="94"/>
      <c r="MYL65" s="94"/>
      <c r="MYM65" s="94"/>
      <c r="MYN65" s="94"/>
      <c r="MYO65" s="94"/>
      <c r="MYP65" s="94"/>
      <c r="MYQ65" s="94"/>
      <c r="MYR65" s="94"/>
      <c r="MYS65" s="94"/>
      <c r="MYT65" s="94"/>
      <c r="MYU65" s="94"/>
      <c r="MYV65" s="94"/>
      <c r="MYW65" s="94"/>
      <c r="MYX65" s="94"/>
      <c r="MYY65" s="94"/>
      <c r="MYZ65" s="94"/>
      <c r="MZA65" s="94"/>
      <c r="MZB65" s="94"/>
      <c r="MZC65" s="94"/>
      <c r="MZD65" s="94"/>
      <c r="MZE65" s="94"/>
      <c r="MZF65" s="94"/>
      <c r="MZG65" s="94"/>
      <c r="MZH65" s="94"/>
      <c r="MZI65" s="94"/>
      <c r="MZJ65" s="94"/>
      <c r="MZK65" s="94"/>
      <c r="MZL65" s="94"/>
      <c r="MZM65" s="94"/>
      <c r="MZN65" s="94"/>
      <c r="MZO65" s="94"/>
      <c r="MZP65" s="94"/>
      <c r="MZQ65" s="94"/>
      <c r="MZR65" s="94"/>
      <c r="MZS65" s="94"/>
      <c r="MZT65" s="94"/>
      <c r="MZU65" s="94"/>
      <c r="MZV65" s="94"/>
      <c r="MZW65" s="94"/>
      <c r="MZX65" s="94"/>
      <c r="MZY65" s="94"/>
      <c r="MZZ65" s="94"/>
      <c r="NAA65" s="94"/>
      <c r="NAB65" s="94"/>
      <c r="NAC65" s="94"/>
      <c r="NAD65" s="94"/>
      <c r="NAE65" s="94"/>
      <c r="NAF65" s="94"/>
      <c r="NAG65" s="94"/>
      <c r="NAH65" s="94"/>
      <c r="NAI65" s="94"/>
      <c r="NAJ65" s="94"/>
      <c r="NAK65" s="94"/>
      <c r="NAL65" s="94"/>
      <c r="NAM65" s="94"/>
      <c r="NAN65" s="94"/>
      <c r="NAO65" s="94"/>
      <c r="NAP65" s="94"/>
      <c r="NAQ65" s="94"/>
      <c r="NAR65" s="94"/>
      <c r="NAS65" s="94"/>
      <c r="NAT65" s="94"/>
      <c r="NAU65" s="94"/>
      <c r="NAV65" s="94"/>
      <c r="NAW65" s="94"/>
      <c r="NAX65" s="94"/>
      <c r="NAY65" s="94"/>
      <c r="NAZ65" s="94"/>
      <c r="NBA65" s="94"/>
      <c r="NBB65" s="94"/>
      <c r="NBC65" s="94"/>
      <c r="NBD65" s="94"/>
      <c r="NBE65" s="94"/>
      <c r="NBF65" s="94"/>
      <c r="NBG65" s="94"/>
      <c r="NBH65" s="94"/>
      <c r="NBI65" s="94"/>
      <c r="NBJ65" s="94"/>
      <c r="NBK65" s="94"/>
      <c r="NBL65" s="94"/>
      <c r="NBM65" s="94"/>
      <c r="NBN65" s="94"/>
      <c r="NBO65" s="94"/>
      <c r="NBP65" s="94"/>
      <c r="NBQ65" s="94"/>
      <c r="NBR65" s="94"/>
      <c r="NBS65" s="94"/>
      <c r="NBT65" s="94"/>
      <c r="NBU65" s="94"/>
      <c r="NBV65" s="94"/>
      <c r="NBW65" s="94"/>
      <c r="NBX65" s="94"/>
      <c r="NBY65" s="94"/>
      <c r="NBZ65" s="94"/>
      <c r="NCA65" s="94"/>
      <c r="NCB65" s="94"/>
      <c r="NCC65" s="94"/>
      <c r="NCD65" s="94"/>
      <c r="NCE65" s="94"/>
      <c r="NCF65" s="94"/>
      <c r="NCG65" s="94"/>
      <c r="NCH65" s="94"/>
      <c r="NCI65" s="94"/>
      <c r="NCJ65" s="94"/>
      <c r="NCK65" s="94"/>
      <c r="NCL65" s="94"/>
      <c r="NCM65" s="94"/>
      <c r="NCN65" s="94"/>
      <c r="NCO65" s="94"/>
      <c r="NCP65" s="94"/>
      <c r="NCQ65" s="94"/>
      <c r="NCR65" s="94"/>
      <c r="NCS65" s="94"/>
      <c r="NCT65" s="94"/>
      <c r="NCU65" s="94"/>
      <c r="NCV65" s="94"/>
      <c r="NCW65" s="94"/>
      <c r="NCX65" s="94"/>
      <c r="NCY65" s="94"/>
      <c r="NCZ65" s="94"/>
      <c r="NDA65" s="94"/>
      <c r="NDB65" s="94"/>
      <c r="NDC65" s="94"/>
      <c r="NDD65" s="94"/>
      <c r="NDE65" s="94"/>
      <c r="NDF65" s="94"/>
      <c r="NDG65" s="94"/>
      <c r="NDH65" s="94"/>
      <c r="NDI65" s="94"/>
      <c r="NDJ65" s="94"/>
      <c r="NDK65" s="94"/>
      <c r="NDL65" s="94"/>
      <c r="NDM65" s="94"/>
      <c r="NDN65" s="94"/>
      <c r="NDO65" s="94"/>
      <c r="NDP65" s="94"/>
      <c r="NDQ65" s="94"/>
      <c r="NDR65" s="94"/>
      <c r="NDS65" s="94"/>
      <c r="NDT65" s="94"/>
      <c r="NDU65" s="94"/>
      <c r="NDV65" s="94"/>
      <c r="NDW65" s="94"/>
      <c r="NDX65" s="94"/>
      <c r="NDY65" s="94"/>
      <c r="NDZ65" s="94"/>
      <c r="NEA65" s="94"/>
      <c r="NEB65" s="94"/>
      <c r="NEC65" s="94"/>
      <c r="NED65" s="94"/>
      <c r="NEE65" s="94"/>
      <c r="NEF65" s="94"/>
      <c r="NEG65" s="94"/>
      <c r="NEH65" s="94"/>
      <c r="NEI65" s="94"/>
      <c r="NEJ65" s="94"/>
      <c r="NEK65" s="94"/>
      <c r="NEL65" s="94"/>
      <c r="NEM65" s="94"/>
      <c r="NEN65" s="94"/>
      <c r="NEO65" s="94"/>
      <c r="NEP65" s="94"/>
      <c r="NEQ65" s="94"/>
      <c r="NER65" s="94"/>
      <c r="NES65" s="94"/>
      <c r="NET65" s="94"/>
      <c r="NEU65" s="94"/>
      <c r="NEV65" s="94"/>
      <c r="NEW65" s="94"/>
      <c r="NEX65" s="94"/>
      <c r="NEY65" s="94"/>
      <c r="NEZ65" s="94"/>
      <c r="NFA65" s="94"/>
      <c r="NFB65" s="94"/>
      <c r="NFC65" s="94"/>
      <c r="NFD65" s="94"/>
      <c r="NFE65" s="94"/>
      <c r="NFF65" s="94"/>
      <c r="NFG65" s="94"/>
      <c r="NFH65" s="94"/>
      <c r="NFI65" s="94"/>
      <c r="NFJ65" s="94"/>
      <c r="NFK65" s="94"/>
      <c r="NFL65" s="94"/>
      <c r="NFM65" s="94"/>
      <c r="NFN65" s="94"/>
      <c r="NFO65" s="94"/>
      <c r="NFP65" s="94"/>
      <c r="NFQ65" s="94"/>
      <c r="NFR65" s="94"/>
      <c r="NFS65" s="94"/>
      <c r="NFT65" s="94"/>
      <c r="NFU65" s="94"/>
      <c r="NFV65" s="94"/>
      <c r="NFW65" s="94"/>
      <c r="NFX65" s="94"/>
      <c r="NFY65" s="94"/>
      <c r="NFZ65" s="94"/>
      <c r="NGA65" s="94"/>
      <c r="NGB65" s="94"/>
      <c r="NGC65" s="94"/>
      <c r="NGD65" s="94"/>
      <c r="NGE65" s="94"/>
      <c r="NGF65" s="94"/>
      <c r="NGG65" s="94"/>
      <c r="NGH65" s="94"/>
      <c r="NGI65" s="94"/>
      <c r="NGJ65" s="94"/>
      <c r="NGK65" s="94"/>
      <c r="NGL65" s="94"/>
      <c r="NGM65" s="94"/>
      <c r="NGN65" s="94"/>
      <c r="NGO65" s="94"/>
      <c r="NGP65" s="94"/>
      <c r="NGQ65" s="94"/>
      <c r="NGR65" s="94"/>
      <c r="NGS65" s="94"/>
      <c r="NGT65" s="94"/>
      <c r="NGU65" s="94"/>
      <c r="NGV65" s="94"/>
      <c r="NGW65" s="94"/>
      <c r="NGX65" s="94"/>
      <c r="NGY65" s="94"/>
      <c r="NGZ65" s="94"/>
      <c r="NHA65" s="94"/>
      <c r="NHB65" s="94"/>
      <c r="NHC65" s="94"/>
      <c r="NHD65" s="94"/>
      <c r="NHE65" s="94"/>
      <c r="NHF65" s="94"/>
      <c r="NHG65" s="94"/>
      <c r="NHH65" s="94"/>
      <c r="NHI65" s="94"/>
      <c r="NHJ65" s="94"/>
      <c r="NHK65" s="94"/>
      <c r="NHL65" s="94"/>
      <c r="NHM65" s="94"/>
      <c r="NHN65" s="94"/>
      <c r="NHO65" s="94"/>
      <c r="NHP65" s="94"/>
      <c r="NHQ65" s="94"/>
      <c r="NHR65" s="94"/>
      <c r="NHS65" s="94"/>
      <c r="NHT65" s="94"/>
      <c r="NHU65" s="94"/>
      <c r="NHV65" s="94"/>
      <c r="NHW65" s="94"/>
      <c r="NHX65" s="94"/>
      <c r="NHY65" s="94"/>
      <c r="NHZ65" s="94"/>
      <c r="NIA65" s="94"/>
      <c r="NIB65" s="94"/>
      <c r="NIC65" s="94"/>
      <c r="NID65" s="94"/>
      <c r="NIE65" s="94"/>
      <c r="NIF65" s="94"/>
      <c r="NIG65" s="94"/>
      <c r="NIH65" s="94"/>
      <c r="NII65" s="94"/>
      <c r="NIJ65" s="94"/>
      <c r="NIK65" s="94"/>
      <c r="NIL65" s="94"/>
      <c r="NIM65" s="94"/>
      <c r="NIN65" s="94"/>
      <c r="NIO65" s="94"/>
      <c r="NIP65" s="94"/>
      <c r="NIQ65" s="94"/>
      <c r="NIR65" s="94"/>
      <c r="NIS65" s="94"/>
      <c r="NIT65" s="94"/>
      <c r="NIU65" s="94"/>
      <c r="NIV65" s="94"/>
      <c r="NIW65" s="94"/>
      <c r="NIX65" s="94"/>
      <c r="NIY65" s="94"/>
      <c r="NIZ65" s="94"/>
      <c r="NJA65" s="94"/>
      <c r="NJB65" s="94"/>
      <c r="NJC65" s="94"/>
      <c r="NJD65" s="94"/>
      <c r="NJE65" s="94"/>
      <c r="NJF65" s="94"/>
      <c r="NJG65" s="94"/>
      <c r="NJH65" s="94"/>
      <c r="NJI65" s="94"/>
      <c r="NJJ65" s="94"/>
      <c r="NJK65" s="94"/>
      <c r="NJL65" s="94"/>
      <c r="NJM65" s="94"/>
      <c r="NJN65" s="94"/>
      <c r="NJO65" s="94"/>
      <c r="NJP65" s="94"/>
      <c r="NJQ65" s="94"/>
      <c r="NJR65" s="94"/>
      <c r="NJS65" s="94"/>
      <c r="NJT65" s="94"/>
      <c r="NJU65" s="94"/>
      <c r="NJV65" s="94"/>
      <c r="NJW65" s="94"/>
      <c r="NJX65" s="94"/>
      <c r="NJY65" s="94"/>
      <c r="NJZ65" s="94"/>
      <c r="NKA65" s="94"/>
      <c r="NKB65" s="94"/>
      <c r="NKC65" s="94"/>
      <c r="NKD65" s="94"/>
      <c r="NKE65" s="94"/>
      <c r="NKF65" s="94"/>
      <c r="NKG65" s="94"/>
      <c r="NKH65" s="94"/>
      <c r="NKI65" s="94"/>
      <c r="NKJ65" s="94"/>
      <c r="NKK65" s="94"/>
      <c r="NKL65" s="94"/>
      <c r="NKM65" s="94"/>
      <c r="NKN65" s="94"/>
      <c r="NKO65" s="94"/>
      <c r="NKP65" s="94"/>
      <c r="NKQ65" s="94"/>
      <c r="NKR65" s="94"/>
      <c r="NKS65" s="94"/>
      <c r="NKT65" s="94"/>
      <c r="NKU65" s="94"/>
      <c r="NKV65" s="94"/>
      <c r="NKW65" s="94"/>
      <c r="NKX65" s="94"/>
      <c r="NKY65" s="94"/>
      <c r="NKZ65" s="94"/>
      <c r="NLA65" s="94"/>
      <c r="NLB65" s="94"/>
      <c r="NLC65" s="94"/>
      <c r="NLD65" s="94"/>
      <c r="NLE65" s="94"/>
      <c r="NLF65" s="94"/>
      <c r="NLG65" s="94"/>
      <c r="NLH65" s="94"/>
      <c r="NLI65" s="94"/>
      <c r="NLJ65" s="94"/>
      <c r="NLK65" s="94"/>
      <c r="NLL65" s="94"/>
      <c r="NLM65" s="94"/>
      <c r="NLN65" s="94"/>
      <c r="NLO65" s="94"/>
      <c r="NLP65" s="94"/>
      <c r="NLQ65" s="94"/>
      <c r="NLR65" s="94"/>
      <c r="NLS65" s="94"/>
      <c r="NLT65" s="94"/>
      <c r="NLU65" s="94"/>
      <c r="NLV65" s="94"/>
      <c r="NLW65" s="94"/>
      <c r="NLX65" s="94"/>
      <c r="NLY65" s="94"/>
      <c r="NLZ65" s="94"/>
      <c r="NMA65" s="94"/>
      <c r="NMB65" s="94"/>
      <c r="NMC65" s="94"/>
      <c r="NMD65" s="94"/>
      <c r="NME65" s="94"/>
      <c r="NMF65" s="94"/>
      <c r="NMG65" s="94"/>
      <c r="NMH65" s="94"/>
      <c r="NMI65" s="94"/>
      <c r="NMJ65" s="94"/>
      <c r="NMK65" s="94"/>
      <c r="NML65" s="94"/>
      <c r="NMM65" s="94"/>
      <c r="NMN65" s="94"/>
      <c r="NMO65" s="94"/>
      <c r="NMP65" s="94"/>
      <c r="NMQ65" s="94"/>
      <c r="NMR65" s="94"/>
      <c r="NMS65" s="94"/>
      <c r="NMT65" s="94"/>
      <c r="NMU65" s="94"/>
      <c r="NMV65" s="94"/>
      <c r="NMW65" s="94"/>
      <c r="NMX65" s="94"/>
      <c r="NMY65" s="94"/>
      <c r="NMZ65" s="94"/>
      <c r="NNA65" s="94"/>
      <c r="NNB65" s="94"/>
      <c r="NNC65" s="94"/>
      <c r="NND65" s="94"/>
      <c r="NNE65" s="94"/>
      <c r="NNF65" s="94"/>
      <c r="NNG65" s="94"/>
      <c r="NNH65" s="94"/>
      <c r="NNI65" s="94"/>
      <c r="NNJ65" s="94"/>
      <c r="NNK65" s="94"/>
      <c r="NNL65" s="94"/>
      <c r="NNM65" s="94"/>
      <c r="NNN65" s="94"/>
      <c r="NNO65" s="94"/>
      <c r="NNP65" s="94"/>
      <c r="NNQ65" s="94"/>
      <c r="NNR65" s="94"/>
      <c r="NNS65" s="94"/>
      <c r="NNT65" s="94"/>
      <c r="NNU65" s="94"/>
      <c r="NNV65" s="94"/>
      <c r="NNW65" s="94"/>
      <c r="NNX65" s="94"/>
      <c r="NNY65" s="94"/>
      <c r="NNZ65" s="94"/>
      <c r="NOA65" s="94"/>
      <c r="NOB65" s="94"/>
      <c r="NOC65" s="94"/>
      <c r="NOD65" s="94"/>
      <c r="NOE65" s="94"/>
      <c r="NOF65" s="94"/>
      <c r="NOG65" s="94"/>
      <c r="NOH65" s="94"/>
      <c r="NOI65" s="94"/>
      <c r="NOJ65" s="94"/>
      <c r="NOK65" s="94"/>
      <c r="NOL65" s="94"/>
      <c r="NOM65" s="94"/>
      <c r="NON65" s="94"/>
      <c r="NOO65" s="94"/>
      <c r="NOP65" s="94"/>
      <c r="NOQ65" s="94"/>
      <c r="NOR65" s="94"/>
      <c r="NOS65" s="94"/>
      <c r="NOT65" s="94"/>
      <c r="NOU65" s="94"/>
      <c r="NOV65" s="94"/>
      <c r="NOW65" s="94"/>
      <c r="NOX65" s="94"/>
      <c r="NOY65" s="94"/>
      <c r="NOZ65" s="94"/>
      <c r="NPA65" s="94"/>
      <c r="NPB65" s="94"/>
      <c r="NPC65" s="94"/>
      <c r="NPD65" s="94"/>
      <c r="NPE65" s="94"/>
      <c r="NPF65" s="94"/>
      <c r="NPG65" s="94"/>
      <c r="NPH65" s="94"/>
      <c r="NPI65" s="94"/>
      <c r="NPJ65" s="94"/>
      <c r="NPK65" s="94"/>
      <c r="NPL65" s="94"/>
      <c r="NPM65" s="94"/>
      <c r="NPN65" s="94"/>
      <c r="NPO65" s="94"/>
      <c r="NPP65" s="94"/>
      <c r="NPQ65" s="94"/>
      <c r="NPR65" s="94"/>
      <c r="NPS65" s="94"/>
      <c r="NPT65" s="94"/>
      <c r="NPU65" s="94"/>
      <c r="NPV65" s="94"/>
      <c r="NPW65" s="94"/>
      <c r="NPX65" s="94"/>
      <c r="NPY65" s="94"/>
      <c r="NPZ65" s="94"/>
      <c r="NQA65" s="94"/>
      <c r="NQB65" s="94"/>
      <c r="NQC65" s="94"/>
      <c r="NQD65" s="94"/>
      <c r="NQE65" s="94"/>
      <c r="NQF65" s="94"/>
      <c r="NQG65" s="94"/>
      <c r="NQH65" s="94"/>
      <c r="NQI65" s="94"/>
      <c r="NQJ65" s="94"/>
      <c r="NQK65" s="94"/>
      <c r="NQL65" s="94"/>
      <c r="NQM65" s="94"/>
      <c r="NQN65" s="94"/>
      <c r="NQO65" s="94"/>
      <c r="NQP65" s="94"/>
      <c r="NQQ65" s="94"/>
      <c r="NQR65" s="94"/>
      <c r="NQS65" s="94"/>
      <c r="NQT65" s="94"/>
      <c r="NQU65" s="94"/>
      <c r="NQV65" s="94"/>
      <c r="NQW65" s="94"/>
      <c r="NQX65" s="94"/>
      <c r="NQY65" s="94"/>
      <c r="NQZ65" s="94"/>
      <c r="NRA65" s="94"/>
      <c r="NRB65" s="94"/>
      <c r="NRC65" s="94"/>
      <c r="NRD65" s="94"/>
      <c r="NRE65" s="94"/>
      <c r="NRF65" s="94"/>
      <c r="NRG65" s="94"/>
      <c r="NRH65" s="94"/>
      <c r="NRI65" s="94"/>
      <c r="NRJ65" s="94"/>
      <c r="NRK65" s="94"/>
      <c r="NRL65" s="94"/>
      <c r="NRM65" s="94"/>
      <c r="NRN65" s="94"/>
      <c r="NRO65" s="94"/>
      <c r="NRP65" s="94"/>
      <c r="NRQ65" s="94"/>
      <c r="NRR65" s="94"/>
      <c r="NRS65" s="94"/>
      <c r="NRT65" s="94"/>
      <c r="NRU65" s="94"/>
      <c r="NRV65" s="94"/>
      <c r="NRW65" s="94"/>
      <c r="NRX65" s="94"/>
      <c r="NRY65" s="94"/>
      <c r="NRZ65" s="94"/>
      <c r="NSA65" s="94"/>
      <c r="NSB65" s="94"/>
      <c r="NSC65" s="94"/>
      <c r="NSD65" s="94"/>
      <c r="NSE65" s="94"/>
      <c r="NSF65" s="94"/>
      <c r="NSG65" s="94"/>
      <c r="NSH65" s="94"/>
      <c r="NSI65" s="94"/>
      <c r="NSJ65" s="94"/>
      <c r="NSK65" s="94"/>
      <c r="NSL65" s="94"/>
      <c r="NSM65" s="94"/>
      <c r="NSN65" s="94"/>
      <c r="NSO65" s="94"/>
      <c r="NSP65" s="94"/>
      <c r="NSQ65" s="94"/>
      <c r="NSR65" s="94"/>
      <c r="NSS65" s="94"/>
      <c r="NST65" s="94"/>
      <c r="NSU65" s="94"/>
      <c r="NSV65" s="94"/>
      <c r="NSW65" s="94"/>
      <c r="NSX65" s="94"/>
      <c r="NSY65" s="94"/>
      <c r="NSZ65" s="94"/>
      <c r="NTA65" s="94"/>
      <c r="NTB65" s="94"/>
      <c r="NTC65" s="94"/>
      <c r="NTD65" s="94"/>
      <c r="NTE65" s="94"/>
      <c r="NTF65" s="94"/>
      <c r="NTG65" s="94"/>
      <c r="NTH65" s="94"/>
      <c r="NTI65" s="94"/>
      <c r="NTJ65" s="94"/>
      <c r="NTK65" s="94"/>
      <c r="NTL65" s="94"/>
      <c r="NTM65" s="94"/>
      <c r="NTN65" s="94"/>
      <c r="NTO65" s="94"/>
      <c r="NTP65" s="94"/>
      <c r="NTQ65" s="94"/>
      <c r="NTR65" s="94"/>
      <c r="NTS65" s="94"/>
      <c r="NTT65" s="94"/>
      <c r="NTU65" s="94"/>
      <c r="NTV65" s="94"/>
      <c r="NTW65" s="94"/>
      <c r="NTX65" s="94"/>
      <c r="NTY65" s="94"/>
      <c r="NTZ65" s="94"/>
      <c r="NUA65" s="94"/>
      <c r="NUB65" s="94"/>
      <c r="NUC65" s="94"/>
      <c r="NUD65" s="94"/>
      <c r="NUE65" s="94"/>
      <c r="NUF65" s="94"/>
      <c r="NUG65" s="94"/>
      <c r="NUH65" s="94"/>
      <c r="NUI65" s="94"/>
      <c r="NUJ65" s="94"/>
      <c r="NUK65" s="94"/>
      <c r="NUL65" s="94"/>
      <c r="NUM65" s="94"/>
      <c r="NUN65" s="94"/>
      <c r="NUO65" s="94"/>
      <c r="NUP65" s="94"/>
      <c r="NUQ65" s="94"/>
      <c r="NUR65" s="94"/>
      <c r="NUS65" s="94"/>
      <c r="NUT65" s="94"/>
      <c r="NUU65" s="94"/>
      <c r="NUV65" s="94"/>
      <c r="NUW65" s="94"/>
      <c r="NUX65" s="94"/>
      <c r="NUY65" s="94"/>
      <c r="NUZ65" s="94"/>
      <c r="NVA65" s="94"/>
      <c r="NVB65" s="94"/>
      <c r="NVC65" s="94"/>
      <c r="NVD65" s="94"/>
      <c r="NVE65" s="94"/>
      <c r="NVF65" s="94"/>
      <c r="NVG65" s="94"/>
      <c r="NVH65" s="94"/>
      <c r="NVI65" s="94"/>
      <c r="NVJ65" s="94"/>
      <c r="NVK65" s="94"/>
      <c r="NVL65" s="94"/>
      <c r="NVM65" s="94"/>
      <c r="NVN65" s="94"/>
      <c r="NVO65" s="94"/>
      <c r="NVP65" s="94"/>
      <c r="NVQ65" s="94"/>
      <c r="NVR65" s="94"/>
      <c r="NVS65" s="94"/>
      <c r="NVT65" s="94"/>
      <c r="NVU65" s="94"/>
      <c r="NVV65" s="94"/>
      <c r="NVW65" s="94"/>
      <c r="NVX65" s="94"/>
      <c r="NVY65" s="94"/>
      <c r="NVZ65" s="94"/>
      <c r="NWA65" s="94"/>
      <c r="NWB65" s="94"/>
      <c r="NWC65" s="94"/>
      <c r="NWD65" s="94"/>
      <c r="NWE65" s="94"/>
      <c r="NWF65" s="94"/>
      <c r="NWG65" s="94"/>
      <c r="NWH65" s="94"/>
      <c r="NWI65" s="94"/>
      <c r="NWJ65" s="94"/>
      <c r="NWK65" s="94"/>
      <c r="NWL65" s="94"/>
      <c r="NWM65" s="94"/>
      <c r="NWN65" s="94"/>
      <c r="NWO65" s="94"/>
      <c r="NWP65" s="94"/>
      <c r="NWQ65" s="94"/>
      <c r="NWR65" s="94"/>
      <c r="NWS65" s="94"/>
      <c r="NWT65" s="94"/>
      <c r="NWU65" s="94"/>
      <c r="NWV65" s="94"/>
      <c r="NWW65" s="94"/>
      <c r="NWX65" s="94"/>
      <c r="NWY65" s="94"/>
      <c r="NWZ65" s="94"/>
      <c r="NXA65" s="94"/>
      <c r="NXB65" s="94"/>
      <c r="NXC65" s="94"/>
      <c r="NXD65" s="94"/>
      <c r="NXE65" s="94"/>
      <c r="NXF65" s="94"/>
      <c r="NXG65" s="94"/>
      <c r="NXH65" s="94"/>
      <c r="NXI65" s="94"/>
      <c r="NXJ65" s="94"/>
      <c r="NXK65" s="94"/>
      <c r="NXL65" s="94"/>
      <c r="NXM65" s="94"/>
      <c r="NXN65" s="94"/>
      <c r="NXO65" s="94"/>
      <c r="NXP65" s="94"/>
      <c r="NXQ65" s="94"/>
      <c r="NXR65" s="94"/>
      <c r="NXS65" s="94"/>
      <c r="NXT65" s="94"/>
      <c r="NXU65" s="94"/>
      <c r="NXV65" s="94"/>
      <c r="NXW65" s="94"/>
      <c r="NXX65" s="94"/>
      <c r="NXY65" s="94"/>
      <c r="NXZ65" s="94"/>
      <c r="NYA65" s="94"/>
      <c r="NYB65" s="94"/>
      <c r="NYC65" s="94"/>
      <c r="NYD65" s="94"/>
      <c r="NYE65" s="94"/>
      <c r="NYF65" s="94"/>
      <c r="NYG65" s="94"/>
      <c r="NYH65" s="94"/>
      <c r="NYI65" s="94"/>
      <c r="NYJ65" s="94"/>
      <c r="NYK65" s="94"/>
      <c r="NYL65" s="94"/>
      <c r="NYM65" s="94"/>
      <c r="NYN65" s="94"/>
      <c r="NYO65" s="94"/>
      <c r="NYP65" s="94"/>
      <c r="NYQ65" s="94"/>
      <c r="NYR65" s="94"/>
      <c r="NYS65" s="94"/>
      <c r="NYT65" s="94"/>
      <c r="NYU65" s="94"/>
      <c r="NYV65" s="94"/>
      <c r="NYW65" s="94"/>
      <c r="NYX65" s="94"/>
      <c r="NYY65" s="94"/>
      <c r="NYZ65" s="94"/>
      <c r="NZA65" s="94"/>
      <c r="NZB65" s="94"/>
      <c r="NZC65" s="94"/>
      <c r="NZD65" s="94"/>
      <c r="NZE65" s="94"/>
      <c r="NZF65" s="94"/>
      <c r="NZG65" s="94"/>
      <c r="NZH65" s="94"/>
      <c r="NZI65" s="94"/>
      <c r="NZJ65" s="94"/>
      <c r="NZK65" s="94"/>
      <c r="NZL65" s="94"/>
      <c r="NZM65" s="94"/>
      <c r="NZN65" s="94"/>
      <c r="NZO65" s="94"/>
      <c r="NZP65" s="94"/>
      <c r="NZQ65" s="94"/>
      <c r="NZR65" s="94"/>
      <c r="NZS65" s="94"/>
      <c r="NZT65" s="94"/>
      <c r="NZU65" s="94"/>
      <c r="NZV65" s="94"/>
      <c r="NZW65" s="94"/>
      <c r="NZX65" s="94"/>
      <c r="NZY65" s="94"/>
      <c r="NZZ65" s="94"/>
      <c r="OAA65" s="94"/>
      <c r="OAB65" s="94"/>
      <c r="OAC65" s="94"/>
      <c r="OAD65" s="94"/>
      <c r="OAE65" s="94"/>
      <c r="OAF65" s="94"/>
      <c r="OAG65" s="94"/>
      <c r="OAH65" s="94"/>
      <c r="OAI65" s="94"/>
      <c r="OAJ65" s="94"/>
      <c r="OAK65" s="94"/>
      <c r="OAL65" s="94"/>
      <c r="OAM65" s="94"/>
      <c r="OAN65" s="94"/>
      <c r="OAO65" s="94"/>
      <c r="OAP65" s="94"/>
      <c r="OAQ65" s="94"/>
      <c r="OAR65" s="94"/>
      <c r="OAS65" s="94"/>
      <c r="OAT65" s="94"/>
      <c r="OAU65" s="94"/>
      <c r="OAV65" s="94"/>
      <c r="OAW65" s="94"/>
      <c r="OAX65" s="94"/>
      <c r="OAY65" s="94"/>
      <c r="OAZ65" s="94"/>
      <c r="OBA65" s="94"/>
      <c r="OBB65" s="94"/>
      <c r="OBC65" s="94"/>
      <c r="OBD65" s="94"/>
      <c r="OBE65" s="94"/>
      <c r="OBF65" s="94"/>
      <c r="OBG65" s="94"/>
      <c r="OBH65" s="94"/>
      <c r="OBI65" s="94"/>
      <c r="OBJ65" s="94"/>
      <c r="OBK65" s="94"/>
      <c r="OBL65" s="94"/>
      <c r="OBM65" s="94"/>
      <c r="OBN65" s="94"/>
      <c r="OBO65" s="94"/>
      <c r="OBP65" s="94"/>
      <c r="OBQ65" s="94"/>
      <c r="OBR65" s="94"/>
      <c r="OBS65" s="94"/>
      <c r="OBT65" s="94"/>
      <c r="OBU65" s="94"/>
      <c r="OBV65" s="94"/>
      <c r="OBW65" s="94"/>
      <c r="OBX65" s="94"/>
      <c r="OBY65" s="94"/>
      <c r="OBZ65" s="94"/>
      <c r="OCA65" s="94"/>
      <c r="OCB65" s="94"/>
      <c r="OCC65" s="94"/>
      <c r="OCD65" s="94"/>
      <c r="OCE65" s="94"/>
      <c r="OCF65" s="94"/>
      <c r="OCG65" s="94"/>
      <c r="OCH65" s="94"/>
      <c r="OCI65" s="94"/>
      <c r="OCJ65" s="94"/>
      <c r="OCK65" s="94"/>
      <c r="OCL65" s="94"/>
      <c r="OCM65" s="94"/>
      <c r="OCN65" s="94"/>
      <c r="OCO65" s="94"/>
      <c r="OCP65" s="94"/>
      <c r="OCQ65" s="94"/>
      <c r="OCR65" s="94"/>
      <c r="OCS65" s="94"/>
      <c r="OCT65" s="94"/>
      <c r="OCU65" s="94"/>
      <c r="OCV65" s="94"/>
      <c r="OCW65" s="94"/>
      <c r="OCX65" s="94"/>
      <c r="OCY65" s="94"/>
      <c r="OCZ65" s="94"/>
      <c r="ODA65" s="94"/>
      <c r="ODB65" s="94"/>
      <c r="ODC65" s="94"/>
      <c r="ODD65" s="94"/>
      <c r="ODE65" s="94"/>
      <c r="ODF65" s="94"/>
      <c r="ODG65" s="94"/>
      <c r="ODH65" s="94"/>
      <c r="ODI65" s="94"/>
      <c r="ODJ65" s="94"/>
      <c r="ODK65" s="94"/>
      <c r="ODL65" s="94"/>
      <c r="ODM65" s="94"/>
      <c r="ODN65" s="94"/>
      <c r="ODO65" s="94"/>
      <c r="ODP65" s="94"/>
      <c r="ODQ65" s="94"/>
      <c r="ODR65" s="94"/>
      <c r="ODS65" s="94"/>
      <c r="ODT65" s="94"/>
      <c r="ODU65" s="94"/>
      <c r="ODV65" s="94"/>
      <c r="ODW65" s="94"/>
      <c r="ODX65" s="94"/>
      <c r="ODY65" s="94"/>
      <c r="ODZ65" s="94"/>
      <c r="OEA65" s="94"/>
      <c r="OEB65" s="94"/>
      <c r="OEC65" s="94"/>
      <c r="OED65" s="94"/>
      <c r="OEE65" s="94"/>
      <c r="OEF65" s="94"/>
      <c r="OEG65" s="94"/>
      <c r="OEH65" s="94"/>
      <c r="OEI65" s="94"/>
      <c r="OEJ65" s="94"/>
      <c r="OEK65" s="94"/>
      <c r="OEL65" s="94"/>
      <c r="OEM65" s="94"/>
      <c r="OEN65" s="94"/>
      <c r="OEO65" s="94"/>
      <c r="OEP65" s="94"/>
      <c r="OEQ65" s="94"/>
      <c r="OER65" s="94"/>
      <c r="OES65" s="94"/>
      <c r="OET65" s="94"/>
      <c r="OEU65" s="94"/>
      <c r="OEV65" s="94"/>
      <c r="OEW65" s="94"/>
      <c r="OEX65" s="94"/>
      <c r="OEY65" s="94"/>
      <c r="OEZ65" s="94"/>
      <c r="OFA65" s="94"/>
      <c r="OFB65" s="94"/>
      <c r="OFC65" s="94"/>
      <c r="OFD65" s="94"/>
      <c r="OFE65" s="94"/>
      <c r="OFF65" s="94"/>
      <c r="OFG65" s="94"/>
      <c r="OFH65" s="94"/>
      <c r="OFI65" s="94"/>
      <c r="OFJ65" s="94"/>
      <c r="OFK65" s="94"/>
      <c r="OFL65" s="94"/>
      <c r="OFM65" s="94"/>
      <c r="OFN65" s="94"/>
      <c r="OFO65" s="94"/>
      <c r="OFP65" s="94"/>
      <c r="OFQ65" s="94"/>
      <c r="OFR65" s="94"/>
      <c r="OFS65" s="94"/>
      <c r="OFT65" s="94"/>
      <c r="OFU65" s="94"/>
      <c r="OFV65" s="94"/>
      <c r="OFW65" s="94"/>
      <c r="OFX65" s="94"/>
      <c r="OFY65" s="94"/>
      <c r="OFZ65" s="94"/>
      <c r="OGA65" s="94"/>
      <c r="OGB65" s="94"/>
      <c r="OGC65" s="94"/>
      <c r="OGD65" s="94"/>
      <c r="OGE65" s="94"/>
      <c r="OGF65" s="94"/>
      <c r="OGG65" s="94"/>
      <c r="OGH65" s="94"/>
      <c r="OGI65" s="94"/>
      <c r="OGJ65" s="94"/>
      <c r="OGK65" s="94"/>
      <c r="OGL65" s="94"/>
      <c r="OGM65" s="94"/>
      <c r="OGN65" s="94"/>
      <c r="OGO65" s="94"/>
      <c r="OGP65" s="94"/>
      <c r="OGQ65" s="94"/>
      <c r="OGR65" s="94"/>
      <c r="OGS65" s="94"/>
      <c r="OGT65" s="94"/>
      <c r="OGU65" s="94"/>
      <c r="OGV65" s="94"/>
      <c r="OGW65" s="94"/>
      <c r="OGX65" s="94"/>
      <c r="OGY65" s="94"/>
      <c r="OGZ65" s="94"/>
      <c r="OHA65" s="94"/>
      <c r="OHB65" s="94"/>
      <c r="OHC65" s="94"/>
      <c r="OHD65" s="94"/>
      <c r="OHE65" s="94"/>
      <c r="OHF65" s="94"/>
      <c r="OHG65" s="94"/>
      <c r="OHH65" s="94"/>
      <c r="OHI65" s="94"/>
      <c r="OHJ65" s="94"/>
      <c r="OHK65" s="94"/>
      <c r="OHL65" s="94"/>
      <c r="OHM65" s="94"/>
      <c r="OHN65" s="94"/>
      <c r="OHO65" s="94"/>
      <c r="OHP65" s="94"/>
      <c r="OHQ65" s="94"/>
      <c r="OHR65" s="94"/>
      <c r="OHS65" s="94"/>
      <c r="OHT65" s="94"/>
      <c r="OHU65" s="94"/>
      <c r="OHV65" s="94"/>
      <c r="OHW65" s="94"/>
      <c r="OHX65" s="94"/>
      <c r="OHY65" s="94"/>
      <c r="OHZ65" s="94"/>
      <c r="OIA65" s="94"/>
      <c r="OIB65" s="94"/>
      <c r="OIC65" s="94"/>
      <c r="OID65" s="94"/>
      <c r="OIE65" s="94"/>
      <c r="OIF65" s="94"/>
      <c r="OIG65" s="94"/>
      <c r="OIH65" s="94"/>
      <c r="OII65" s="94"/>
      <c r="OIJ65" s="94"/>
      <c r="OIK65" s="94"/>
      <c r="OIL65" s="94"/>
      <c r="OIM65" s="94"/>
      <c r="OIN65" s="94"/>
      <c r="OIO65" s="94"/>
      <c r="OIP65" s="94"/>
      <c r="OIQ65" s="94"/>
      <c r="OIR65" s="94"/>
      <c r="OIS65" s="94"/>
      <c r="OIT65" s="94"/>
      <c r="OIU65" s="94"/>
      <c r="OIV65" s="94"/>
      <c r="OIW65" s="94"/>
      <c r="OIX65" s="94"/>
      <c r="OIY65" s="94"/>
      <c r="OIZ65" s="94"/>
      <c r="OJA65" s="94"/>
      <c r="OJB65" s="94"/>
      <c r="OJC65" s="94"/>
      <c r="OJD65" s="94"/>
      <c r="OJE65" s="94"/>
      <c r="OJF65" s="94"/>
      <c r="OJG65" s="94"/>
      <c r="OJH65" s="94"/>
      <c r="OJI65" s="94"/>
      <c r="OJJ65" s="94"/>
      <c r="OJK65" s="94"/>
      <c r="OJL65" s="94"/>
      <c r="OJM65" s="94"/>
      <c r="OJN65" s="94"/>
      <c r="OJO65" s="94"/>
      <c r="OJP65" s="94"/>
      <c r="OJQ65" s="94"/>
      <c r="OJR65" s="94"/>
      <c r="OJS65" s="94"/>
      <c r="OJT65" s="94"/>
      <c r="OJU65" s="94"/>
      <c r="OJV65" s="94"/>
      <c r="OJW65" s="94"/>
      <c r="OJX65" s="94"/>
      <c r="OJY65" s="94"/>
      <c r="OJZ65" s="94"/>
      <c r="OKA65" s="94"/>
      <c r="OKB65" s="94"/>
      <c r="OKC65" s="94"/>
      <c r="OKD65" s="94"/>
      <c r="OKE65" s="94"/>
      <c r="OKF65" s="94"/>
      <c r="OKG65" s="94"/>
      <c r="OKH65" s="94"/>
      <c r="OKI65" s="94"/>
      <c r="OKJ65" s="94"/>
      <c r="OKK65" s="94"/>
      <c r="OKL65" s="94"/>
      <c r="OKM65" s="94"/>
      <c r="OKN65" s="94"/>
      <c r="OKO65" s="94"/>
      <c r="OKP65" s="94"/>
      <c r="OKQ65" s="94"/>
      <c r="OKR65" s="94"/>
      <c r="OKS65" s="94"/>
      <c r="OKT65" s="94"/>
      <c r="OKU65" s="94"/>
      <c r="OKV65" s="94"/>
      <c r="OKW65" s="94"/>
      <c r="OKX65" s="94"/>
      <c r="OKY65" s="94"/>
      <c r="OKZ65" s="94"/>
      <c r="OLA65" s="94"/>
      <c r="OLB65" s="94"/>
      <c r="OLC65" s="94"/>
      <c r="OLD65" s="94"/>
      <c r="OLE65" s="94"/>
      <c r="OLF65" s="94"/>
      <c r="OLG65" s="94"/>
      <c r="OLH65" s="94"/>
      <c r="OLI65" s="94"/>
      <c r="OLJ65" s="94"/>
      <c r="OLK65" s="94"/>
      <c r="OLL65" s="94"/>
      <c r="OLM65" s="94"/>
      <c r="OLN65" s="94"/>
      <c r="OLO65" s="94"/>
      <c r="OLP65" s="94"/>
      <c r="OLQ65" s="94"/>
      <c r="OLR65" s="94"/>
      <c r="OLS65" s="94"/>
      <c r="OLT65" s="94"/>
      <c r="OLU65" s="94"/>
      <c r="OLV65" s="94"/>
      <c r="OLW65" s="94"/>
      <c r="OLX65" s="94"/>
      <c r="OLY65" s="94"/>
      <c r="OLZ65" s="94"/>
      <c r="OMA65" s="94"/>
      <c r="OMB65" s="94"/>
      <c r="OMC65" s="94"/>
      <c r="OMD65" s="94"/>
      <c r="OME65" s="94"/>
      <c r="OMF65" s="94"/>
      <c r="OMG65" s="94"/>
      <c r="OMH65" s="94"/>
      <c r="OMI65" s="94"/>
      <c r="OMJ65" s="94"/>
      <c r="OMK65" s="94"/>
      <c r="OML65" s="94"/>
      <c r="OMM65" s="94"/>
      <c r="OMN65" s="94"/>
      <c r="OMO65" s="94"/>
      <c r="OMP65" s="94"/>
      <c r="OMQ65" s="94"/>
      <c r="OMR65" s="94"/>
      <c r="OMS65" s="94"/>
      <c r="OMT65" s="94"/>
      <c r="OMU65" s="94"/>
      <c r="OMV65" s="94"/>
      <c r="OMW65" s="94"/>
      <c r="OMX65" s="94"/>
      <c r="OMY65" s="94"/>
      <c r="OMZ65" s="94"/>
      <c r="ONA65" s="94"/>
      <c r="ONB65" s="94"/>
      <c r="ONC65" s="94"/>
      <c r="OND65" s="94"/>
      <c r="ONE65" s="94"/>
      <c r="ONF65" s="94"/>
      <c r="ONG65" s="94"/>
      <c r="ONH65" s="94"/>
      <c r="ONI65" s="94"/>
      <c r="ONJ65" s="94"/>
      <c r="ONK65" s="94"/>
      <c r="ONL65" s="94"/>
      <c r="ONM65" s="94"/>
      <c r="ONN65" s="94"/>
      <c r="ONO65" s="94"/>
      <c r="ONP65" s="94"/>
      <c r="ONQ65" s="94"/>
      <c r="ONR65" s="94"/>
      <c r="ONS65" s="94"/>
      <c r="ONT65" s="94"/>
      <c r="ONU65" s="94"/>
      <c r="ONV65" s="94"/>
      <c r="ONW65" s="94"/>
      <c r="ONX65" s="94"/>
      <c r="ONY65" s="94"/>
      <c r="ONZ65" s="94"/>
      <c r="OOA65" s="94"/>
      <c r="OOB65" s="94"/>
      <c r="OOC65" s="94"/>
      <c r="OOD65" s="94"/>
      <c r="OOE65" s="94"/>
      <c r="OOF65" s="94"/>
      <c r="OOG65" s="94"/>
      <c r="OOH65" s="94"/>
      <c r="OOI65" s="94"/>
      <c r="OOJ65" s="94"/>
      <c r="OOK65" s="94"/>
      <c r="OOL65" s="94"/>
      <c r="OOM65" s="94"/>
      <c r="OON65" s="94"/>
      <c r="OOO65" s="94"/>
      <c r="OOP65" s="94"/>
      <c r="OOQ65" s="94"/>
      <c r="OOR65" s="94"/>
      <c r="OOS65" s="94"/>
      <c r="OOT65" s="94"/>
      <c r="OOU65" s="94"/>
      <c r="OOV65" s="94"/>
      <c r="OOW65" s="94"/>
      <c r="OOX65" s="94"/>
      <c r="OOY65" s="94"/>
      <c r="OOZ65" s="94"/>
      <c r="OPA65" s="94"/>
      <c r="OPB65" s="94"/>
      <c r="OPC65" s="94"/>
      <c r="OPD65" s="94"/>
      <c r="OPE65" s="94"/>
      <c r="OPF65" s="94"/>
      <c r="OPG65" s="94"/>
      <c r="OPH65" s="94"/>
      <c r="OPI65" s="94"/>
      <c r="OPJ65" s="94"/>
      <c r="OPK65" s="94"/>
      <c r="OPL65" s="94"/>
      <c r="OPM65" s="94"/>
      <c r="OPN65" s="94"/>
      <c r="OPO65" s="94"/>
      <c r="OPP65" s="94"/>
      <c r="OPQ65" s="94"/>
      <c r="OPR65" s="94"/>
      <c r="OPS65" s="94"/>
      <c r="OPT65" s="94"/>
      <c r="OPU65" s="94"/>
      <c r="OPV65" s="94"/>
      <c r="OPW65" s="94"/>
      <c r="OPX65" s="94"/>
      <c r="OPY65" s="94"/>
      <c r="OPZ65" s="94"/>
      <c r="OQA65" s="94"/>
      <c r="OQB65" s="94"/>
      <c r="OQC65" s="94"/>
      <c r="OQD65" s="94"/>
      <c r="OQE65" s="94"/>
      <c r="OQF65" s="94"/>
      <c r="OQG65" s="94"/>
      <c r="OQH65" s="94"/>
      <c r="OQI65" s="94"/>
      <c r="OQJ65" s="94"/>
      <c r="OQK65" s="94"/>
      <c r="OQL65" s="94"/>
      <c r="OQM65" s="94"/>
      <c r="OQN65" s="94"/>
      <c r="OQO65" s="94"/>
      <c r="OQP65" s="94"/>
      <c r="OQQ65" s="94"/>
      <c r="OQR65" s="94"/>
      <c r="OQS65" s="94"/>
      <c r="OQT65" s="94"/>
      <c r="OQU65" s="94"/>
      <c r="OQV65" s="94"/>
      <c r="OQW65" s="94"/>
      <c r="OQX65" s="94"/>
      <c r="OQY65" s="94"/>
      <c r="OQZ65" s="94"/>
      <c r="ORA65" s="94"/>
      <c r="ORB65" s="94"/>
      <c r="ORC65" s="94"/>
      <c r="ORD65" s="94"/>
      <c r="ORE65" s="94"/>
      <c r="ORF65" s="94"/>
      <c r="ORG65" s="94"/>
      <c r="ORH65" s="94"/>
      <c r="ORI65" s="94"/>
      <c r="ORJ65" s="94"/>
      <c r="ORK65" s="94"/>
      <c r="ORL65" s="94"/>
      <c r="ORM65" s="94"/>
      <c r="ORN65" s="94"/>
      <c r="ORO65" s="94"/>
      <c r="ORP65" s="94"/>
      <c r="ORQ65" s="94"/>
      <c r="ORR65" s="94"/>
      <c r="ORS65" s="94"/>
      <c r="ORT65" s="94"/>
      <c r="ORU65" s="94"/>
      <c r="ORV65" s="94"/>
      <c r="ORW65" s="94"/>
      <c r="ORX65" s="94"/>
      <c r="ORY65" s="94"/>
      <c r="ORZ65" s="94"/>
      <c r="OSA65" s="94"/>
      <c r="OSB65" s="94"/>
      <c r="OSC65" s="94"/>
      <c r="OSD65" s="94"/>
      <c r="OSE65" s="94"/>
      <c r="OSF65" s="94"/>
      <c r="OSG65" s="94"/>
      <c r="OSH65" s="94"/>
      <c r="OSI65" s="94"/>
      <c r="OSJ65" s="94"/>
      <c r="OSK65" s="94"/>
      <c r="OSL65" s="94"/>
      <c r="OSM65" s="94"/>
      <c r="OSN65" s="94"/>
      <c r="OSO65" s="94"/>
      <c r="OSP65" s="94"/>
      <c r="OSQ65" s="94"/>
      <c r="OSR65" s="94"/>
      <c r="OSS65" s="94"/>
      <c r="OST65" s="94"/>
      <c r="OSU65" s="94"/>
      <c r="OSV65" s="94"/>
      <c r="OSW65" s="94"/>
      <c r="OSX65" s="94"/>
      <c r="OSY65" s="94"/>
      <c r="OSZ65" s="94"/>
      <c r="OTA65" s="94"/>
      <c r="OTB65" s="94"/>
      <c r="OTC65" s="94"/>
      <c r="OTD65" s="94"/>
      <c r="OTE65" s="94"/>
      <c r="OTF65" s="94"/>
      <c r="OTG65" s="94"/>
      <c r="OTH65" s="94"/>
      <c r="OTI65" s="94"/>
      <c r="OTJ65" s="94"/>
      <c r="OTK65" s="94"/>
      <c r="OTL65" s="94"/>
      <c r="OTM65" s="94"/>
      <c r="OTN65" s="94"/>
      <c r="OTO65" s="94"/>
      <c r="OTP65" s="94"/>
      <c r="OTQ65" s="94"/>
      <c r="OTR65" s="94"/>
      <c r="OTS65" s="94"/>
      <c r="OTT65" s="94"/>
      <c r="OTU65" s="94"/>
      <c r="OTV65" s="94"/>
      <c r="OTW65" s="94"/>
      <c r="OTX65" s="94"/>
      <c r="OTY65" s="94"/>
      <c r="OTZ65" s="94"/>
      <c r="OUA65" s="94"/>
      <c r="OUB65" s="94"/>
      <c r="OUC65" s="94"/>
      <c r="OUD65" s="94"/>
      <c r="OUE65" s="94"/>
      <c r="OUF65" s="94"/>
      <c r="OUG65" s="94"/>
      <c r="OUH65" s="94"/>
      <c r="OUI65" s="94"/>
      <c r="OUJ65" s="94"/>
      <c r="OUK65" s="94"/>
      <c r="OUL65" s="94"/>
      <c r="OUM65" s="94"/>
      <c r="OUN65" s="94"/>
      <c r="OUO65" s="94"/>
      <c r="OUP65" s="94"/>
      <c r="OUQ65" s="94"/>
      <c r="OUR65" s="94"/>
      <c r="OUS65" s="94"/>
      <c r="OUT65" s="94"/>
      <c r="OUU65" s="94"/>
      <c r="OUV65" s="94"/>
      <c r="OUW65" s="94"/>
      <c r="OUX65" s="94"/>
      <c r="OUY65" s="94"/>
      <c r="OUZ65" s="94"/>
      <c r="OVA65" s="94"/>
      <c r="OVB65" s="94"/>
      <c r="OVC65" s="94"/>
      <c r="OVD65" s="94"/>
      <c r="OVE65" s="94"/>
      <c r="OVF65" s="94"/>
      <c r="OVG65" s="94"/>
      <c r="OVH65" s="94"/>
      <c r="OVI65" s="94"/>
      <c r="OVJ65" s="94"/>
      <c r="OVK65" s="94"/>
      <c r="OVL65" s="94"/>
      <c r="OVM65" s="94"/>
      <c r="OVN65" s="94"/>
      <c r="OVO65" s="94"/>
      <c r="OVP65" s="94"/>
      <c r="OVQ65" s="94"/>
      <c r="OVR65" s="94"/>
      <c r="OVS65" s="94"/>
      <c r="OVT65" s="94"/>
      <c r="OVU65" s="94"/>
      <c r="OVV65" s="94"/>
      <c r="OVW65" s="94"/>
      <c r="OVX65" s="94"/>
      <c r="OVY65" s="94"/>
      <c r="OVZ65" s="94"/>
      <c r="OWA65" s="94"/>
      <c r="OWB65" s="94"/>
      <c r="OWC65" s="94"/>
      <c r="OWD65" s="94"/>
      <c r="OWE65" s="94"/>
      <c r="OWF65" s="94"/>
      <c r="OWG65" s="94"/>
      <c r="OWH65" s="94"/>
      <c r="OWI65" s="94"/>
      <c r="OWJ65" s="94"/>
      <c r="OWK65" s="94"/>
      <c r="OWL65" s="94"/>
      <c r="OWM65" s="94"/>
      <c r="OWN65" s="94"/>
      <c r="OWO65" s="94"/>
      <c r="OWP65" s="94"/>
      <c r="OWQ65" s="94"/>
      <c r="OWR65" s="94"/>
      <c r="OWS65" s="94"/>
      <c r="OWT65" s="94"/>
      <c r="OWU65" s="94"/>
      <c r="OWV65" s="94"/>
      <c r="OWW65" s="94"/>
      <c r="OWX65" s="94"/>
      <c r="OWY65" s="94"/>
      <c r="OWZ65" s="94"/>
      <c r="OXA65" s="94"/>
      <c r="OXB65" s="94"/>
      <c r="OXC65" s="94"/>
      <c r="OXD65" s="94"/>
      <c r="OXE65" s="94"/>
      <c r="OXF65" s="94"/>
      <c r="OXG65" s="94"/>
      <c r="OXH65" s="94"/>
      <c r="OXI65" s="94"/>
      <c r="OXJ65" s="94"/>
      <c r="OXK65" s="94"/>
      <c r="OXL65" s="94"/>
      <c r="OXM65" s="94"/>
      <c r="OXN65" s="94"/>
      <c r="OXO65" s="94"/>
      <c r="OXP65" s="94"/>
      <c r="OXQ65" s="94"/>
      <c r="OXR65" s="94"/>
      <c r="OXS65" s="94"/>
      <c r="OXT65" s="94"/>
      <c r="OXU65" s="94"/>
      <c r="OXV65" s="94"/>
      <c r="OXW65" s="94"/>
      <c r="OXX65" s="94"/>
      <c r="OXY65" s="94"/>
      <c r="OXZ65" s="94"/>
      <c r="OYA65" s="94"/>
      <c r="OYB65" s="94"/>
      <c r="OYC65" s="94"/>
      <c r="OYD65" s="94"/>
      <c r="OYE65" s="94"/>
      <c r="OYF65" s="94"/>
      <c r="OYG65" s="94"/>
      <c r="OYH65" s="94"/>
      <c r="OYI65" s="94"/>
      <c r="OYJ65" s="94"/>
      <c r="OYK65" s="94"/>
      <c r="OYL65" s="94"/>
      <c r="OYM65" s="94"/>
      <c r="OYN65" s="94"/>
      <c r="OYO65" s="94"/>
      <c r="OYP65" s="94"/>
      <c r="OYQ65" s="94"/>
      <c r="OYR65" s="94"/>
      <c r="OYS65" s="94"/>
      <c r="OYT65" s="94"/>
      <c r="OYU65" s="94"/>
      <c r="OYV65" s="94"/>
      <c r="OYW65" s="94"/>
      <c r="OYX65" s="94"/>
      <c r="OYY65" s="94"/>
      <c r="OYZ65" s="94"/>
      <c r="OZA65" s="94"/>
      <c r="OZB65" s="94"/>
      <c r="OZC65" s="94"/>
      <c r="OZD65" s="94"/>
      <c r="OZE65" s="94"/>
      <c r="OZF65" s="94"/>
      <c r="OZG65" s="94"/>
      <c r="OZH65" s="94"/>
      <c r="OZI65" s="94"/>
      <c r="OZJ65" s="94"/>
      <c r="OZK65" s="94"/>
      <c r="OZL65" s="94"/>
      <c r="OZM65" s="94"/>
      <c r="OZN65" s="94"/>
      <c r="OZO65" s="94"/>
      <c r="OZP65" s="94"/>
      <c r="OZQ65" s="94"/>
      <c r="OZR65" s="94"/>
      <c r="OZS65" s="94"/>
      <c r="OZT65" s="94"/>
      <c r="OZU65" s="94"/>
      <c r="OZV65" s="94"/>
      <c r="OZW65" s="94"/>
      <c r="OZX65" s="94"/>
      <c r="OZY65" s="94"/>
      <c r="OZZ65" s="94"/>
      <c r="PAA65" s="94"/>
      <c r="PAB65" s="94"/>
      <c r="PAC65" s="94"/>
      <c r="PAD65" s="94"/>
      <c r="PAE65" s="94"/>
      <c r="PAF65" s="94"/>
      <c r="PAG65" s="94"/>
      <c r="PAH65" s="94"/>
      <c r="PAI65" s="94"/>
      <c r="PAJ65" s="94"/>
      <c r="PAK65" s="94"/>
      <c r="PAL65" s="94"/>
      <c r="PAM65" s="94"/>
      <c r="PAN65" s="94"/>
      <c r="PAO65" s="94"/>
      <c r="PAP65" s="94"/>
      <c r="PAQ65" s="94"/>
      <c r="PAR65" s="94"/>
      <c r="PAS65" s="94"/>
      <c r="PAT65" s="94"/>
      <c r="PAU65" s="94"/>
      <c r="PAV65" s="94"/>
      <c r="PAW65" s="94"/>
      <c r="PAX65" s="94"/>
      <c r="PAY65" s="94"/>
      <c r="PAZ65" s="94"/>
      <c r="PBA65" s="94"/>
      <c r="PBB65" s="94"/>
      <c r="PBC65" s="94"/>
      <c r="PBD65" s="94"/>
      <c r="PBE65" s="94"/>
      <c r="PBF65" s="94"/>
      <c r="PBG65" s="94"/>
      <c r="PBH65" s="94"/>
      <c r="PBI65" s="94"/>
      <c r="PBJ65" s="94"/>
      <c r="PBK65" s="94"/>
      <c r="PBL65" s="94"/>
      <c r="PBM65" s="94"/>
      <c r="PBN65" s="94"/>
      <c r="PBO65" s="94"/>
      <c r="PBP65" s="94"/>
      <c r="PBQ65" s="94"/>
      <c r="PBR65" s="94"/>
      <c r="PBS65" s="94"/>
      <c r="PBT65" s="94"/>
      <c r="PBU65" s="94"/>
      <c r="PBV65" s="94"/>
      <c r="PBW65" s="94"/>
      <c r="PBX65" s="94"/>
      <c r="PBY65" s="94"/>
      <c r="PBZ65" s="94"/>
      <c r="PCA65" s="94"/>
      <c r="PCB65" s="94"/>
      <c r="PCC65" s="94"/>
      <c r="PCD65" s="94"/>
      <c r="PCE65" s="94"/>
      <c r="PCF65" s="94"/>
      <c r="PCG65" s="94"/>
      <c r="PCH65" s="94"/>
      <c r="PCI65" s="94"/>
      <c r="PCJ65" s="94"/>
      <c r="PCK65" s="94"/>
      <c r="PCL65" s="94"/>
      <c r="PCM65" s="94"/>
      <c r="PCN65" s="94"/>
      <c r="PCO65" s="94"/>
      <c r="PCP65" s="94"/>
      <c r="PCQ65" s="94"/>
      <c r="PCR65" s="94"/>
      <c r="PCS65" s="94"/>
      <c r="PCT65" s="94"/>
      <c r="PCU65" s="94"/>
      <c r="PCV65" s="94"/>
      <c r="PCW65" s="94"/>
      <c r="PCX65" s="94"/>
      <c r="PCY65" s="94"/>
      <c r="PCZ65" s="94"/>
      <c r="PDA65" s="94"/>
      <c r="PDB65" s="94"/>
      <c r="PDC65" s="94"/>
      <c r="PDD65" s="94"/>
      <c r="PDE65" s="94"/>
      <c r="PDF65" s="94"/>
      <c r="PDG65" s="94"/>
      <c r="PDH65" s="94"/>
      <c r="PDI65" s="94"/>
      <c r="PDJ65" s="94"/>
      <c r="PDK65" s="94"/>
      <c r="PDL65" s="94"/>
      <c r="PDM65" s="94"/>
      <c r="PDN65" s="94"/>
      <c r="PDO65" s="94"/>
      <c r="PDP65" s="94"/>
      <c r="PDQ65" s="94"/>
      <c r="PDR65" s="94"/>
      <c r="PDS65" s="94"/>
      <c r="PDT65" s="94"/>
      <c r="PDU65" s="94"/>
      <c r="PDV65" s="94"/>
      <c r="PDW65" s="94"/>
      <c r="PDX65" s="94"/>
      <c r="PDY65" s="94"/>
      <c r="PDZ65" s="94"/>
      <c r="PEA65" s="94"/>
      <c r="PEB65" s="94"/>
      <c r="PEC65" s="94"/>
      <c r="PED65" s="94"/>
      <c r="PEE65" s="94"/>
      <c r="PEF65" s="94"/>
      <c r="PEG65" s="94"/>
      <c r="PEH65" s="94"/>
      <c r="PEI65" s="94"/>
      <c r="PEJ65" s="94"/>
      <c r="PEK65" s="94"/>
      <c r="PEL65" s="94"/>
      <c r="PEM65" s="94"/>
      <c r="PEN65" s="94"/>
      <c r="PEO65" s="94"/>
      <c r="PEP65" s="94"/>
      <c r="PEQ65" s="94"/>
      <c r="PER65" s="94"/>
      <c r="PES65" s="94"/>
      <c r="PET65" s="94"/>
      <c r="PEU65" s="94"/>
      <c r="PEV65" s="94"/>
      <c r="PEW65" s="94"/>
      <c r="PEX65" s="94"/>
      <c r="PEY65" s="94"/>
      <c r="PEZ65" s="94"/>
      <c r="PFA65" s="94"/>
      <c r="PFB65" s="94"/>
      <c r="PFC65" s="94"/>
      <c r="PFD65" s="94"/>
      <c r="PFE65" s="94"/>
      <c r="PFF65" s="94"/>
      <c r="PFG65" s="94"/>
      <c r="PFH65" s="94"/>
      <c r="PFI65" s="94"/>
      <c r="PFJ65" s="94"/>
      <c r="PFK65" s="94"/>
      <c r="PFL65" s="94"/>
      <c r="PFM65" s="94"/>
      <c r="PFN65" s="94"/>
      <c r="PFO65" s="94"/>
      <c r="PFP65" s="94"/>
      <c r="PFQ65" s="94"/>
      <c r="PFR65" s="94"/>
      <c r="PFS65" s="94"/>
      <c r="PFT65" s="94"/>
      <c r="PFU65" s="94"/>
      <c r="PFV65" s="94"/>
      <c r="PFW65" s="94"/>
      <c r="PFX65" s="94"/>
      <c r="PFY65" s="94"/>
      <c r="PFZ65" s="94"/>
      <c r="PGA65" s="94"/>
      <c r="PGB65" s="94"/>
      <c r="PGC65" s="94"/>
      <c r="PGD65" s="94"/>
      <c r="PGE65" s="94"/>
      <c r="PGF65" s="94"/>
      <c r="PGG65" s="94"/>
      <c r="PGH65" s="94"/>
      <c r="PGI65" s="94"/>
      <c r="PGJ65" s="94"/>
      <c r="PGK65" s="94"/>
      <c r="PGL65" s="94"/>
      <c r="PGM65" s="94"/>
      <c r="PGN65" s="94"/>
      <c r="PGO65" s="94"/>
      <c r="PGP65" s="94"/>
      <c r="PGQ65" s="94"/>
      <c r="PGR65" s="94"/>
      <c r="PGS65" s="94"/>
      <c r="PGT65" s="94"/>
      <c r="PGU65" s="94"/>
      <c r="PGV65" s="94"/>
      <c r="PGW65" s="94"/>
      <c r="PGX65" s="94"/>
      <c r="PGY65" s="94"/>
      <c r="PGZ65" s="94"/>
      <c r="PHA65" s="94"/>
      <c r="PHB65" s="94"/>
      <c r="PHC65" s="94"/>
      <c r="PHD65" s="94"/>
      <c r="PHE65" s="94"/>
      <c r="PHF65" s="94"/>
      <c r="PHG65" s="94"/>
      <c r="PHH65" s="94"/>
      <c r="PHI65" s="94"/>
      <c r="PHJ65" s="94"/>
      <c r="PHK65" s="94"/>
      <c r="PHL65" s="94"/>
      <c r="PHM65" s="94"/>
      <c r="PHN65" s="94"/>
      <c r="PHO65" s="94"/>
      <c r="PHP65" s="94"/>
      <c r="PHQ65" s="94"/>
      <c r="PHR65" s="94"/>
      <c r="PHS65" s="94"/>
      <c r="PHT65" s="94"/>
      <c r="PHU65" s="94"/>
      <c r="PHV65" s="94"/>
      <c r="PHW65" s="94"/>
      <c r="PHX65" s="94"/>
      <c r="PHY65" s="94"/>
      <c r="PHZ65" s="94"/>
      <c r="PIA65" s="94"/>
      <c r="PIB65" s="94"/>
      <c r="PIC65" s="94"/>
      <c r="PID65" s="94"/>
      <c r="PIE65" s="94"/>
      <c r="PIF65" s="94"/>
      <c r="PIG65" s="94"/>
      <c r="PIH65" s="94"/>
      <c r="PII65" s="94"/>
      <c r="PIJ65" s="94"/>
      <c r="PIK65" s="94"/>
      <c r="PIL65" s="94"/>
      <c r="PIM65" s="94"/>
      <c r="PIN65" s="94"/>
      <c r="PIO65" s="94"/>
      <c r="PIP65" s="94"/>
      <c r="PIQ65" s="94"/>
      <c r="PIR65" s="94"/>
      <c r="PIS65" s="94"/>
      <c r="PIT65" s="94"/>
      <c r="PIU65" s="94"/>
      <c r="PIV65" s="94"/>
      <c r="PIW65" s="94"/>
      <c r="PIX65" s="94"/>
      <c r="PIY65" s="94"/>
      <c r="PIZ65" s="94"/>
      <c r="PJA65" s="94"/>
      <c r="PJB65" s="94"/>
      <c r="PJC65" s="94"/>
      <c r="PJD65" s="94"/>
      <c r="PJE65" s="94"/>
      <c r="PJF65" s="94"/>
      <c r="PJG65" s="94"/>
      <c r="PJH65" s="94"/>
      <c r="PJI65" s="94"/>
      <c r="PJJ65" s="94"/>
      <c r="PJK65" s="94"/>
      <c r="PJL65" s="94"/>
      <c r="PJM65" s="94"/>
      <c r="PJN65" s="94"/>
      <c r="PJO65" s="94"/>
      <c r="PJP65" s="94"/>
      <c r="PJQ65" s="94"/>
      <c r="PJR65" s="94"/>
      <c r="PJS65" s="94"/>
      <c r="PJT65" s="94"/>
      <c r="PJU65" s="94"/>
      <c r="PJV65" s="94"/>
      <c r="PJW65" s="94"/>
      <c r="PJX65" s="94"/>
      <c r="PJY65" s="94"/>
      <c r="PJZ65" s="94"/>
      <c r="PKA65" s="94"/>
      <c r="PKB65" s="94"/>
      <c r="PKC65" s="94"/>
      <c r="PKD65" s="94"/>
      <c r="PKE65" s="94"/>
      <c r="PKF65" s="94"/>
      <c r="PKG65" s="94"/>
      <c r="PKH65" s="94"/>
      <c r="PKI65" s="94"/>
      <c r="PKJ65" s="94"/>
      <c r="PKK65" s="94"/>
      <c r="PKL65" s="94"/>
      <c r="PKM65" s="94"/>
      <c r="PKN65" s="94"/>
      <c r="PKO65" s="94"/>
      <c r="PKP65" s="94"/>
      <c r="PKQ65" s="94"/>
      <c r="PKR65" s="94"/>
      <c r="PKS65" s="94"/>
      <c r="PKT65" s="94"/>
      <c r="PKU65" s="94"/>
      <c r="PKV65" s="94"/>
      <c r="PKW65" s="94"/>
      <c r="PKX65" s="94"/>
      <c r="PKY65" s="94"/>
      <c r="PKZ65" s="94"/>
      <c r="PLA65" s="94"/>
      <c r="PLB65" s="94"/>
      <c r="PLC65" s="94"/>
      <c r="PLD65" s="94"/>
      <c r="PLE65" s="94"/>
      <c r="PLF65" s="94"/>
      <c r="PLG65" s="94"/>
      <c r="PLH65" s="94"/>
      <c r="PLI65" s="94"/>
      <c r="PLJ65" s="94"/>
      <c r="PLK65" s="94"/>
      <c r="PLL65" s="94"/>
      <c r="PLM65" s="94"/>
      <c r="PLN65" s="94"/>
      <c r="PLO65" s="94"/>
      <c r="PLP65" s="94"/>
      <c r="PLQ65" s="94"/>
      <c r="PLR65" s="94"/>
      <c r="PLS65" s="94"/>
      <c r="PLT65" s="94"/>
      <c r="PLU65" s="94"/>
      <c r="PLV65" s="94"/>
      <c r="PLW65" s="94"/>
      <c r="PLX65" s="94"/>
      <c r="PLY65" s="94"/>
      <c r="PLZ65" s="94"/>
      <c r="PMA65" s="94"/>
      <c r="PMB65" s="94"/>
      <c r="PMC65" s="94"/>
      <c r="PMD65" s="94"/>
      <c r="PME65" s="94"/>
      <c r="PMF65" s="94"/>
      <c r="PMG65" s="94"/>
      <c r="PMH65" s="94"/>
      <c r="PMI65" s="94"/>
      <c r="PMJ65" s="94"/>
      <c r="PMK65" s="94"/>
      <c r="PML65" s="94"/>
      <c r="PMM65" s="94"/>
      <c r="PMN65" s="94"/>
      <c r="PMO65" s="94"/>
      <c r="PMP65" s="94"/>
      <c r="PMQ65" s="94"/>
      <c r="PMR65" s="94"/>
      <c r="PMS65" s="94"/>
      <c r="PMT65" s="94"/>
      <c r="PMU65" s="94"/>
      <c r="PMV65" s="94"/>
      <c r="PMW65" s="94"/>
      <c r="PMX65" s="94"/>
      <c r="PMY65" s="94"/>
      <c r="PMZ65" s="94"/>
      <c r="PNA65" s="94"/>
      <c r="PNB65" s="94"/>
      <c r="PNC65" s="94"/>
      <c r="PND65" s="94"/>
      <c r="PNE65" s="94"/>
      <c r="PNF65" s="94"/>
      <c r="PNG65" s="94"/>
      <c r="PNH65" s="94"/>
      <c r="PNI65" s="94"/>
      <c r="PNJ65" s="94"/>
      <c r="PNK65" s="94"/>
      <c r="PNL65" s="94"/>
      <c r="PNM65" s="94"/>
      <c r="PNN65" s="94"/>
      <c r="PNO65" s="94"/>
      <c r="PNP65" s="94"/>
      <c r="PNQ65" s="94"/>
      <c r="PNR65" s="94"/>
      <c r="PNS65" s="94"/>
      <c r="PNT65" s="94"/>
      <c r="PNU65" s="94"/>
      <c r="PNV65" s="94"/>
      <c r="PNW65" s="94"/>
      <c r="PNX65" s="94"/>
      <c r="PNY65" s="94"/>
      <c r="PNZ65" s="94"/>
      <c r="POA65" s="94"/>
      <c r="POB65" s="94"/>
      <c r="POC65" s="94"/>
      <c r="POD65" s="94"/>
      <c r="POE65" s="94"/>
      <c r="POF65" s="94"/>
      <c r="POG65" s="94"/>
      <c r="POH65" s="94"/>
      <c r="POI65" s="94"/>
      <c r="POJ65" s="94"/>
      <c r="POK65" s="94"/>
      <c r="POL65" s="94"/>
      <c r="POM65" s="94"/>
      <c r="PON65" s="94"/>
      <c r="POO65" s="94"/>
      <c r="POP65" s="94"/>
      <c r="POQ65" s="94"/>
      <c r="POR65" s="94"/>
      <c r="POS65" s="94"/>
      <c r="POT65" s="94"/>
      <c r="POU65" s="94"/>
      <c r="POV65" s="94"/>
      <c r="POW65" s="94"/>
      <c r="POX65" s="94"/>
      <c r="POY65" s="94"/>
      <c r="POZ65" s="94"/>
      <c r="PPA65" s="94"/>
      <c r="PPB65" s="94"/>
      <c r="PPC65" s="94"/>
      <c r="PPD65" s="94"/>
      <c r="PPE65" s="94"/>
      <c r="PPF65" s="94"/>
      <c r="PPG65" s="94"/>
      <c r="PPH65" s="94"/>
      <c r="PPI65" s="94"/>
      <c r="PPJ65" s="94"/>
      <c r="PPK65" s="94"/>
      <c r="PPL65" s="94"/>
      <c r="PPM65" s="94"/>
      <c r="PPN65" s="94"/>
      <c r="PPO65" s="94"/>
      <c r="PPP65" s="94"/>
      <c r="PPQ65" s="94"/>
      <c r="PPR65" s="94"/>
      <c r="PPS65" s="94"/>
      <c r="PPT65" s="94"/>
      <c r="PPU65" s="94"/>
      <c r="PPV65" s="94"/>
      <c r="PPW65" s="94"/>
      <c r="PPX65" s="94"/>
      <c r="PPY65" s="94"/>
      <c r="PPZ65" s="94"/>
      <c r="PQA65" s="94"/>
      <c r="PQB65" s="94"/>
      <c r="PQC65" s="94"/>
      <c r="PQD65" s="94"/>
      <c r="PQE65" s="94"/>
      <c r="PQF65" s="94"/>
      <c r="PQG65" s="94"/>
      <c r="PQH65" s="94"/>
      <c r="PQI65" s="94"/>
      <c r="PQJ65" s="94"/>
      <c r="PQK65" s="94"/>
      <c r="PQL65" s="94"/>
      <c r="PQM65" s="94"/>
      <c r="PQN65" s="94"/>
      <c r="PQO65" s="94"/>
      <c r="PQP65" s="94"/>
      <c r="PQQ65" s="94"/>
      <c r="PQR65" s="94"/>
      <c r="PQS65" s="94"/>
      <c r="PQT65" s="94"/>
      <c r="PQU65" s="94"/>
      <c r="PQV65" s="94"/>
      <c r="PQW65" s="94"/>
      <c r="PQX65" s="94"/>
      <c r="PQY65" s="94"/>
      <c r="PQZ65" s="94"/>
      <c r="PRA65" s="94"/>
      <c r="PRB65" s="94"/>
      <c r="PRC65" s="94"/>
      <c r="PRD65" s="94"/>
      <c r="PRE65" s="94"/>
      <c r="PRF65" s="94"/>
      <c r="PRG65" s="94"/>
      <c r="PRH65" s="94"/>
      <c r="PRI65" s="94"/>
      <c r="PRJ65" s="94"/>
      <c r="PRK65" s="94"/>
      <c r="PRL65" s="94"/>
      <c r="PRM65" s="94"/>
      <c r="PRN65" s="94"/>
      <c r="PRO65" s="94"/>
      <c r="PRP65" s="94"/>
      <c r="PRQ65" s="94"/>
      <c r="PRR65" s="94"/>
      <c r="PRS65" s="94"/>
      <c r="PRT65" s="94"/>
      <c r="PRU65" s="94"/>
      <c r="PRV65" s="94"/>
      <c r="PRW65" s="94"/>
      <c r="PRX65" s="94"/>
      <c r="PRY65" s="94"/>
      <c r="PRZ65" s="94"/>
      <c r="PSA65" s="94"/>
      <c r="PSB65" s="94"/>
      <c r="PSC65" s="94"/>
      <c r="PSD65" s="94"/>
      <c r="PSE65" s="94"/>
      <c r="PSF65" s="94"/>
      <c r="PSG65" s="94"/>
      <c r="PSH65" s="94"/>
      <c r="PSI65" s="94"/>
      <c r="PSJ65" s="94"/>
      <c r="PSK65" s="94"/>
      <c r="PSL65" s="94"/>
      <c r="PSM65" s="94"/>
      <c r="PSN65" s="94"/>
      <c r="PSO65" s="94"/>
      <c r="PSP65" s="94"/>
      <c r="PSQ65" s="94"/>
      <c r="PSR65" s="94"/>
      <c r="PSS65" s="94"/>
      <c r="PST65" s="94"/>
      <c r="PSU65" s="94"/>
      <c r="PSV65" s="94"/>
      <c r="PSW65" s="94"/>
      <c r="PSX65" s="94"/>
      <c r="PSY65" s="94"/>
      <c r="PSZ65" s="94"/>
      <c r="PTA65" s="94"/>
      <c r="PTB65" s="94"/>
      <c r="PTC65" s="94"/>
      <c r="PTD65" s="94"/>
      <c r="PTE65" s="94"/>
      <c r="PTF65" s="94"/>
      <c r="PTG65" s="94"/>
      <c r="PTH65" s="94"/>
      <c r="PTI65" s="94"/>
      <c r="PTJ65" s="94"/>
      <c r="PTK65" s="94"/>
      <c r="PTL65" s="94"/>
      <c r="PTM65" s="94"/>
      <c r="PTN65" s="94"/>
      <c r="PTO65" s="94"/>
      <c r="PTP65" s="94"/>
      <c r="PTQ65" s="94"/>
      <c r="PTR65" s="94"/>
      <c r="PTS65" s="94"/>
      <c r="PTT65" s="94"/>
      <c r="PTU65" s="94"/>
      <c r="PTV65" s="94"/>
      <c r="PTW65" s="94"/>
      <c r="PTX65" s="94"/>
      <c r="PTY65" s="94"/>
      <c r="PTZ65" s="94"/>
      <c r="PUA65" s="94"/>
      <c r="PUB65" s="94"/>
      <c r="PUC65" s="94"/>
      <c r="PUD65" s="94"/>
      <c r="PUE65" s="94"/>
      <c r="PUF65" s="94"/>
      <c r="PUG65" s="94"/>
      <c r="PUH65" s="94"/>
      <c r="PUI65" s="94"/>
      <c r="PUJ65" s="94"/>
      <c r="PUK65" s="94"/>
      <c r="PUL65" s="94"/>
      <c r="PUM65" s="94"/>
      <c r="PUN65" s="94"/>
      <c r="PUO65" s="94"/>
      <c r="PUP65" s="94"/>
      <c r="PUQ65" s="94"/>
      <c r="PUR65" s="94"/>
      <c r="PUS65" s="94"/>
      <c r="PUT65" s="94"/>
      <c r="PUU65" s="94"/>
      <c r="PUV65" s="94"/>
      <c r="PUW65" s="94"/>
      <c r="PUX65" s="94"/>
      <c r="PUY65" s="94"/>
      <c r="PUZ65" s="94"/>
      <c r="PVA65" s="94"/>
      <c r="PVB65" s="94"/>
      <c r="PVC65" s="94"/>
      <c r="PVD65" s="94"/>
      <c r="PVE65" s="94"/>
      <c r="PVF65" s="94"/>
      <c r="PVG65" s="94"/>
      <c r="PVH65" s="94"/>
      <c r="PVI65" s="94"/>
      <c r="PVJ65" s="94"/>
      <c r="PVK65" s="94"/>
      <c r="PVL65" s="94"/>
      <c r="PVM65" s="94"/>
      <c r="PVN65" s="94"/>
      <c r="PVO65" s="94"/>
      <c r="PVP65" s="94"/>
      <c r="PVQ65" s="94"/>
      <c r="PVR65" s="94"/>
      <c r="PVS65" s="94"/>
      <c r="PVT65" s="94"/>
      <c r="PVU65" s="94"/>
      <c r="PVV65" s="94"/>
      <c r="PVW65" s="94"/>
      <c r="PVX65" s="94"/>
      <c r="PVY65" s="94"/>
      <c r="PVZ65" s="94"/>
      <c r="PWA65" s="94"/>
      <c r="PWB65" s="94"/>
      <c r="PWC65" s="94"/>
      <c r="PWD65" s="94"/>
      <c r="PWE65" s="94"/>
      <c r="PWF65" s="94"/>
      <c r="PWG65" s="94"/>
      <c r="PWH65" s="94"/>
      <c r="PWI65" s="94"/>
      <c r="PWJ65" s="94"/>
      <c r="PWK65" s="94"/>
      <c r="PWL65" s="94"/>
      <c r="PWM65" s="94"/>
      <c r="PWN65" s="94"/>
      <c r="PWO65" s="94"/>
      <c r="PWP65" s="94"/>
      <c r="PWQ65" s="94"/>
      <c r="PWR65" s="94"/>
      <c r="PWS65" s="94"/>
      <c r="PWT65" s="94"/>
      <c r="PWU65" s="94"/>
      <c r="PWV65" s="94"/>
      <c r="PWW65" s="94"/>
      <c r="PWX65" s="94"/>
      <c r="PWY65" s="94"/>
      <c r="PWZ65" s="94"/>
      <c r="PXA65" s="94"/>
      <c r="PXB65" s="94"/>
      <c r="PXC65" s="94"/>
      <c r="PXD65" s="94"/>
      <c r="PXE65" s="94"/>
      <c r="PXF65" s="94"/>
      <c r="PXG65" s="94"/>
      <c r="PXH65" s="94"/>
      <c r="PXI65" s="94"/>
      <c r="PXJ65" s="94"/>
      <c r="PXK65" s="94"/>
      <c r="PXL65" s="94"/>
      <c r="PXM65" s="94"/>
      <c r="PXN65" s="94"/>
      <c r="PXO65" s="94"/>
      <c r="PXP65" s="94"/>
      <c r="PXQ65" s="94"/>
      <c r="PXR65" s="94"/>
      <c r="PXS65" s="94"/>
      <c r="PXT65" s="94"/>
      <c r="PXU65" s="94"/>
      <c r="PXV65" s="94"/>
      <c r="PXW65" s="94"/>
      <c r="PXX65" s="94"/>
      <c r="PXY65" s="94"/>
      <c r="PXZ65" s="94"/>
      <c r="PYA65" s="94"/>
      <c r="PYB65" s="94"/>
      <c r="PYC65" s="94"/>
      <c r="PYD65" s="94"/>
      <c r="PYE65" s="94"/>
      <c r="PYF65" s="94"/>
      <c r="PYG65" s="94"/>
      <c r="PYH65" s="94"/>
      <c r="PYI65" s="94"/>
      <c r="PYJ65" s="94"/>
      <c r="PYK65" s="94"/>
      <c r="PYL65" s="94"/>
      <c r="PYM65" s="94"/>
      <c r="PYN65" s="94"/>
      <c r="PYO65" s="94"/>
      <c r="PYP65" s="94"/>
      <c r="PYQ65" s="94"/>
      <c r="PYR65" s="94"/>
      <c r="PYS65" s="94"/>
      <c r="PYT65" s="94"/>
      <c r="PYU65" s="94"/>
      <c r="PYV65" s="94"/>
      <c r="PYW65" s="94"/>
      <c r="PYX65" s="94"/>
      <c r="PYY65" s="94"/>
      <c r="PYZ65" s="94"/>
      <c r="PZA65" s="94"/>
      <c r="PZB65" s="94"/>
      <c r="PZC65" s="94"/>
      <c r="PZD65" s="94"/>
      <c r="PZE65" s="94"/>
      <c r="PZF65" s="94"/>
      <c r="PZG65" s="94"/>
      <c r="PZH65" s="94"/>
      <c r="PZI65" s="94"/>
      <c r="PZJ65" s="94"/>
      <c r="PZK65" s="94"/>
      <c r="PZL65" s="94"/>
      <c r="PZM65" s="94"/>
      <c r="PZN65" s="94"/>
      <c r="PZO65" s="94"/>
      <c r="PZP65" s="94"/>
      <c r="PZQ65" s="94"/>
      <c r="PZR65" s="94"/>
      <c r="PZS65" s="94"/>
      <c r="PZT65" s="94"/>
      <c r="PZU65" s="94"/>
      <c r="PZV65" s="94"/>
      <c r="PZW65" s="94"/>
      <c r="PZX65" s="94"/>
      <c r="PZY65" s="94"/>
      <c r="PZZ65" s="94"/>
      <c r="QAA65" s="94"/>
      <c r="QAB65" s="94"/>
      <c r="QAC65" s="94"/>
      <c r="QAD65" s="94"/>
      <c r="QAE65" s="94"/>
      <c r="QAF65" s="94"/>
      <c r="QAG65" s="94"/>
      <c r="QAH65" s="94"/>
      <c r="QAI65" s="94"/>
      <c r="QAJ65" s="94"/>
      <c r="QAK65" s="94"/>
      <c r="QAL65" s="94"/>
      <c r="QAM65" s="94"/>
      <c r="QAN65" s="94"/>
      <c r="QAO65" s="94"/>
      <c r="QAP65" s="94"/>
      <c r="QAQ65" s="94"/>
      <c r="QAR65" s="94"/>
      <c r="QAS65" s="94"/>
      <c r="QAT65" s="94"/>
      <c r="QAU65" s="94"/>
      <c r="QAV65" s="94"/>
      <c r="QAW65" s="94"/>
      <c r="QAX65" s="94"/>
      <c r="QAY65" s="94"/>
      <c r="QAZ65" s="94"/>
      <c r="QBA65" s="94"/>
      <c r="QBB65" s="94"/>
      <c r="QBC65" s="94"/>
      <c r="QBD65" s="94"/>
      <c r="QBE65" s="94"/>
      <c r="QBF65" s="94"/>
      <c r="QBG65" s="94"/>
      <c r="QBH65" s="94"/>
      <c r="QBI65" s="94"/>
      <c r="QBJ65" s="94"/>
      <c r="QBK65" s="94"/>
      <c r="QBL65" s="94"/>
      <c r="QBM65" s="94"/>
      <c r="QBN65" s="94"/>
      <c r="QBO65" s="94"/>
      <c r="QBP65" s="94"/>
      <c r="QBQ65" s="94"/>
      <c r="QBR65" s="94"/>
      <c r="QBS65" s="94"/>
      <c r="QBT65" s="94"/>
      <c r="QBU65" s="94"/>
      <c r="QBV65" s="94"/>
      <c r="QBW65" s="94"/>
      <c r="QBX65" s="94"/>
      <c r="QBY65" s="94"/>
      <c r="QBZ65" s="94"/>
      <c r="QCA65" s="94"/>
      <c r="QCB65" s="94"/>
      <c r="QCC65" s="94"/>
      <c r="QCD65" s="94"/>
      <c r="QCE65" s="94"/>
      <c r="QCF65" s="94"/>
      <c r="QCG65" s="94"/>
      <c r="QCH65" s="94"/>
      <c r="QCI65" s="94"/>
      <c r="QCJ65" s="94"/>
      <c r="QCK65" s="94"/>
      <c r="QCL65" s="94"/>
      <c r="QCM65" s="94"/>
      <c r="QCN65" s="94"/>
      <c r="QCO65" s="94"/>
      <c r="QCP65" s="94"/>
      <c r="QCQ65" s="94"/>
      <c r="QCR65" s="94"/>
      <c r="QCS65" s="94"/>
      <c r="QCT65" s="94"/>
      <c r="QCU65" s="94"/>
      <c r="QCV65" s="94"/>
      <c r="QCW65" s="94"/>
      <c r="QCX65" s="94"/>
      <c r="QCY65" s="94"/>
      <c r="QCZ65" s="94"/>
      <c r="QDA65" s="94"/>
      <c r="QDB65" s="94"/>
      <c r="QDC65" s="94"/>
      <c r="QDD65" s="94"/>
      <c r="QDE65" s="94"/>
      <c r="QDF65" s="94"/>
      <c r="QDG65" s="94"/>
      <c r="QDH65" s="94"/>
      <c r="QDI65" s="94"/>
      <c r="QDJ65" s="94"/>
      <c r="QDK65" s="94"/>
      <c r="QDL65" s="94"/>
      <c r="QDM65" s="94"/>
      <c r="QDN65" s="94"/>
      <c r="QDO65" s="94"/>
      <c r="QDP65" s="94"/>
      <c r="QDQ65" s="94"/>
      <c r="QDR65" s="94"/>
      <c r="QDS65" s="94"/>
      <c r="QDT65" s="94"/>
      <c r="QDU65" s="94"/>
      <c r="QDV65" s="94"/>
      <c r="QDW65" s="94"/>
      <c r="QDX65" s="94"/>
      <c r="QDY65" s="94"/>
      <c r="QDZ65" s="94"/>
      <c r="QEA65" s="94"/>
      <c r="QEB65" s="94"/>
      <c r="QEC65" s="94"/>
      <c r="QED65" s="94"/>
      <c r="QEE65" s="94"/>
      <c r="QEF65" s="94"/>
      <c r="QEG65" s="94"/>
      <c r="QEH65" s="94"/>
      <c r="QEI65" s="94"/>
      <c r="QEJ65" s="94"/>
      <c r="QEK65" s="94"/>
      <c r="QEL65" s="94"/>
      <c r="QEM65" s="94"/>
      <c r="QEN65" s="94"/>
      <c r="QEO65" s="94"/>
      <c r="QEP65" s="94"/>
      <c r="QEQ65" s="94"/>
      <c r="QER65" s="94"/>
      <c r="QES65" s="94"/>
      <c r="QET65" s="94"/>
      <c r="QEU65" s="94"/>
      <c r="QEV65" s="94"/>
      <c r="QEW65" s="94"/>
      <c r="QEX65" s="94"/>
      <c r="QEY65" s="94"/>
      <c r="QEZ65" s="94"/>
      <c r="QFA65" s="94"/>
      <c r="QFB65" s="94"/>
      <c r="QFC65" s="94"/>
      <c r="QFD65" s="94"/>
      <c r="QFE65" s="94"/>
      <c r="QFF65" s="94"/>
      <c r="QFG65" s="94"/>
      <c r="QFH65" s="94"/>
      <c r="QFI65" s="94"/>
      <c r="QFJ65" s="94"/>
      <c r="QFK65" s="94"/>
      <c r="QFL65" s="94"/>
      <c r="QFM65" s="94"/>
      <c r="QFN65" s="94"/>
      <c r="QFO65" s="94"/>
      <c r="QFP65" s="94"/>
      <c r="QFQ65" s="94"/>
      <c r="QFR65" s="94"/>
      <c r="QFS65" s="94"/>
      <c r="QFT65" s="94"/>
      <c r="QFU65" s="94"/>
      <c r="QFV65" s="94"/>
      <c r="QFW65" s="94"/>
      <c r="QFX65" s="94"/>
      <c r="QFY65" s="94"/>
      <c r="QFZ65" s="94"/>
      <c r="QGA65" s="94"/>
      <c r="QGB65" s="94"/>
      <c r="QGC65" s="94"/>
      <c r="QGD65" s="94"/>
      <c r="QGE65" s="94"/>
      <c r="QGF65" s="94"/>
      <c r="QGG65" s="94"/>
      <c r="QGH65" s="94"/>
      <c r="QGI65" s="94"/>
      <c r="QGJ65" s="94"/>
      <c r="QGK65" s="94"/>
      <c r="QGL65" s="94"/>
      <c r="QGM65" s="94"/>
      <c r="QGN65" s="94"/>
      <c r="QGO65" s="94"/>
      <c r="QGP65" s="94"/>
      <c r="QGQ65" s="94"/>
      <c r="QGR65" s="94"/>
      <c r="QGS65" s="94"/>
      <c r="QGT65" s="94"/>
      <c r="QGU65" s="94"/>
      <c r="QGV65" s="94"/>
      <c r="QGW65" s="94"/>
      <c r="QGX65" s="94"/>
      <c r="QGY65" s="94"/>
      <c r="QGZ65" s="94"/>
      <c r="QHA65" s="94"/>
      <c r="QHB65" s="94"/>
      <c r="QHC65" s="94"/>
      <c r="QHD65" s="94"/>
      <c r="QHE65" s="94"/>
      <c r="QHF65" s="94"/>
      <c r="QHG65" s="94"/>
      <c r="QHH65" s="94"/>
      <c r="QHI65" s="94"/>
      <c r="QHJ65" s="94"/>
      <c r="QHK65" s="94"/>
      <c r="QHL65" s="94"/>
      <c r="QHM65" s="94"/>
      <c r="QHN65" s="94"/>
      <c r="QHO65" s="94"/>
      <c r="QHP65" s="94"/>
      <c r="QHQ65" s="94"/>
      <c r="QHR65" s="94"/>
      <c r="QHS65" s="94"/>
      <c r="QHT65" s="94"/>
      <c r="QHU65" s="94"/>
      <c r="QHV65" s="94"/>
      <c r="QHW65" s="94"/>
      <c r="QHX65" s="94"/>
      <c r="QHY65" s="94"/>
      <c r="QHZ65" s="94"/>
      <c r="QIA65" s="94"/>
      <c r="QIB65" s="94"/>
      <c r="QIC65" s="94"/>
      <c r="QID65" s="94"/>
      <c r="QIE65" s="94"/>
      <c r="QIF65" s="94"/>
      <c r="QIG65" s="94"/>
      <c r="QIH65" s="94"/>
      <c r="QII65" s="94"/>
      <c r="QIJ65" s="94"/>
      <c r="QIK65" s="94"/>
      <c r="QIL65" s="94"/>
      <c r="QIM65" s="94"/>
      <c r="QIN65" s="94"/>
      <c r="QIO65" s="94"/>
      <c r="QIP65" s="94"/>
      <c r="QIQ65" s="94"/>
      <c r="QIR65" s="94"/>
      <c r="QIS65" s="94"/>
      <c r="QIT65" s="94"/>
      <c r="QIU65" s="94"/>
      <c r="QIV65" s="94"/>
      <c r="QIW65" s="94"/>
      <c r="QIX65" s="94"/>
      <c r="QIY65" s="94"/>
      <c r="QIZ65" s="94"/>
      <c r="QJA65" s="94"/>
      <c r="QJB65" s="94"/>
      <c r="QJC65" s="94"/>
      <c r="QJD65" s="94"/>
      <c r="QJE65" s="94"/>
      <c r="QJF65" s="94"/>
      <c r="QJG65" s="94"/>
      <c r="QJH65" s="94"/>
      <c r="QJI65" s="94"/>
      <c r="QJJ65" s="94"/>
      <c r="QJK65" s="94"/>
      <c r="QJL65" s="94"/>
      <c r="QJM65" s="94"/>
      <c r="QJN65" s="94"/>
      <c r="QJO65" s="94"/>
      <c r="QJP65" s="94"/>
      <c r="QJQ65" s="94"/>
      <c r="QJR65" s="94"/>
      <c r="QJS65" s="94"/>
      <c r="QJT65" s="94"/>
      <c r="QJU65" s="94"/>
      <c r="QJV65" s="94"/>
      <c r="QJW65" s="94"/>
      <c r="QJX65" s="94"/>
      <c r="QJY65" s="94"/>
      <c r="QJZ65" s="94"/>
      <c r="QKA65" s="94"/>
      <c r="QKB65" s="94"/>
      <c r="QKC65" s="94"/>
      <c r="QKD65" s="94"/>
      <c r="QKE65" s="94"/>
      <c r="QKF65" s="94"/>
      <c r="QKG65" s="94"/>
      <c r="QKH65" s="94"/>
      <c r="QKI65" s="94"/>
      <c r="QKJ65" s="94"/>
      <c r="QKK65" s="94"/>
      <c r="QKL65" s="94"/>
      <c r="QKM65" s="94"/>
      <c r="QKN65" s="94"/>
      <c r="QKO65" s="94"/>
      <c r="QKP65" s="94"/>
      <c r="QKQ65" s="94"/>
      <c r="QKR65" s="94"/>
      <c r="QKS65" s="94"/>
      <c r="QKT65" s="94"/>
      <c r="QKU65" s="94"/>
      <c r="QKV65" s="94"/>
      <c r="QKW65" s="94"/>
      <c r="QKX65" s="94"/>
      <c r="QKY65" s="94"/>
      <c r="QKZ65" s="94"/>
      <c r="QLA65" s="94"/>
      <c r="QLB65" s="94"/>
      <c r="QLC65" s="94"/>
      <c r="QLD65" s="94"/>
      <c r="QLE65" s="94"/>
      <c r="QLF65" s="94"/>
      <c r="QLG65" s="94"/>
      <c r="QLH65" s="94"/>
      <c r="QLI65" s="94"/>
      <c r="QLJ65" s="94"/>
      <c r="QLK65" s="94"/>
      <c r="QLL65" s="94"/>
      <c r="QLM65" s="94"/>
      <c r="QLN65" s="94"/>
      <c r="QLO65" s="94"/>
      <c r="QLP65" s="94"/>
      <c r="QLQ65" s="94"/>
      <c r="QLR65" s="94"/>
      <c r="QLS65" s="94"/>
      <c r="QLT65" s="94"/>
      <c r="QLU65" s="94"/>
      <c r="QLV65" s="94"/>
      <c r="QLW65" s="94"/>
      <c r="QLX65" s="94"/>
      <c r="QLY65" s="94"/>
      <c r="QLZ65" s="94"/>
      <c r="QMA65" s="94"/>
      <c r="QMB65" s="94"/>
      <c r="QMC65" s="94"/>
      <c r="QMD65" s="94"/>
      <c r="QME65" s="94"/>
      <c r="QMF65" s="94"/>
      <c r="QMG65" s="94"/>
      <c r="QMH65" s="94"/>
      <c r="QMI65" s="94"/>
      <c r="QMJ65" s="94"/>
      <c r="QMK65" s="94"/>
      <c r="QML65" s="94"/>
      <c r="QMM65" s="94"/>
      <c r="QMN65" s="94"/>
      <c r="QMO65" s="94"/>
      <c r="QMP65" s="94"/>
      <c r="QMQ65" s="94"/>
      <c r="QMR65" s="94"/>
      <c r="QMS65" s="94"/>
      <c r="QMT65" s="94"/>
      <c r="QMU65" s="94"/>
      <c r="QMV65" s="94"/>
      <c r="QMW65" s="94"/>
      <c r="QMX65" s="94"/>
      <c r="QMY65" s="94"/>
      <c r="QMZ65" s="94"/>
      <c r="QNA65" s="94"/>
      <c r="QNB65" s="94"/>
      <c r="QNC65" s="94"/>
      <c r="QND65" s="94"/>
      <c r="QNE65" s="94"/>
      <c r="QNF65" s="94"/>
      <c r="QNG65" s="94"/>
      <c r="QNH65" s="94"/>
      <c r="QNI65" s="94"/>
      <c r="QNJ65" s="94"/>
      <c r="QNK65" s="94"/>
      <c r="QNL65" s="94"/>
      <c r="QNM65" s="94"/>
      <c r="QNN65" s="94"/>
      <c r="QNO65" s="94"/>
      <c r="QNP65" s="94"/>
      <c r="QNQ65" s="94"/>
      <c r="QNR65" s="94"/>
      <c r="QNS65" s="94"/>
      <c r="QNT65" s="94"/>
      <c r="QNU65" s="94"/>
      <c r="QNV65" s="94"/>
      <c r="QNW65" s="94"/>
      <c r="QNX65" s="94"/>
      <c r="QNY65" s="94"/>
      <c r="QNZ65" s="94"/>
      <c r="QOA65" s="94"/>
      <c r="QOB65" s="94"/>
      <c r="QOC65" s="94"/>
      <c r="QOD65" s="94"/>
      <c r="QOE65" s="94"/>
      <c r="QOF65" s="94"/>
      <c r="QOG65" s="94"/>
      <c r="QOH65" s="94"/>
      <c r="QOI65" s="94"/>
      <c r="QOJ65" s="94"/>
      <c r="QOK65" s="94"/>
      <c r="QOL65" s="94"/>
      <c r="QOM65" s="94"/>
      <c r="QON65" s="94"/>
      <c r="QOO65" s="94"/>
      <c r="QOP65" s="94"/>
      <c r="QOQ65" s="94"/>
      <c r="QOR65" s="94"/>
      <c r="QOS65" s="94"/>
      <c r="QOT65" s="94"/>
      <c r="QOU65" s="94"/>
      <c r="QOV65" s="94"/>
      <c r="QOW65" s="94"/>
      <c r="QOX65" s="94"/>
      <c r="QOY65" s="94"/>
      <c r="QOZ65" s="94"/>
      <c r="QPA65" s="94"/>
      <c r="QPB65" s="94"/>
      <c r="QPC65" s="94"/>
      <c r="QPD65" s="94"/>
      <c r="QPE65" s="94"/>
      <c r="QPF65" s="94"/>
      <c r="QPG65" s="94"/>
      <c r="QPH65" s="94"/>
      <c r="QPI65" s="94"/>
      <c r="QPJ65" s="94"/>
      <c r="QPK65" s="94"/>
      <c r="QPL65" s="94"/>
      <c r="QPM65" s="94"/>
      <c r="QPN65" s="94"/>
      <c r="QPO65" s="94"/>
      <c r="QPP65" s="94"/>
      <c r="QPQ65" s="94"/>
      <c r="QPR65" s="94"/>
      <c r="QPS65" s="94"/>
      <c r="QPT65" s="94"/>
      <c r="QPU65" s="94"/>
      <c r="QPV65" s="94"/>
      <c r="QPW65" s="94"/>
      <c r="QPX65" s="94"/>
      <c r="QPY65" s="94"/>
      <c r="QPZ65" s="94"/>
      <c r="QQA65" s="94"/>
      <c r="QQB65" s="94"/>
      <c r="QQC65" s="94"/>
      <c r="QQD65" s="94"/>
      <c r="QQE65" s="94"/>
      <c r="QQF65" s="94"/>
      <c r="QQG65" s="94"/>
      <c r="QQH65" s="94"/>
      <c r="QQI65" s="94"/>
      <c r="QQJ65" s="94"/>
      <c r="QQK65" s="94"/>
      <c r="QQL65" s="94"/>
      <c r="QQM65" s="94"/>
      <c r="QQN65" s="94"/>
      <c r="QQO65" s="94"/>
      <c r="QQP65" s="94"/>
      <c r="QQQ65" s="94"/>
      <c r="QQR65" s="94"/>
      <c r="QQS65" s="94"/>
      <c r="QQT65" s="94"/>
      <c r="QQU65" s="94"/>
      <c r="QQV65" s="94"/>
      <c r="QQW65" s="94"/>
      <c r="QQX65" s="94"/>
      <c r="QQY65" s="94"/>
      <c r="QQZ65" s="94"/>
      <c r="QRA65" s="94"/>
      <c r="QRB65" s="94"/>
      <c r="QRC65" s="94"/>
      <c r="QRD65" s="94"/>
      <c r="QRE65" s="94"/>
      <c r="QRF65" s="94"/>
      <c r="QRG65" s="94"/>
      <c r="QRH65" s="94"/>
      <c r="QRI65" s="94"/>
      <c r="QRJ65" s="94"/>
      <c r="QRK65" s="94"/>
      <c r="QRL65" s="94"/>
      <c r="QRM65" s="94"/>
      <c r="QRN65" s="94"/>
      <c r="QRO65" s="94"/>
      <c r="QRP65" s="94"/>
      <c r="QRQ65" s="94"/>
      <c r="QRR65" s="94"/>
      <c r="QRS65" s="94"/>
      <c r="QRT65" s="94"/>
      <c r="QRU65" s="94"/>
      <c r="QRV65" s="94"/>
      <c r="QRW65" s="94"/>
      <c r="QRX65" s="94"/>
      <c r="QRY65" s="94"/>
      <c r="QRZ65" s="94"/>
      <c r="QSA65" s="94"/>
      <c r="QSB65" s="94"/>
      <c r="QSC65" s="94"/>
      <c r="QSD65" s="94"/>
      <c r="QSE65" s="94"/>
      <c r="QSF65" s="94"/>
      <c r="QSG65" s="94"/>
      <c r="QSH65" s="94"/>
      <c r="QSI65" s="94"/>
      <c r="QSJ65" s="94"/>
      <c r="QSK65" s="94"/>
      <c r="QSL65" s="94"/>
      <c r="QSM65" s="94"/>
      <c r="QSN65" s="94"/>
      <c r="QSO65" s="94"/>
      <c r="QSP65" s="94"/>
      <c r="QSQ65" s="94"/>
      <c r="QSR65" s="94"/>
      <c r="QSS65" s="94"/>
      <c r="QST65" s="94"/>
      <c r="QSU65" s="94"/>
      <c r="QSV65" s="94"/>
      <c r="QSW65" s="94"/>
      <c r="QSX65" s="94"/>
      <c r="QSY65" s="94"/>
      <c r="QSZ65" s="94"/>
      <c r="QTA65" s="94"/>
      <c r="QTB65" s="94"/>
      <c r="QTC65" s="94"/>
      <c r="QTD65" s="94"/>
      <c r="QTE65" s="94"/>
      <c r="QTF65" s="94"/>
      <c r="QTG65" s="94"/>
      <c r="QTH65" s="94"/>
      <c r="QTI65" s="94"/>
      <c r="QTJ65" s="94"/>
      <c r="QTK65" s="94"/>
      <c r="QTL65" s="94"/>
      <c r="QTM65" s="94"/>
      <c r="QTN65" s="94"/>
      <c r="QTO65" s="94"/>
      <c r="QTP65" s="94"/>
      <c r="QTQ65" s="94"/>
      <c r="QTR65" s="94"/>
      <c r="QTS65" s="94"/>
      <c r="QTT65" s="94"/>
      <c r="QTU65" s="94"/>
      <c r="QTV65" s="94"/>
      <c r="QTW65" s="94"/>
      <c r="QTX65" s="94"/>
      <c r="QTY65" s="94"/>
      <c r="QTZ65" s="94"/>
      <c r="QUA65" s="94"/>
      <c r="QUB65" s="94"/>
      <c r="QUC65" s="94"/>
      <c r="QUD65" s="94"/>
      <c r="QUE65" s="94"/>
      <c r="QUF65" s="94"/>
      <c r="QUG65" s="94"/>
      <c r="QUH65" s="94"/>
      <c r="QUI65" s="94"/>
      <c r="QUJ65" s="94"/>
      <c r="QUK65" s="94"/>
      <c r="QUL65" s="94"/>
      <c r="QUM65" s="94"/>
      <c r="QUN65" s="94"/>
      <c r="QUO65" s="94"/>
      <c r="QUP65" s="94"/>
      <c r="QUQ65" s="94"/>
      <c r="QUR65" s="94"/>
      <c r="QUS65" s="94"/>
      <c r="QUT65" s="94"/>
      <c r="QUU65" s="94"/>
      <c r="QUV65" s="94"/>
      <c r="QUW65" s="94"/>
      <c r="QUX65" s="94"/>
      <c r="QUY65" s="94"/>
      <c r="QUZ65" s="94"/>
      <c r="QVA65" s="94"/>
      <c r="QVB65" s="94"/>
      <c r="QVC65" s="94"/>
      <c r="QVD65" s="94"/>
      <c r="QVE65" s="94"/>
      <c r="QVF65" s="94"/>
      <c r="QVG65" s="94"/>
      <c r="QVH65" s="94"/>
      <c r="QVI65" s="94"/>
      <c r="QVJ65" s="94"/>
      <c r="QVK65" s="94"/>
      <c r="QVL65" s="94"/>
      <c r="QVM65" s="94"/>
      <c r="QVN65" s="94"/>
      <c r="QVO65" s="94"/>
      <c r="QVP65" s="94"/>
      <c r="QVQ65" s="94"/>
      <c r="QVR65" s="94"/>
      <c r="QVS65" s="94"/>
      <c r="QVT65" s="94"/>
      <c r="QVU65" s="94"/>
      <c r="QVV65" s="94"/>
      <c r="QVW65" s="94"/>
      <c r="QVX65" s="94"/>
      <c r="QVY65" s="94"/>
      <c r="QVZ65" s="94"/>
      <c r="QWA65" s="94"/>
      <c r="QWB65" s="94"/>
      <c r="QWC65" s="94"/>
      <c r="QWD65" s="94"/>
      <c r="QWE65" s="94"/>
      <c r="QWF65" s="94"/>
      <c r="QWG65" s="94"/>
      <c r="QWH65" s="94"/>
      <c r="QWI65" s="94"/>
      <c r="QWJ65" s="94"/>
      <c r="QWK65" s="94"/>
      <c r="QWL65" s="94"/>
      <c r="QWM65" s="94"/>
      <c r="QWN65" s="94"/>
      <c r="QWO65" s="94"/>
      <c r="QWP65" s="94"/>
      <c r="QWQ65" s="94"/>
      <c r="QWR65" s="94"/>
      <c r="QWS65" s="94"/>
      <c r="QWT65" s="94"/>
      <c r="QWU65" s="94"/>
      <c r="QWV65" s="94"/>
      <c r="QWW65" s="94"/>
      <c r="QWX65" s="94"/>
      <c r="QWY65" s="94"/>
      <c r="QWZ65" s="94"/>
      <c r="QXA65" s="94"/>
      <c r="QXB65" s="94"/>
      <c r="QXC65" s="94"/>
      <c r="QXD65" s="94"/>
      <c r="QXE65" s="94"/>
      <c r="QXF65" s="94"/>
      <c r="QXG65" s="94"/>
      <c r="QXH65" s="94"/>
      <c r="QXI65" s="94"/>
      <c r="QXJ65" s="94"/>
      <c r="QXK65" s="94"/>
      <c r="QXL65" s="94"/>
      <c r="QXM65" s="94"/>
      <c r="QXN65" s="94"/>
      <c r="QXO65" s="94"/>
      <c r="QXP65" s="94"/>
      <c r="QXQ65" s="94"/>
      <c r="QXR65" s="94"/>
      <c r="QXS65" s="94"/>
      <c r="QXT65" s="94"/>
      <c r="QXU65" s="94"/>
      <c r="QXV65" s="94"/>
      <c r="QXW65" s="94"/>
      <c r="QXX65" s="94"/>
      <c r="QXY65" s="94"/>
      <c r="QXZ65" s="94"/>
      <c r="QYA65" s="94"/>
      <c r="QYB65" s="94"/>
      <c r="QYC65" s="94"/>
      <c r="QYD65" s="94"/>
      <c r="QYE65" s="94"/>
      <c r="QYF65" s="94"/>
      <c r="QYG65" s="94"/>
      <c r="QYH65" s="94"/>
      <c r="QYI65" s="94"/>
      <c r="QYJ65" s="94"/>
      <c r="QYK65" s="94"/>
      <c r="QYL65" s="94"/>
      <c r="QYM65" s="94"/>
      <c r="QYN65" s="94"/>
      <c r="QYO65" s="94"/>
      <c r="QYP65" s="94"/>
      <c r="QYQ65" s="94"/>
      <c r="QYR65" s="94"/>
      <c r="QYS65" s="94"/>
      <c r="QYT65" s="94"/>
      <c r="QYU65" s="94"/>
      <c r="QYV65" s="94"/>
      <c r="QYW65" s="94"/>
      <c r="QYX65" s="94"/>
      <c r="QYY65" s="94"/>
      <c r="QYZ65" s="94"/>
      <c r="QZA65" s="94"/>
      <c r="QZB65" s="94"/>
      <c r="QZC65" s="94"/>
      <c r="QZD65" s="94"/>
      <c r="QZE65" s="94"/>
      <c r="QZF65" s="94"/>
      <c r="QZG65" s="94"/>
      <c r="QZH65" s="94"/>
      <c r="QZI65" s="94"/>
      <c r="QZJ65" s="94"/>
      <c r="QZK65" s="94"/>
      <c r="QZL65" s="94"/>
      <c r="QZM65" s="94"/>
      <c r="QZN65" s="94"/>
      <c r="QZO65" s="94"/>
      <c r="QZP65" s="94"/>
      <c r="QZQ65" s="94"/>
      <c r="QZR65" s="94"/>
      <c r="QZS65" s="94"/>
      <c r="QZT65" s="94"/>
      <c r="QZU65" s="94"/>
      <c r="QZV65" s="94"/>
      <c r="QZW65" s="94"/>
      <c r="QZX65" s="94"/>
      <c r="QZY65" s="94"/>
      <c r="QZZ65" s="94"/>
      <c r="RAA65" s="94"/>
      <c r="RAB65" s="94"/>
      <c r="RAC65" s="94"/>
      <c r="RAD65" s="94"/>
      <c r="RAE65" s="94"/>
      <c r="RAF65" s="94"/>
      <c r="RAG65" s="94"/>
      <c r="RAH65" s="94"/>
      <c r="RAI65" s="94"/>
      <c r="RAJ65" s="94"/>
      <c r="RAK65" s="94"/>
      <c r="RAL65" s="94"/>
      <c r="RAM65" s="94"/>
      <c r="RAN65" s="94"/>
      <c r="RAO65" s="94"/>
      <c r="RAP65" s="94"/>
      <c r="RAQ65" s="94"/>
      <c r="RAR65" s="94"/>
      <c r="RAS65" s="94"/>
      <c r="RAT65" s="94"/>
      <c r="RAU65" s="94"/>
      <c r="RAV65" s="94"/>
      <c r="RAW65" s="94"/>
      <c r="RAX65" s="94"/>
      <c r="RAY65" s="94"/>
      <c r="RAZ65" s="94"/>
      <c r="RBA65" s="94"/>
      <c r="RBB65" s="94"/>
      <c r="RBC65" s="94"/>
      <c r="RBD65" s="94"/>
      <c r="RBE65" s="94"/>
      <c r="RBF65" s="94"/>
      <c r="RBG65" s="94"/>
      <c r="RBH65" s="94"/>
      <c r="RBI65" s="94"/>
      <c r="RBJ65" s="94"/>
      <c r="RBK65" s="94"/>
      <c r="RBL65" s="94"/>
      <c r="RBM65" s="94"/>
      <c r="RBN65" s="94"/>
      <c r="RBO65" s="94"/>
      <c r="RBP65" s="94"/>
      <c r="RBQ65" s="94"/>
      <c r="RBR65" s="94"/>
      <c r="RBS65" s="94"/>
      <c r="RBT65" s="94"/>
      <c r="RBU65" s="94"/>
      <c r="RBV65" s="94"/>
      <c r="RBW65" s="94"/>
      <c r="RBX65" s="94"/>
      <c r="RBY65" s="94"/>
      <c r="RBZ65" s="94"/>
      <c r="RCA65" s="94"/>
      <c r="RCB65" s="94"/>
      <c r="RCC65" s="94"/>
      <c r="RCD65" s="94"/>
      <c r="RCE65" s="94"/>
      <c r="RCF65" s="94"/>
      <c r="RCG65" s="94"/>
      <c r="RCH65" s="94"/>
      <c r="RCI65" s="94"/>
      <c r="RCJ65" s="94"/>
      <c r="RCK65" s="94"/>
      <c r="RCL65" s="94"/>
      <c r="RCM65" s="94"/>
      <c r="RCN65" s="94"/>
      <c r="RCO65" s="94"/>
      <c r="RCP65" s="94"/>
      <c r="RCQ65" s="94"/>
      <c r="RCR65" s="94"/>
      <c r="RCS65" s="94"/>
      <c r="RCT65" s="94"/>
      <c r="RCU65" s="94"/>
      <c r="RCV65" s="94"/>
      <c r="RCW65" s="94"/>
      <c r="RCX65" s="94"/>
      <c r="RCY65" s="94"/>
      <c r="RCZ65" s="94"/>
      <c r="RDA65" s="94"/>
      <c r="RDB65" s="94"/>
      <c r="RDC65" s="94"/>
      <c r="RDD65" s="94"/>
      <c r="RDE65" s="94"/>
      <c r="RDF65" s="94"/>
      <c r="RDG65" s="94"/>
      <c r="RDH65" s="94"/>
      <c r="RDI65" s="94"/>
      <c r="RDJ65" s="94"/>
      <c r="RDK65" s="94"/>
      <c r="RDL65" s="94"/>
      <c r="RDM65" s="94"/>
      <c r="RDN65" s="94"/>
      <c r="RDO65" s="94"/>
      <c r="RDP65" s="94"/>
      <c r="RDQ65" s="94"/>
      <c r="RDR65" s="94"/>
      <c r="RDS65" s="94"/>
      <c r="RDT65" s="94"/>
      <c r="RDU65" s="94"/>
      <c r="RDV65" s="94"/>
      <c r="RDW65" s="94"/>
      <c r="RDX65" s="94"/>
      <c r="RDY65" s="94"/>
      <c r="RDZ65" s="94"/>
      <c r="REA65" s="94"/>
      <c r="REB65" s="94"/>
      <c r="REC65" s="94"/>
      <c r="RED65" s="94"/>
      <c r="REE65" s="94"/>
      <c r="REF65" s="94"/>
      <c r="REG65" s="94"/>
      <c r="REH65" s="94"/>
      <c r="REI65" s="94"/>
      <c r="REJ65" s="94"/>
      <c r="REK65" s="94"/>
      <c r="REL65" s="94"/>
      <c r="REM65" s="94"/>
      <c r="REN65" s="94"/>
      <c r="REO65" s="94"/>
      <c r="REP65" s="94"/>
      <c r="REQ65" s="94"/>
      <c r="RER65" s="94"/>
      <c r="RES65" s="94"/>
      <c r="RET65" s="94"/>
      <c r="REU65" s="94"/>
      <c r="REV65" s="94"/>
      <c r="REW65" s="94"/>
      <c r="REX65" s="94"/>
      <c r="REY65" s="94"/>
      <c r="REZ65" s="94"/>
      <c r="RFA65" s="94"/>
      <c r="RFB65" s="94"/>
      <c r="RFC65" s="94"/>
      <c r="RFD65" s="94"/>
      <c r="RFE65" s="94"/>
      <c r="RFF65" s="94"/>
      <c r="RFG65" s="94"/>
      <c r="RFH65" s="94"/>
      <c r="RFI65" s="94"/>
      <c r="RFJ65" s="94"/>
      <c r="RFK65" s="94"/>
      <c r="RFL65" s="94"/>
      <c r="RFM65" s="94"/>
      <c r="RFN65" s="94"/>
      <c r="RFO65" s="94"/>
      <c r="RFP65" s="94"/>
      <c r="RFQ65" s="94"/>
      <c r="RFR65" s="94"/>
      <c r="RFS65" s="94"/>
      <c r="RFT65" s="94"/>
      <c r="RFU65" s="94"/>
      <c r="RFV65" s="94"/>
      <c r="RFW65" s="94"/>
      <c r="RFX65" s="94"/>
      <c r="RFY65" s="94"/>
      <c r="RFZ65" s="94"/>
      <c r="RGA65" s="94"/>
      <c r="RGB65" s="94"/>
      <c r="RGC65" s="94"/>
      <c r="RGD65" s="94"/>
      <c r="RGE65" s="94"/>
      <c r="RGF65" s="94"/>
      <c r="RGG65" s="94"/>
      <c r="RGH65" s="94"/>
      <c r="RGI65" s="94"/>
      <c r="RGJ65" s="94"/>
      <c r="RGK65" s="94"/>
      <c r="RGL65" s="94"/>
      <c r="RGM65" s="94"/>
      <c r="RGN65" s="94"/>
      <c r="RGO65" s="94"/>
      <c r="RGP65" s="94"/>
      <c r="RGQ65" s="94"/>
      <c r="RGR65" s="94"/>
      <c r="RGS65" s="94"/>
      <c r="RGT65" s="94"/>
      <c r="RGU65" s="94"/>
      <c r="RGV65" s="94"/>
      <c r="RGW65" s="94"/>
      <c r="RGX65" s="94"/>
      <c r="RGY65" s="94"/>
      <c r="RGZ65" s="94"/>
      <c r="RHA65" s="94"/>
      <c r="RHB65" s="94"/>
      <c r="RHC65" s="94"/>
      <c r="RHD65" s="94"/>
      <c r="RHE65" s="94"/>
      <c r="RHF65" s="94"/>
      <c r="RHG65" s="94"/>
      <c r="RHH65" s="94"/>
      <c r="RHI65" s="94"/>
      <c r="RHJ65" s="94"/>
      <c r="RHK65" s="94"/>
      <c r="RHL65" s="94"/>
      <c r="RHM65" s="94"/>
      <c r="RHN65" s="94"/>
      <c r="RHO65" s="94"/>
      <c r="RHP65" s="94"/>
      <c r="RHQ65" s="94"/>
      <c r="RHR65" s="94"/>
      <c r="RHS65" s="94"/>
      <c r="RHT65" s="94"/>
      <c r="RHU65" s="94"/>
      <c r="RHV65" s="94"/>
      <c r="RHW65" s="94"/>
      <c r="RHX65" s="94"/>
      <c r="RHY65" s="94"/>
      <c r="RHZ65" s="94"/>
      <c r="RIA65" s="94"/>
      <c r="RIB65" s="94"/>
      <c r="RIC65" s="94"/>
      <c r="RID65" s="94"/>
      <c r="RIE65" s="94"/>
      <c r="RIF65" s="94"/>
      <c r="RIG65" s="94"/>
      <c r="RIH65" s="94"/>
      <c r="RII65" s="94"/>
      <c r="RIJ65" s="94"/>
      <c r="RIK65" s="94"/>
      <c r="RIL65" s="94"/>
      <c r="RIM65" s="94"/>
      <c r="RIN65" s="94"/>
      <c r="RIO65" s="94"/>
      <c r="RIP65" s="94"/>
      <c r="RIQ65" s="94"/>
      <c r="RIR65" s="94"/>
      <c r="RIS65" s="94"/>
      <c r="RIT65" s="94"/>
      <c r="RIU65" s="94"/>
      <c r="RIV65" s="94"/>
      <c r="RIW65" s="94"/>
      <c r="RIX65" s="94"/>
      <c r="RIY65" s="94"/>
      <c r="RIZ65" s="94"/>
      <c r="RJA65" s="94"/>
      <c r="RJB65" s="94"/>
      <c r="RJC65" s="94"/>
      <c r="RJD65" s="94"/>
      <c r="RJE65" s="94"/>
      <c r="RJF65" s="94"/>
      <c r="RJG65" s="94"/>
      <c r="RJH65" s="94"/>
      <c r="RJI65" s="94"/>
      <c r="RJJ65" s="94"/>
      <c r="RJK65" s="94"/>
      <c r="RJL65" s="94"/>
      <c r="RJM65" s="94"/>
      <c r="RJN65" s="94"/>
      <c r="RJO65" s="94"/>
      <c r="RJP65" s="94"/>
      <c r="RJQ65" s="94"/>
      <c r="RJR65" s="94"/>
      <c r="RJS65" s="94"/>
      <c r="RJT65" s="94"/>
      <c r="RJU65" s="94"/>
      <c r="RJV65" s="94"/>
      <c r="RJW65" s="94"/>
      <c r="RJX65" s="94"/>
      <c r="RJY65" s="94"/>
      <c r="RJZ65" s="94"/>
      <c r="RKA65" s="94"/>
      <c r="RKB65" s="94"/>
      <c r="RKC65" s="94"/>
      <c r="RKD65" s="94"/>
      <c r="RKE65" s="94"/>
      <c r="RKF65" s="94"/>
      <c r="RKG65" s="94"/>
      <c r="RKH65" s="94"/>
      <c r="RKI65" s="94"/>
      <c r="RKJ65" s="94"/>
      <c r="RKK65" s="94"/>
      <c r="RKL65" s="94"/>
      <c r="RKM65" s="94"/>
      <c r="RKN65" s="94"/>
      <c r="RKO65" s="94"/>
      <c r="RKP65" s="94"/>
      <c r="RKQ65" s="94"/>
      <c r="RKR65" s="94"/>
      <c r="RKS65" s="94"/>
      <c r="RKT65" s="94"/>
      <c r="RKU65" s="94"/>
      <c r="RKV65" s="94"/>
      <c r="RKW65" s="94"/>
      <c r="RKX65" s="94"/>
      <c r="RKY65" s="94"/>
      <c r="RKZ65" s="94"/>
      <c r="RLA65" s="94"/>
      <c r="RLB65" s="94"/>
      <c r="RLC65" s="94"/>
      <c r="RLD65" s="94"/>
      <c r="RLE65" s="94"/>
      <c r="RLF65" s="94"/>
      <c r="RLG65" s="94"/>
      <c r="RLH65" s="94"/>
      <c r="RLI65" s="94"/>
      <c r="RLJ65" s="94"/>
      <c r="RLK65" s="94"/>
      <c r="RLL65" s="94"/>
      <c r="RLM65" s="94"/>
      <c r="RLN65" s="94"/>
      <c r="RLO65" s="94"/>
      <c r="RLP65" s="94"/>
      <c r="RLQ65" s="94"/>
      <c r="RLR65" s="94"/>
      <c r="RLS65" s="94"/>
      <c r="RLT65" s="94"/>
      <c r="RLU65" s="94"/>
      <c r="RLV65" s="94"/>
      <c r="RLW65" s="94"/>
      <c r="RLX65" s="94"/>
      <c r="RLY65" s="94"/>
      <c r="RLZ65" s="94"/>
      <c r="RMA65" s="94"/>
      <c r="RMB65" s="94"/>
      <c r="RMC65" s="94"/>
      <c r="RMD65" s="94"/>
      <c r="RME65" s="94"/>
      <c r="RMF65" s="94"/>
      <c r="RMG65" s="94"/>
      <c r="RMH65" s="94"/>
      <c r="RMI65" s="94"/>
      <c r="RMJ65" s="94"/>
      <c r="RMK65" s="94"/>
      <c r="RML65" s="94"/>
      <c r="RMM65" s="94"/>
      <c r="RMN65" s="94"/>
      <c r="RMO65" s="94"/>
      <c r="RMP65" s="94"/>
      <c r="RMQ65" s="94"/>
      <c r="RMR65" s="94"/>
      <c r="RMS65" s="94"/>
      <c r="RMT65" s="94"/>
      <c r="RMU65" s="94"/>
      <c r="RMV65" s="94"/>
      <c r="RMW65" s="94"/>
      <c r="RMX65" s="94"/>
      <c r="RMY65" s="94"/>
      <c r="RMZ65" s="94"/>
      <c r="RNA65" s="94"/>
      <c r="RNB65" s="94"/>
      <c r="RNC65" s="94"/>
      <c r="RND65" s="94"/>
      <c r="RNE65" s="94"/>
      <c r="RNF65" s="94"/>
      <c r="RNG65" s="94"/>
      <c r="RNH65" s="94"/>
      <c r="RNI65" s="94"/>
      <c r="RNJ65" s="94"/>
      <c r="RNK65" s="94"/>
      <c r="RNL65" s="94"/>
      <c r="RNM65" s="94"/>
      <c r="RNN65" s="94"/>
      <c r="RNO65" s="94"/>
      <c r="RNP65" s="94"/>
      <c r="RNQ65" s="94"/>
      <c r="RNR65" s="94"/>
      <c r="RNS65" s="94"/>
      <c r="RNT65" s="94"/>
      <c r="RNU65" s="94"/>
      <c r="RNV65" s="94"/>
      <c r="RNW65" s="94"/>
      <c r="RNX65" s="94"/>
      <c r="RNY65" s="94"/>
      <c r="RNZ65" s="94"/>
      <c r="ROA65" s="94"/>
      <c r="ROB65" s="94"/>
      <c r="ROC65" s="94"/>
      <c r="ROD65" s="94"/>
      <c r="ROE65" s="94"/>
      <c r="ROF65" s="94"/>
      <c r="ROG65" s="94"/>
      <c r="ROH65" s="94"/>
      <c r="ROI65" s="94"/>
      <c r="ROJ65" s="94"/>
      <c r="ROK65" s="94"/>
      <c r="ROL65" s="94"/>
      <c r="ROM65" s="94"/>
      <c r="RON65" s="94"/>
      <c r="ROO65" s="94"/>
      <c r="ROP65" s="94"/>
      <c r="ROQ65" s="94"/>
      <c r="ROR65" s="94"/>
      <c r="ROS65" s="94"/>
      <c r="ROT65" s="94"/>
      <c r="ROU65" s="94"/>
      <c r="ROV65" s="94"/>
      <c r="ROW65" s="94"/>
      <c r="ROX65" s="94"/>
      <c r="ROY65" s="94"/>
      <c r="ROZ65" s="94"/>
      <c r="RPA65" s="94"/>
      <c r="RPB65" s="94"/>
      <c r="RPC65" s="94"/>
      <c r="RPD65" s="94"/>
      <c r="RPE65" s="94"/>
      <c r="RPF65" s="94"/>
      <c r="RPG65" s="94"/>
      <c r="RPH65" s="94"/>
      <c r="RPI65" s="94"/>
      <c r="RPJ65" s="94"/>
      <c r="RPK65" s="94"/>
      <c r="RPL65" s="94"/>
      <c r="RPM65" s="94"/>
      <c r="RPN65" s="94"/>
      <c r="RPO65" s="94"/>
      <c r="RPP65" s="94"/>
      <c r="RPQ65" s="94"/>
      <c r="RPR65" s="94"/>
      <c r="RPS65" s="94"/>
      <c r="RPT65" s="94"/>
      <c r="RPU65" s="94"/>
      <c r="RPV65" s="94"/>
      <c r="RPW65" s="94"/>
      <c r="RPX65" s="94"/>
      <c r="RPY65" s="94"/>
      <c r="RPZ65" s="94"/>
      <c r="RQA65" s="94"/>
      <c r="RQB65" s="94"/>
      <c r="RQC65" s="94"/>
      <c r="RQD65" s="94"/>
      <c r="RQE65" s="94"/>
      <c r="RQF65" s="94"/>
      <c r="RQG65" s="94"/>
      <c r="RQH65" s="94"/>
      <c r="RQI65" s="94"/>
      <c r="RQJ65" s="94"/>
      <c r="RQK65" s="94"/>
      <c r="RQL65" s="94"/>
      <c r="RQM65" s="94"/>
      <c r="RQN65" s="94"/>
      <c r="RQO65" s="94"/>
      <c r="RQP65" s="94"/>
      <c r="RQQ65" s="94"/>
      <c r="RQR65" s="94"/>
      <c r="RQS65" s="94"/>
      <c r="RQT65" s="94"/>
      <c r="RQU65" s="94"/>
      <c r="RQV65" s="94"/>
      <c r="RQW65" s="94"/>
      <c r="RQX65" s="94"/>
      <c r="RQY65" s="94"/>
      <c r="RQZ65" s="94"/>
      <c r="RRA65" s="94"/>
      <c r="RRB65" s="94"/>
      <c r="RRC65" s="94"/>
      <c r="RRD65" s="94"/>
      <c r="RRE65" s="94"/>
      <c r="RRF65" s="94"/>
      <c r="RRG65" s="94"/>
      <c r="RRH65" s="94"/>
      <c r="RRI65" s="94"/>
      <c r="RRJ65" s="94"/>
      <c r="RRK65" s="94"/>
      <c r="RRL65" s="94"/>
      <c r="RRM65" s="94"/>
      <c r="RRN65" s="94"/>
      <c r="RRO65" s="94"/>
      <c r="RRP65" s="94"/>
      <c r="RRQ65" s="94"/>
      <c r="RRR65" s="94"/>
      <c r="RRS65" s="94"/>
      <c r="RRT65" s="94"/>
      <c r="RRU65" s="94"/>
      <c r="RRV65" s="94"/>
      <c r="RRW65" s="94"/>
      <c r="RRX65" s="94"/>
      <c r="RRY65" s="94"/>
      <c r="RRZ65" s="94"/>
      <c r="RSA65" s="94"/>
      <c r="RSB65" s="94"/>
      <c r="RSC65" s="94"/>
      <c r="RSD65" s="94"/>
      <c r="RSE65" s="94"/>
      <c r="RSF65" s="94"/>
      <c r="RSG65" s="94"/>
      <c r="RSH65" s="94"/>
      <c r="RSI65" s="94"/>
      <c r="RSJ65" s="94"/>
      <c r="RSK65" s="94"/>
      <c r="RSL65" s="94"/>
      <c r="RSM65" s="94"/>
      <c r="RSN65" s="94"/>
      <c r="RSO65" s="94"/>
      <c r="RSP65" s="94"/>
      <c r="RSQ65" s="94"/>
      <c r="RSR65" s="94"/>
      <c r="RSS65" s="94"/>
      <c r="RST65" s="94"/>
      <c r="RSU65" s="94"/>
      <c r="RSV65" s="94"/>
      <c r="RSW65" s="94"/>
      <c r="RSX65" s="94"/>
      <c r="RSY65" s="94"/>
      <c r="RSZ65" s="94"/>
      <c r="RTA65" s="94"/>
      <c r="RTB65" s="94"/>
      <c r="RTC65" s="94"/>
      <c r="RTD65" s="94"/>
      <c r="RTE65" s="94"/>
      <c r="RTF65" s="94"/>
      <c r="RTG65" s="94"/>
      <c r="RTH65" s="94"/>
      <c r="RTI65" s="94"/>
      <c r="RTJ65" s="94"/>
      <c r="RTK65" s="94"/>
      <c r="RTL65" s="94"/>
      <c r="RTM65" s="94"/>
      <c r="RTN65" s="94"/>
      <c r="RTO65" s="94"/>
      <c r="RTP65" s="94"/>
      <c r="RTQ65" s="94"/>
      <c r="RTR65" s="94"/>
      <c r="RTS65" s="94"/>
      <c r="RTT65" s="94"/>
      <c r="RTU65" s="94"/>
      <c r="RTV65" s="94"/>
      <c r="RTW65" s="94"/>
      <c r="RTX65" s="94"/>
      <c r="RTY65" s="94"/>
      <c r="RTZ65" s="94"/>
      <c r="RUA65" s="94"/>
      <c r="RUB65" s="94"/>
      <c r="RUC65" s="94"/>
      <c r="RUD65" s="94"/>
      <c r="RUE65" s="94"/>
      <c r="RUF65" s="94"/>
      <c r="RUG65" s="94"/>
      <c r="RUH65" s="94"/>
      <c r="RUI65" s="94"/>
      <c r="RUJ65" s="94"/>
      <c r="RUK65" s="94"/>
      <c r="RUL65" s="94"/>
      <c r="RUM65" s="94"/>
      <c r="RUN65" s="94"/>
      <c r="RUO65" s="94"/>
      <c r="RUP65" s="94"/>
      <c r="RUQ65" s="94"/>
      <c r="RUR65" s="94"/>
      <c r="RUS65" s="94"/>
      <c r="RUT65" s="94"/>
      <c r="RUU65" s="94"/>
      <c r="RUV65" s="94"/>
      <c r="RUW65" s="94"/>
      <c r="RUX65" s="94"/>
      <c r="RUY65" s="94"/>
      <c r="RUZ65" s="94"/>
      <c r="RVA65" s="94"/>
      <c r="RVB65" s="94"/>
      <c r="RVC65" s="94"/>
      <c r="RVD65" s="94"/>
      <c r="RVE65" s="94"/>
      <c r="RVF65" s="94"/>
      <c r="RVG65" s="94"/>
      <c r="RVH65" s="94"/>
      <c r="RVI65" s="94"/>
      <c r="RVJ65" s="94"/>
      <c r="RVK65" s="94"/>
      <c r="RVL65" s="94"/>
      <c r="RVM65" s="94"/>
      <c r="RVN65" s="94"/>
      <c r="RVO65" s="94"/>
      <c r="RVP65" s="94"/>
      <c r="RVQ65" s="94"/>
      <c r="RVR65" s="94"/>
      <c r="RVS65" s="94"/>
      <c r="RVT65" s="94"/>
      <c r="RVU65" s="94"/>
      <c r="RVV65" s="94"/>
      <c r="RVW65" s="94"/>
      <c r="RVX65" s="94"/>
      <c r="RVY65" s="94"/>
      <c r="RVZ65" s="94"/>
      <c r="RWA65" s="94"/>
      <c r="RWB65" s="94"/>
      <c r="RWC65" s="94"/>
      <c r="RWD65" s="94"/>
      <c r="RWE65" s="94"/>
      <c r="RWF65" s="94"/>
      <c r="RWG65" s="94"/>
      <c r="RWH65" s="94"/>
      <c r="RWI65" s="94"/>
      <c r="RWJ65" s="94"/>
      <c r="RWK65" s="94"/>
      <c r="RWL65" s="94"/>
      <c r="RWM65" s="94"/>
      <c r="RWN65" s="94"/>
      <c r="RWO65" s="94"/>
      <c r="RWP65" s="94"/>
      <c r="RWQ65" s="94"/>
      <c r="RWR65" s="94"/>
      <c r="RWS65" s="94"/>
      <c r="RWT65" s="94"/>
      <c r="RWU65" s="94"/>
      <c r="RWV65" s="94"/>
      <c r="RWW65" s="94"/>
      <c r="RWX65" s="94"/>
      <c r="RWY65" s="94"/>
      <c r="RWZ65" s="94"/>
      <c r="RXA65" s="94"/>
      <c r="RXB65" s="94"/>
      <c r="RXC65" s="94"/>
      <c r="RXD65" s="94"/>
      <c r="RXE65" s="94"/>
      <c r="RXF65" s="94"/>
      <c r="RXG65" s="94"/>
      <c r="RXH65" s="94"/>
      <c r="RXI65" s="94"/>
      <c r="RXJ65" s="94"/>
      <c r="RXK65" s="94"/>
      <c r="RXL65" s="94"/>
      <c r="RXM65" s="94"/>
      <c r="RXN65" s="94"/>
      <c r="RXO65" s="94"/>
      <c r="RXP65" s="94"/>
      <c r="RXQ65" s="94"/>
      <c r="RXR65" s="94"/>
      <c r="RXS65" s="94"/>
      <c r="RXT65" s="94"/>
      <c r="RXU65" s="94"/>
      <c r="RXV65" s="94"/>
      <c r="RXW65" s="94"/>
      <c r="RXX65" s="94"/>
      <c r="RXY65" s="94"/>
      <c r="RXZ65" s="94"/>
      <c r="RYA65" s="94"/>
      <c r="RYB65" s="94"/>
      <c r="RYC65" s="94"/>
      <c r="RYD65" s="94"/>
      <c r="RYE65" s="94"/>
      <c r="RYF65" s="94"/>
      <c r="RYG65" s="94"/>
      <c r="RYH65" s="94"/>
      <c r="RYI65" s="94"/>
      <c r="RYJ65" s="94"/>
      <c r="RYK65" s="94"/>
      <c r="RYL65" s="94"/>
      <c r="RYM65" s="94"/>
      <c r="RYN65" s="94"/>
      <c r="RYO65" s="94"/>
      <c r="RYP65" s="94"/>
      <c r="RYQ65" s="94"/>
      <c r="RYR65" s="94"/>
      <c r="RYS65" s="94"/>
      <c r="RYT65" s="94"/>
      <c r="RYU65" s="94"/>
      <c r="RYV65" s="94"/>
      <c r="RYW65" s="94"/>
      <c r="RYX65" s="94"/>
      <c r="RYY65" s="94"/>
      <c r="RYZ65" s="94"/>
      <c r="RZA65" s="94"/>
      <c r="RZB65" s="94"/>
      <c r="RZC65" s="94"/>
      <c r="RZD65" s="94"/>
      <c r="RZE65" s="94"/>
      <c r="RZF65" s="94"/>
      <c r="RZG65" s="94"/>
      <c r="RZH65" s="94"/>
      <c r="RZI65" s="94"/>
      <c r="RZJ65" s="94"/>
      <c r="RZK65" s="94"/>
      <c r="RZL65" s="94"/>
      <c r="RZM65" s="94"/>
      <c r="RZN65" s="94"/>
      <c r="RZO65" s="94"/>
      <c r="RZP65" s="94"/>
      <c r="RZQ65" s="94"/>
      <c r="RZR65" s="94"/>
      <c r="RZS65" s="94"/>
      <c r="RZT65" s="94"/>
      <c r="RZU65" s="94"/>
      <c r="RZV65" s="94"/>
      <c r="RZW65" s="94"/>
      <c r="RZX65" s="94"/>
      <c r="RZY65" s="94"/>
      <c r="RZZ65" s="94"/>
      <c r="SAA65" s="94"/>
      <c r="SAB65" s="94"/>
      <c r="SAC65" s="94"/>
      <c r="SAD65" s="94"/>
      <c r="SAE65" s="94"/>
      <c r="SAF65" s="94"/>
      <c r="SAG65" s="94"/>
      <c r="SAH65" s="94"/>
      <c r="SAI65" s="94"/>
      <c r="SAJ65" s="94"/>
      <c r="SAK65" s="94"/>
      <c r="SAL65" s="94"/>
      <c r="SAM65" s="94"/>
      <c r="SAN65" s="94"/>
      <c r="SAO65" s="94"/>
      <c r="SAP65" s="94"/>
      <c r="SAQ65" s="94"/>
      <c r="SAR65" s="94"/>
      <c r="SAS65" s="94"/>
      <c r="SAT65" s="94"/>
      <c r="SAU65" s="94"/>
      <c r="SAV65" s="94"/>
      <c r="SAW65" s="94"/>
      <c r="SAX65" s="94"/>
      <c r="SAY65" s="94"/>
      <c r="SAZ65" s="94"/>
      <c r="SBA65" s="94"/>
      <c r="SBB65" s="94"/>
      <c r="SBC65" s="94"/>
      <c r="SBD65" s="94"/>
      <c r="SBE65" s="94"/>
      <c r="SBF65" s="94"/>
      <c r="SBG65" s="94"/>
      <c r="SBH65" s="94"/>
      <c r="SBI65" s="94"/>
      <c r="SBJ65" s="94"/>
      <c r="SBK65" s="94"/>
      <c r="SBL65" s="94"/>
      <c r="SBM65" s="94"/>
      <c r="SBN65" s="94"/>
      <c r="SBO65" s="94"/>
      <c r="SBP65" s="94"/>
      <c r="SBQ65" s="94"/>
      <c r="SBR65" s="94"/>
      <c r="SBS65" s="94"/>
      <c r="SBT65" s="94"/>
      <c r="SBU65" s="94"/>
      <c r="SBV65" s="94"/>
      <c r="SBW65" s="94"/>
      <c r="SBX65" s="94"/>
      <c r="SBY65" s="94"/>
      <c r="SBZ65" s="94"/>
      <c r="SCA65" s="94"/>
      <c r="SCB65" s="94"/>
      <c r="SCC65" s="94"/>
      <c r="SCD65" s="94"/>
      <c r="SCE65" s="94"/>
      <c r="SCF65" s="94"/>
      <c r="SCG65" s="94"/>
      <c r="SCH65" s="94"/>
      <c r="SCI65" s="94"/>
      <c r="SCJ65" s="94"/>
      <c r="SCK65" s="94"/>
      <c r="SCL65" s="94"/>
      <c r="SCM65" s="94"/>
      <c r="SCN65" s="94"/>
      <c r="SCO65" s="94"/>
      <c r="SCP65" s="94"/>
      <c r="SCQ65" s="94"/>
      <c r="SCR65" s="94"/>
      <c r="SCS65" s="94"/>
      <c r="SCT65" s="94"/>
      <c r="SCU65" s="94"/>
      <c r="SCV65" s="94"/>
      <c r="SCW65" s="94"/>
      <c r="SCX65" s="94"/>
      <c r="SCY65" s="94"/>
      <c r="SCZ65" s="94"/>
      <c r="SDA65" s="94"/>
      <c r="SDB65" s="94"/>
      <c r="SDC65" s="94"/>
      <c r="SDD65" s="94"/>
      <c r="SDE65" s="94"/>
      <c r="SDF65" s="94"/>
      <c r="SDG65" s="94"/>
      <c r="SDH65" s="94"/>
      <c r="SDI65" s="94"/>
      <c r="SDJ65" s="94"/>
      <c r="SDK65" s="94"/>
      <c r="SDL65" s="94"/>
      <c r="SDM65" s="94"/>
      <c r="SDN65" s="94"/>
      <c r="SDO65" s="94"/>
      <c r="SDP65" s="94"/>
      <c r="SDQ65" s="94"/>
      <c r="SDR65" s="94"/>
      <c r="SDS65" s="94"/>
      <c r="SDT65" s="94"/>
      <c r="SDU65" s="94"/>
      <c r="SDV65" s="94"/>
      <c r="SDW65" s="94"/>
      <c r="SDX65" s="94"/>
      <c r="SDY65" s="94"/>
      <c r="SDZ65" s="94"/>
      <c r="SEA65" s="94"/>
      <c r="SEB65" s="94"/>
      <c r="SEC65" s="94"/>
      <c r="SED65" s="94"/>
      <c r="SEE65" s="94"/>
      <c r="SEF65" s="94"/>
      <c r="SEG65" s="94"/>
      <c r="SEH65" s="94"/>
      <c r="SEI65" s="94"/>
      <c r="SEJ65" s="94"/>
      <c r="SEK65" s="94"/>
      <c r="SEL65" s="94"/>
      <c r="SEM65" s="94"/>
      <c r="SEN65" s="94"/>
      <c r="SEO65" s="94"/>
      <c r="SEP65" s="94"/>
      <c r="SEQ65" s="94"/>
      <c r="SER65" s="94"/>
      <c r="SES65" s="94"/>
      <c r="SET65" s="94"/>
      <c r="SEU65" s="94"/>
      <c r="SEV65" s="94"/>
      <c r="SEW65" s="94"/>
      <c r="SEX65" s="94"/>
      <c r="SEY65" s="94"/>
      <c r="SEZ65" s="94"/>
      <c r="SFA65" s="94"/>
      <c r="SFB65" s="94"/>
      <c r="SFC65" s="94"/>
      <c r="SFD65" s="94"/>
      <c r="SFE65" s="94"/>
      <c r="SFF65" s="94"/>
      <c r="SFG65" s="94"/>
      <c r="SFH65" s="94"/>
      <c r="SFI65" s="94"/>
      <c r="SFJ65" s="94"/>
      <c r="SFK65" s="94"/>
      <c r="SFL65" s="94"/>
      <c r="SFM65" s="94"/>
      <c r="SFN65" s="94"/>
      <c r="SFO65" s="94"/>
      <c r="SFP65" s="94"/>
      <c r="SFQ65" s="94"/>
      <c r="SFR65" s="94"/>
      <c r="SFS65" s="94"/>
      <c r="SFT65" s="94"/>
      <c r="SFU65" s="94"/>
      <c r="SFV65" s="94"/>
      <c r="SFW65" s="94"/>
      <c r="SFX65" s="94"/>
      <c r="SFY65" s="94"/>
      <c r="SFZ65" s="94"/>
      <c r="SGA65" s="94"/>
      <c r="SGB65" s="94"/>
      <c r="SGC65" s="94"/>
      <c r="SGD65" s="94"/>
      <c r="SGE65" s="94"/>
      <c r="SGF65" s="94"/>
      <c r="SGG65" s="94"/>
      <c r="SGH65" s="94"/>
      <c r="SGI65" s="94"/>
      <c r="SGJ65" s="94"/>
      <c r="SGK65" s="94"/>
      <c r="SGL65" s="94"/>
      <c r="SGM65" s="94"/>
      <c r="SGN65" s="94"/>
      <c r="SGO65" s="94"/>
      <c r="SGP65" s="94"/>
      <c r="SGQ65" s="94"/>
      <c r="SGR65" s="94"/>
      <c r="SGS65" s="94"/>
      <c r="SGT65" s="94"/>
      <c r="SGU65" s="94"/>
      <c r="SGV65" s="94"/>
      <c r="SGW65" s="94"/>
      <c r="SGX65" s="94"/>
      <c r="SGY65" s="94"/>
      <c r="SGZ65" s="94"/>
      <c r="SHA65" s="94"/>
      <c r="SHB65" s="94"/>
      <c r="SHC65" s="94"/>
      <c r="SHD65" s="94"/>
      <c r="SHE65" s="94"/>
      <c r="SHF65" s="94"/>
      <c r="SHG65" s="94"/>
      <c r="SHH65" s="94"/>
      <c r="SHI65" s="94"/>
      <c r="SHJ65" s="94"/>
      <c r="SHK65" s="94"/>
      <c r="SHL65" s="94"/>
      <c r="SHM65" s="94"/>
      <c r="SHN65" s="94"/>
      <c r="SHO65" s="94"/>
      <c r="SHP65" s="94"/>
      <c r="SHQ65" s="94"/>
      <c r="SHR65" s="94"/>
      <c r="SHS65" s="94"/>
      <c r="SHT65" s="94"/>
      <c r="SHU65" s="94"/>
      <c r="SHV65" s="94"/>
      <c r="SHW65" s="94"/>
      <c r="SHX65" s="94"/>
      <c r="SHY65" s="94"/>
      <c r="SHZ65" s="94"/>
      <c r="SIA65" s="94"/>
      <c r="SIB65" s="94"/>
      <c r="SIC65" s="94"/>
      <c r="SID65" s="94"/>
      <c r="SIE65" s="94"/>
      <c r="SIF65" s="94"/>
      <c r="SIG65" s="94"/>
      <c r="SIH65" s="94"/>
      <c r="SII65" s="94"/>
      <c r="SIJ65" s="94"/>
      <c r="SIK65" s="94"/>
      <c r="SIL65" s="94"/>
      <c r="SIM65" s="94"/>
      <c r="SIN65" s="94"/>
      <c r="SIO65" s="94"/>
      <c r="SIP65" s="94"/>
      <c r="SIQ65" s="94"/>
      <c r="SIR65" s="94"/>
      <c r="SIS65" s="94"/>
      <c r="SIT65" s="94"/>
      <c r="SIU65" s="94"/>
      <c r="SIV65" s="94"/>
      <c r="SIW65" s="94"/>
      <c r="SIX65" s="94"/>
      <c r="SIY65" s="94"/>
      <c r="SIZ65" s="94"/>
      <c r="SJA65" s="94"/>
      <c r="SJB65" s="94"/>
      <c r="SJC65" s="94"/>
      <c r="SJD65" s="94"/>
      <c r="SJE65" s="94"/>
      <c r="SJF65" s="94"/>
      <c r="SJG65" s="94"/>
      <c r="SJH65" s="94"/>
      <c r="SJI65" s="94"/>
      <c r="SJJ65" s="94"/>
      <c r="SJK65" s="94"/>
      <c r="SJL65" s="94"/>
      <c r="SJM65" s="94"/>
      <c r="SJN65" s="94"/>
      <c r="SJO65" s="94"/>
      <c r="SJP65" s="94"/>
      <c r="SJQ65" s="94"/>
      <c r="SJR65" s="94"/>
      <c r="SJS65" s="94"/>
      <c r="SJT65" s="94"/>
      <c r="SJU65" s="94"/>
      <c r="SJV65" s="94"/>
      <c r="SJW65" s="94"/>
      <c r="SJX65" s="94"/>
      <c r="SJY65" s="94"/>
      <c r="SJZ65" s="94"/>
      <c r="SKA65" s="94"/>
      <c r="SKB65" s="94"/>
      <c r="SKC65" s="94"/>
      <c r="SKD65" s="94"/>
      <c r="SKE65" s="94"/>
      <c r="SKF65" s="94"/>
      <c r="SKG65" s="94"/>
      <c r="SKH65" s="94"/>
      <c r="SKI65" s="94"/>
      <c r="SKJ65" s="94"/>
      <c r="SKK65" s="94"/>
      <c r="SKL65" s="94"/>
      <c r="SKM65" s="94"/>
      <c r="SKN65" s="94"/>
      <c r="SKO65" s="94"/>
      <c r="SKP65" s="94"/>
      <c r="SKQ65" s="94"/>
      <c r="SKR65" s="94"/>
      <c r="SKS65" s="94"/>
      <c r="SKT65" s="94"/>
      <c r="SKU65" s="94"/>
      <c r="SKV65" s="94"/>
      <c r="SKW65" s="94"/>
      <c r="SKX65" s="94"/>
      <c r="SKY65" s="94"/>
      <c r="SKZ65" s="94"/>
      <c r="SLA65" s="94"/>
      <c r="SLB65" s="94"/>
      <c r="SLC65" s="94"/>
      <c r="SLD65" s="94"/>
      <c r="SLE65" s="94"/>
      <c r="SLF65" s="94"/>
      <c r="SLG65" s="94"/>
      <c r="SLH65" s="94"/>
      <c r="SLI65" s="94"/>
      <c r="SLJ65" s="94"/>
      <c r="SLK65" s="94"/>
      <c r="SLL65" s="94"/>
      <c r="SLM65" s="94"/>
      <c r="SLN65" s="94"/>
      <c r="SLO65" s="94"/>
      <c r="SLP65" s="94"/>
      <c r="SLQ65" s="94"/>
      <c r="SLR65" s="94"/>
      <c r="SLS65" s="94"/>
      <c r="SLT65" s="94"/>
      <c r="SLU65" s="94"/>
      <c r="SLV65" s="94"/>
      <c r="SLW65" s="94"/>
      <c r="SLX65" s="94"/>
      <c r="SLY65" s="94"/>
      <c r="SLZ65" s="94"/>
      <c r="SMA65" s="94"/>
      <c r="SMB65" s="94"/>
      <c r="SMC65" s="94"/>
      <c r="SMD65" s="94"/>
      <c r="SME65" s="94"/>
      <c r="SMF65" s="94"/>
      <c r="SMG65" s="94"/>
      <c r="SMH65" s="94"/>
      <c r="SMI65" s="94"/>
      <c r="SMJ65" s="94"/>
      <c r="SMK65" s="94"/>
      <c r="SML65" s="94"/>
      <c r="SMM65" s="94"/>
      <c r="SMN65" s="94"/>
      <c r="SMO65" s="94"/>
      <c r="SMP65" s="94"/>
      <c r="SMQ65" s="94"/>
      <c r="SMR65" s="94"/>
      <c r="SMS65" s="94"/>
      <c r="SMT65" s="94"/>
      <c r="SMU65" s="94"/>
      <c r="SMV65" s="94"/>
      <c r="SMW65" s="94"/>
      <c r="SMX65" s="94"/>
      <c r="SMY65" s="94"/>
      <c r="SMZ65" s="94"/>
      <c r="SNA65" s="94"/>
      <c r="SNB65" s="94"/>
      <c r="SNC65" s="94"/>
      <c r="SND65" s="94"/>
      <c r="SNE65" s="94"/>
      <c r="SNF65" s="94"/>
      <c r="SNG65" s="94"/>
      <c r="SNH65" s="94"/>
      <c r="SNI65" s="94"/>
      <c r="SNJ65" s="94"/>
      <c r="SNK65" s="94"/>
      <c r="SNL65" s="94"/>
      <c r="SNM65" s="94"/>
      <c r="SNN65" s="94"/>
      <c r="SNO65" s="94"/>
      <c r="SNP65" s="94"/>
      <c r="SNQ65" s="94"/>
      <c r="SNR65" s="94"/>
      <c r="SNS65" s="94"/>
      <c r="SNT65" s="94"/>
      <c r="SNU65" s="94"/>
      <c r="SNV65" s="94"/>
      <c r="SNW65" s="94"/>
      <c r="SNX65" s="94"/>
      <c r="SNY65" s="94"/>
      <c r="SNZ65" s="94"/>
      <c r="SOA65" s="94"/>
      <c r="SOB65" s="94"/>
      <c r="SOC65" s="94"/>
      <c r="SOD65" s="94"/>
      <c r="SOE65" s="94"/>
      <c r="SOF65" s="94"/>
      <c r="SOG65" s="94"/>
      <c r="SOH65" s="94"/>
      <c r="SOI65" s="94"/>
      <c r="SOJ65" s="94"/>
      <c r="SOK65" s="94"/>
      <c r="SOL65" s="94"/>
      <c r="SOM65" s="94"/>
      <c r="SON65" s="94"/>
      <c r="SOO65" s="94"/>
      <c r="SOP65" s="94"/>
      <c r="SOQ65" s="94"/>
      <c r="SOR65" s="94"/>
      <c r="SOS65" s="94"/>
      <c r="SOT65" s="94"/>
      <c r="SOU65" s="94"/>
      <c r="SOV65" s="94"/>
      <c r="SOW65" s="94"/>
      <c r="SOX65" s="94"/>
      <c r="SOY65" s="94"/>
      <c r="SOZ65" s="94"/>
      <c r="SPA65" s="94"/>
      <c r="SPB65" s="94"/>
      <c r="SPC65" s="94"/>
      <c r="SPD65" s="94"/>
      <c r="SPE65" s="94"/>
      <c r="SPF65" s="94"/>
      <c r="SPG65" s="94"/>
      <c r="SPH65" s="94"/>
      <c r="SPI65" s="94"/>
      <c r="SPJ65" s="94"/>
      <c r="SPK65" s="94"/>
      <c r="SPL65" s="94"/>
      <c r="SPM65" s="94"/>
      <c r="SPN65" s="94"/>
      <c r="SPO65" s="94"/>
      <c r="SPP65" s="94"/>
      <c r="SPQ65" s="94"/>
      <c r="SPR65" s="94"/>
      <c r="SPS65" s="94"/>
      <c r="SPT65" s="94"/>
      <c r="SPU65" s="94"/>
      <c r="SPV65" s="94"/>
      <c r="SPW65" s="94"/>
      <c r="SPX65" s="94"/>
      <c r="SPY65" s="94"/>
      <c r="SPZ65" s="94"/>
      <c r="SQA65" s="94"/>
      <c r="SQB65" s="94"/>
      <c r="SQC65" s="94"/>
      <c r="SQD65" s="94"/>
      <c r="SQE65" s="94"/>
      <c r="SQF65" s="94"/>
      <c r="SQG65" s="94"/>
      <c r="SQH65" s="94"/>
      <c r="SQI65" s="94"/>
      <c r="SQJ65" s="94"/>
      <c r="SQK65" s="94"/>
      <c r="SQL65" s="94"/>
      <c r="SQM65" s="94"/>
      <c r="SQN65" s="94"/>
      <c r="SQO65" s="94"/>
      <c r="SQP65" s="94"/>
      <c r="SQQ65" s="94"/>
      <c r="SQR65" s="94"/>
      <c r="SQS65" s="94"/>
      <c r="SQT65" s="94"/>
      <c r="SQU65" s="94"/>
      <c r="SQV65" s="94"/>
      <c r="SQW65" s="94"/>
      <c r="SQX65" s="94"/>
      <c r="SQY65" s="94"/>
      <c r="SQZ65" s="94"/>
      <c r="SRA65" s="94"/>
      <c r="SRB65" s="94"/>
      <c r="SRC65" s="94"/>
      <c r="SRD65" s="94"/>
      <c r="SRE65" s="94"/>
      <c r="SRF65" s="94"/>
      <c r="SRG65" s="94"/>
      <c r="SRH65" s="94"/>
      <c r="SRI65" s="94"/>
      <c r="SRJ65" s="94"/>
      <c r="SRK65" s="94"/>
      <c r="SRL65" s="94"/>
      <c r="SRM65" s="94"/>
      <c r="SRN65" s="94"/>
      <c r="SRO65" s="94"/>
      <c r="SRP65" s="94"/>
      <c r="SRQ65" s="94"/>
      <c r="SRR65" s="94"/>
      <c r="SRS65" s="94"/>
      <c r="SRT65" s="94"/>
      <c r="SRU65" s="94"/>
      <c r="SRV65" s="94"/>
      <c r="SRW65" s="94"/>
      <c r="SRX65" s="94"/>
      <c r="SRY65" s="94"/>
      <c r="SRZ65" s="94"/>
      <c r="SSA65" s="94"/>
      <c r="SSB65" s="94"/>
      <c r="SSC65" s="94"/>
      <c r="SSD65" s="94"/>
      <c r="SSE65" s="94"/>
      <c r="SSF65" s="94"/>
      <c r="SSG65" s="94"/>
      <c r="SSH65" s="94"/>
      <c r="SSI65" s="94"/>
      <c r="SSJ65" s="94"/>
      <c r="SSK65" s="94"/>
      <c r="SSL65" s="94"/>
      <c r="SSM65" s="94"/>
      <c r="SSN65" s="94"/>
      <c r="SSO65" s="94"/>
      <c r="SSP65" s="94"/>
      <c r="SSQ65" s="94"/>
      <c r="SSR65" s="94"/>
      <c r="SSS65" s="94"/>
      <c r="SST65" s="94"/>
      <c r="SSU65" s="94"/>
      <c r="SSV65" s="94"/>
      <c r="SSW65" s="94"/>
      <c r="SSX65" s="94"/>
      <c r="SSY65" s="94"/>
      <c r="SSZ65" s="94"/>
      <c r="STA65" s="94"/>
      <c r="STB65" s="94"/>
      <c r="STC65" s="94"/>
      <c r="STD65" s="94"/>
      <c r="STE65" s="94"/>
      <c r="STF65" s="94"/>
      <c r="STG65" s="94"/>
      <c r="STH65" s="94"/>
      <c r="STI65" s="94"/>
      <c r="STJ65" s="94"/>
      <c r="STK65" s="94"/>
      <c r="STL65" s="94"/>
      <c r="STM65" s="94"/>
      <c r="STN65" s="94"/>
      <c r="STO65" s="94"/>
      <c r="STP65" s="94"/>
      <c r="STQ65" s="94"/>
      <c r="STR65" s="94"/>
      <c r="STS65" s="94"/>
      <c r="STT65" s="94"/>
      <c r="STU65" s="94"/>
      <c r="STV65" s="94"/>
      <c r="STW65" s="94"/>
      <c r="STX65" s="94"/>
      <c r="STY65" s="94"/>
      <c r="STZ65" s="94"/>
      <c r="SUA65" s="94"/>
      <c r="SUB65" s="94"/>
      <c r="SUC65" s="94"/>
      <c r="SUD65" s="94"/>
      <c r="SUE65" s="94"/>
      <c r="SUF65" s="94"/>
      <c r="SUG65" s="94"/>
      <c r="SUH65" s="94"/>
      <c r="SUI65" s="94"/>
      <c r="SUJ65" s="94"/>
      <c r="SUK65" s="94"/>
      <c r="SUL65" s="94"/>
      <c r="SUM65" s="94"/>
      <c r="SUN65" s="94"/>
      <c r="SUO65" s="94"/>
      <c r="SUP65" s="94"/>
      <c r="SUQ65" s="94"/>
      <c r="SUR65" s="94"/>
      <c r="SUS65" s="94"/>
      <c r="SUT65" s="94"/>
      <c r="SUU65" s="94"/>
      <c r="SUV65" s="94"/>
      <c r="SUW65" s="94"/>
      <c r="SUX65" s="94"/>
      <c r="SUY65" s="94"/>
      <c r="SUZ65" s="94"/>
      <c r="SVA65" s="94"/>
      <c r="SVB65" s="94"/>
      <c r="SVC65" s="94"/>
      <c r="SVD65" s="94"/>
      <c r="SVE65" s="94"/>
      <c r="SVF65" s="94"/>
      <c r="SVG65" s="94"/>
      <c r="SVH65" s="94"/>
      <c r="SVI65" s="94"/>
      <c r="SVJ65" s="94"/>
      <c r="SVK65" s="94"/>
      <c r="SVL65" s="94"/>
      <c r="SVM65" s="94"/>
      <c r="SVN65" s="94"/>
      <c r="SVO65" s="94"/>
      <c r="SVP65" s="94"/>
      <c r="SVQ65" s="94"/>
      <c r="SVR65" s="94"/>
      <c r="SVS65" s="94"/>
      <c r="SVT65" s="94"/>
      <c r="SVU65" s="94"/>
      <c r="SVV65" s="94"/>
      <c r="SVW65" s="94"/>
      <c r="SVX65" s="94"/>
      <c r="SVY65" s="94"/>
      <c r="SVZ65" s="94"/>
      <c r="SWA65" s="94"/>
      <c r="SWB65" s="94"/>
      <c r="SWC65" s="94"/>
      <c r="SWD65" s="94"/>
      <c r="SWE65" s="94"/>
      <c r="SWF65" s="94"/>
      <c r="SWG65" s="94"/>
      <c r="SWH65" s="94"/>
      <c r="SWI65" s="94"/>
      <c r="SWJ65" s="94"/>
      <c r="SWK65" s="94"/>
      <c r="SWL65" s="94"/>
      <c r="SWM65" s="94"/>
      <c r="SWN65" s="94"/>
      <c r="SWO65" s="94"/>
      <c r="SWP65" s="94"/>
      <c r="SWQ65" s="94"/>
      <c r="SWR65" s="94"/>
      <c r="SWS65" s="94"/>
      <c r="SWT65" s="94"/>
      <c r="SWU65" s="94"/>
      <c r="SWV65" s="94"/>
      <c r="SWW65" s="94"/>
      <c r="SWX65" s="94"/>
      <c r="SWY65" s="94"/>
      <c r="SWZ65" s="94"/>
      <c r="SXA65" s="94"/>
      <c r="SXB65" s="94"/>
      <c r="SXC65" s="94"/>
      <c r="SXD65" s="94"/>
      <c r="SXE65" s="94"/>
      <c r="SXF65" s="94"/>
      <c r="SXG65" s="94"/>
      <c r="SXH65" s="94"/>
      <c r="SXI65" s="94"/>
      <c r="SXJ65" s="94"/>
      <c r="SXK65" s="94"/>
      <c r="SXL65" s="94"/>
      <c r="SXM65" s="94"/>
      <c r="SXN65" s="94"/>
      <c r="SXO65" s="94"/>
      <c r="SXP65" s="94"/>
      <c r="SXQ65" s="94"/>
      <c r="SXR65" s="94"/>
      <c r="SXS65" s="94"/>
      <c r="SXT65" s="94"/>
      <c r="SXU65" s="94"/>
      <c r="SXV65" s="94"/>
      <c r="SXW65" s="94"/>
      <c r="SXX65" s="94"/>
      <c r="SXY65" s="94"/>
      <c r="SXZ65" s="94"/>
      <c r="SYA65" s="94"/>
      <c r="SYB65" s="94"/>
      <c r="SYC65" s="94"/>
      <c r="SYD65" s="94"/>
      <c r="SYE65" s="94"/>
      <c r="SYF65" s="94"/>
      <c r="SYG65" s="94"/>
      <c r="SYH65" s="94"/>
      <c r="SYI65" s="94"/>
      <c r="SYJ65" s="94"/>
      <c r="SYK65" s="94"/>
      <c r="SYL65" s="94"/>
      <c r="SYM65" s="94"/>
      <c r="SYN65" s="94"/>
      <c r="SYO65" s="94"/>
      <c r="SYP65" s="94"/>
      <c r="SYQ65" s="94"/>
      <c r="SYR65" s="94"/>
      <c r="SYS65" s="94"/>
      <c r="SYT65" s="94"/>
      <c r="SYU65" s="94"/>
      <c r="SYV65" s="94"/>
      <c r="SYW65" s="94"/>
      <c r="SYX65" s="94"/>
      <c r="SYY65" s="94"/>
      <c r="SYZ65" s="94"/>
      <c r="SZA65" s="94"/>
      <c r="SZB65" s="94"/>
      <c r="SZC65" s="94"/>
      <c r="SZD65" s="94"/>
      <c r="SZE65" s="94"/>
      <c r="SZF65" s="94"/>
      <c r="SZG65" s="94"/>
      <c r="SZH65" s="94"/>
      <c r="SZI65" s="94"/>
      <c r="SZJ65" s="94"/>
      <c r="SZK65" s="94"/>
      <c r="SZL65" s="94"/>
      <c r="SZM65" s="94"/>
      <c r="SZN65" s="94"/>
      <c r="SZO65" s="94"/>
      <c r="SZP65" s="94"/>
      <c r="SZQ65" s="94"/>
      <c r="SZR65" s="94"/>
      <c r="SZS65" s="94"/>
      <c r="SZT65" s="94"/>
      <c r="SZU65" s="94"/>
      <c r="SZV65" s="94"/>
      <c r="SZW65" s="94"/>
      <c r="SZX65" s="94"/>
      <c r="SZY65" s="94"/>
      <c r="SZZ65" s="94"/>
      <c r="TAA65" s="94"/>
      <c r="TAB65" s="94"/>
      <c r="TAC65" s="94"/>
      <c r="TAD65" s="94"/>
      <c r="TAE65" s="94"/>
      <c r="TAF65" s="94"/>
      <c r="TAG65" s="94"/>
      <c r="TAH65" s="94"/>
      <c r="TAI65" s="94"/>
      <c r="TAJ65" s="94"/>
      <c r="TAK65" s="94"/>
      <c r="TAL65" s="94"/>
      <c r="TAM65" s="94"/>
      <c r="TAN65" s="94"/>
      <c r="TAO65" s="94"/>
      <c r="TAP65" s="94"/>
      <c r="TAQ65" s="94"/>
      <c r="TAR65" s="94"/>
      <c r="TAS65" s="94"/>
      <c r="TAT65" s="94"/>
      <c r="TAU65" s="94"/>
      <c r="TAV65" s="94"/>
      <c r="TAW65" s="94"/>
      <c r="TAX65" s="94"/>
      <c r="TAY65" s="94"/>
      <c r="TAZ65" s="94"/>
      <c r="TBA65" s="94"/>
      <c r="TBB65" s="94"/>
      <c r="TBC65" s="94"/>
      <c r="TBD65" s="94"/>
      <c r="TBE65" s="94"/>
      <c r="TBF65" s="94"/>
      <c r="TBG65" s="94"/>
      <c r="TBH65" s="94"/>
      <c r="TBI65" s="94"/>
      <c r="TBJ65" s="94"/>
      <c r="TBK65" s="94"/>
      <c r="TBL65" s="94"/>
      <c r="TBM65" s="94"/>
      <c r="TBN65" s="94"/>
      <c r="TBO65" s="94"/>
      <c r="TBP65" s="94"/>
      <c r="TBQ65" s="94"/>
      <c r="TBR65" s="94"/>
      <c r="TBS65" s="94"/>
      <c r="TBT65" s="94"/>
      <c r="TBU65" s="94"/>
      <c r="TBV65" s="94"/>
      <c r="TBW65" s="94"/>
      <c r="TBX65" s="94"/>
      <c r="TBY65" s="94"/>
      <c r="TBZ65" s="94"/>
      <c r="TCA65" s="94"/>
      <c r="TCB65" s="94"/>
      <c r="TCC65" s="94"/>
      <c r="TCD65" s="94"/>
      <c r="TCE65" s="94"/>
      <c r="TCF65" s="94"/>
      <c r="TCG65" s="94"/>
      <c r="TCH65" s="94"/>
      <c r="TCI65" s="94"/>
      <c r="TCJ65" s="94"/>
      <c r="TCK65" s="94"/>
      <c r="TCL65" s="94"/>
      <c r="TCM65" s="94"/>
      <c r="TCN65" s="94"/>
      <c r="TCO65" s="94"/>
      <c r="TCP65" s="94"/>
      <c r="TCQ65" s="94"/>
      <c r="TCR65" s="94"/>
      <c r="TCS65" s="94"/>
      <c r="TCT65" s="94"/>
      <c r="TCU65" s="94"/>
      <c r="TCV65" s="94"/>
      <c r="TCW65" s="94"/>
      <c r="TCX65" s="94"/>
      <c r="TCY65" s="94"/>
      <c r="TCZ65" s="94"/>
      <c r="TDA65" s="94"/>
      <c r="TDB65" s="94"/>
      <c r="TDC65" s="94"/>
      <c r="TDD65" s="94"/>
      <c r="TDE65" s="94"/>
      <c r="TDF65" s="94"/>
      <c r="TDG65" s="94"/>
      <c r="TDH65" s="94"/>
      <c r="TDI65" s="94"/>
      <c r="TDJ65" s="94"/>
      <c r="TDK65" s="94"/>
      <c r="TDL65" s="94"/>
      <c r="TDM65" s="94"/>
      <c r="TDN65" s="94"/>
      <c r="TDO65" s="94"/>
      <c r="TDP65" s="94"/>
      <c r="TDQ65" s="94"/>
      <c r="TDR65" s="94"/>
      <c r="TDS65" s="94"/>
      <c r="TDT65" s="94"/>
      <c r="TDU65" s="94"/>
      <c r="TDV65" s="94"/>
      <c r="TDW65" s="94"/>
      <c r="TDX65" s="94"/>
      <c r="TDY65" s="94"/>
      <c r="TDZ65" s="94"/>
      <c r="TEA65" s="94"/>
      <c r="TEB65" s="94"/>
      <c r="TEC65" s="94"/>
      <c r="TED65" s="94"/>
      <c r="TEE65" s="94"/>
      <c r="TEF65" s="94"/>
      <c r="TEG65" s="94"/>
      <c r="TEH65" s="94"/>
      <c r="TEI65" s="94"/>
      <c r="TEJ65" s="94"/>
      <c r="TEK65" s="94"/>
      <c r="TEL65" s="94"/>
      <c r="TEM65" s="94"/>
      <c r="TEN65" s="94"/>
      <c r="TEO65" s="94"/>
      <c r="TEP65" s="94"/>
      <c r="TEQ65" s="94"/>
      <c r="TER65" s="94"/>
      <c r="TES65" s="94"/>
      <c r="TET65" s="94"/>
      <c r="TEU65" s="94"/>
      <c r="TEV65" s="94"/>
      <c r="TEW65" s="94"/>
      <c r="TEX65" s="94"/>
      <c r="TEY65" s="94"/>
      <c r="TEZ65" s="94"/>
      <c r="TFA65" s="94"/>
      <c r="TFB65" s="94"/>
      <c r="TFC65" s="94"/>
      <c r="TFD65" s="94"/>
      <c r="TFE65" s="94"/>
      <c r="TFF65" s="94"/>
      <c r="TFG65" s="94"/>
      <c r="TFH65" s="94"/>
      <c r="TFI65" s="94"/>
      <c r="TFJ65" s="94"/>
      <c r="TFK65" s="94"/>
      <c r="TFL65" s="94"/>
      <c r="TFM65" s="94"/>
      <c r="TFN65" s="94"/>
      <c r="TFO65" s="94"/>
      <c r="TFP65" s="94"/>
      <c r="TFQ65" s="94"/>
      <c r="TFR65" s="94"/>
      <c r="TFS65" s="94"/>
      <c r="TFT65" s="94"/>
      <c r="TFU65" s="94"/>
      <c r="TFV65" s="94"/>
      <c r="TFW65" s="94"/>
      <c r="TFX65" s="94"/>
      <c r="TFY65" s="94"/>
      <c r="TFZ65" s="94"/>
      <c r="TGA65" s="94"/>
      <c r="TGB65" s="94"/>
      <c r="TGC65" s="94"/>
      <c r="TGD65" s="94"/>
      <c r="TGE65" s="94"/>
      <c r="TGF65" s="94"/>
      <c r="TGG65" s="94"/>
      <c r="TGH65" s="94"/>
      <c r="TGI65" s="94"/>
      <c r="TGJ65" s="94"/>
      <c r="TGK65" s="94"/>
      <c r="TGL65" s="94"/>
      <c r="TGM65" s="94"/>
      <c r="TGN65" s="94"/>
      <c r="TGO65" s="94"/>
      <c r="TGP65" s="94"/>
      <c r="TGQ65" s="94"/>
      <c r="TGR65" s="94"/>
      <c r="TGS65" s="94"/>
      <c r="TGT65" s="94"/>
      <c r="TGU65" s="94"/>
      <c r="TGV65" s="94"/>
      <c r="TGW65" s="94"/>
      <c r="TGX65" s="94"/>
      <c r="TGY65" s="94"/>
      <c r="TGZ65" s="94"/>
      <c r="THA65" s="94"/>
      <c r="THB65" s="94"/>
      <c r="THC65" s="94"/>
      <c r="THD65" s="94"/>
      <c r="THE65" s="94"/>
      <c r="THF65" s="94"/>
      <c r="THG65" s="94"/>
      <c r="THH65" s="94"/>
      <c r="THI65" s="94"/>
      <c r="THJ65" s="94"/>
      <c r="THK65" s="94"/>
      <c r="THL65" s="94"/>
      <c r="THM65" s="94"/>
      <c r="THN65" s="94"/>
      <c r="THO65" s="94"/>
      <c r="THP65" s="94"/>
      <c r="THQ65" s="94"/>
      <c r="THR65" s="94"/>
      <c r="THS65" s="94"/>
      <c r="THT65" s="94"/>
      <c r="THU65" s="94"/>
      <c r="THV65" s="94"/>
      <c r="THW65" s="94"/>
      <c r="THX65" s="94"/>
      <c r="THY65" s="94"/>
      <c r="THZ65" s="94"/>
      <c r="TIA65" s="94"/>
      <c r="TIB65" s="94"/>
      <c r="TIC65" s="94"/>
      <c r="TID65" s="94"/>
      <c r="TIE65" s="94"/>
      <c r="TIF65" s="94"/>
      <c r="TIG65" s="94"/>
      <c r="TIH65" s="94"/>
      <c r="TII65" s="94"/>
      <c r="TIJ65" s="94"/>
      <c r="TIK65" s="94"/>
      <c r="TIL65" s="94"/>
      <c r="TIM65" s="94"/>
      <c r="TIN65" s="94"/>
      <c r="TIO65" s="94"/>
      <c r="TIP65" s="94"/>
      <c r="TIQ65" s="94"/>
      <c r="TIR65" s="94"/>
      <c r="TIS65" s="94"/>
      <c r="TIT65" s="94"/>
      <c r="TIU65" s="94"/>
      <c r="TIV65" s="94"/>
      <c r="TIW65" s="94"/>
      <c r="TIX65" s="94"/>
      <c r="TIY65" s="94"/>
      <c r="TIZ65" s="94"/>
      <c r="TJA65" s="94"/>
      <c r="TJB65" s="94"/>
      <c r="TJC65" s="94"/>
      <c r="TJD65" s="94"/>
      <c r="TJE65" s="94"/>
      <c r="TJF65" s="94"/>
      <c r="TJG65" s="94"/>
      <c r="TJH65" s="94"/>
      <c r="TJI65" s="94"/>
      <c r="TJJ65" s="94"/>
      <c r="TJK65" s="94"/>
      <c r="TJL65" s="94"/>
      <c r="TJM65" s="94"/>
      <c r="TJN65" s="94"/>
      <c r="TJO65" s="94"/>
      <c r="TJP65" s="94"/>
      <c r="TJQ65" s="94"/>
      <c r="TJR65" s="94"/>
      <c r="TJS65" s="94"/>
      <c r="TJT65" s="94"/>
      <c r="TJU65" s="94"/>
      <c r="TJV65" s="94"/>
      <c r="TJW65" s="94"/>
      <c r="TJX65" s="94"/>
      <c r="TJY65" s="94"/>
      <c r="TJZ65" s="94"/>
      <c r="TKA65" s="94"/>
      <c r="TKB65" s="94"/>
      <c r="TKC65" s="94"/>
      <c r="TKD65" s="94"/>
      <c r="TKE65" s="94"/>
      <c r="TKF65" s="94"/>
      <c r="TKG65" s="94"/>
      <c r="TKH65" s="94"/>
      <c r="TKI65" s="94"/>
      <c r="TKJ65" s="94"/>
      <c r="TKK65" s="94"/>
      <c r="TKL65" s="94"/>
      <c r="TKM65" s="94"/>
      <c r="TKN65" s="94"/>
      <c r="TKO65" s="94"/>
      <c r="TKP65" s="94"/>
      <c r="TKQ65" s="94"/>
      <c r="TKR65" s="94"/>
      <c r="TKS65" s="94"/>
      <c r="TKT65" s="94"/>
      <c r="TKU65" s="94"/>
      <c r="TKV65" s="94"/>
      <c r="TKW65" s="94"/>
      <c r="TKX65" s="94"/>
      <c r="TKY65" s="94"/>
      <c r="TKZ65" s="94"/>
      <c r="TLA65" s="94"/>
      <c r="TLB65" s="94"/>
      <c r="TLC65" s="94"/>
      <c r="TLD65" s="94"/>
      <c r="TLE65" s="94"/>
      <c r="TLF65" s="94"/>
      <c r="TLG65" s="94"/>
      <c r="TLH65" s="94"/>
      <c r="TLI65" s="94"/>
      <c r="TLJ65" s="94"/>
      <c r="TLK65" s="94"/>
      <c r="TLL65" s="94"/>
      <c r="TLM65" s="94"/>
      <c r="TLN65" s="94"/>
      <c r="TLO65" s="94"/>
      <c r="TLP65" s="94"/>
      <c r="TLQ65" s="94"/>
      <c r="TLR65" s="94"/>
      <c r="TLS65" s="94"/>
      <c r="TLT65" s="94"/>
      <c r="TLU65" s="94"/>
      <c r="TLV65" s="94"/>
      <c r="TLW65" s="94"/>
      <c r="TLX65" s="94"/>
      <c r="TLY65" s="94"/>
      <c r="TLZ65" s="94"/>
      <c r="TMA65" s="94"/>
      <c r="TMB65" s="94"/>
      <c r="TMC65" s="94"/>
      <c r="TMD65" s="94"/>
      <c r="TME65" s="94"/>
      <c r="TMF65" s="94"/>
      <c r="TMG65" s="94"/>
      <c r="TMH65" s="94"/>
      <c r="TMI65" s="94"/>
      <c r="TMJ65" s="94"/>
      <c r="TMK65" s="94"/>
      <c r="TML65" s="94"/>
      <c r="TMM65" s="94"/>
      <c r="TMN65" s="94"/>
      <c r="TMO65" s="94"/>
      <c r="TMP65" s="94"/>
      <c r="TMQ65" s="94"/>
      <c r="TMR65" s="94"/>
      <c r="TMS65" s="94"/>
      <c r="TMT65" s="94"/>
      <c r="TMU65" s="94"/>
      <c r="TMV65" s="94"/>
      <c r="TMW65" s="94"/>
      <c r="TMX65" s="94"/>
      <c r="TMY65" s="94"/>
      <c r="TMZ65" s="94"/>
      <c r="TNA65" s="94"/>
      <c r="TNB65" s="94"/>
      <c r="TNC65" s="94"/>
      <c r="TND65" s="94"/>
      <c r="TNE65" s="94"/>
      <c r="TNF65" s="94"/>
      <c r="TNG65" s="94"/>
      <c r="TNH65" s="94"/>
      <c r="TNI65" s="94"/>
      <c r="TNJ65" s="94"/>
      <c r="TNK65" s="94"/>
      <c r="TNL65" s="94"/>
      <c r="TNM65" s="94"/>
      <c r="TNN65" s="94"/>
      <c r="TNO65" s="94"/>
      <c r="TNP65" s="94"/>
      <c r="TNQ65" s="94"/>
      <c r="TNR65" s="94"/>
      <c r="TNS65" s="94"/>
      <c r="TNT65" s="94"/>
      <c r="TNU65" s="94"/>
      <c r="TNV65" s="94"/>
      <c r="TNW65" s="94"/>
      <c r="TNX65" s="94"/>
      <c r="TNY65" s="94"/>
      <c r="TNZ65" s="94"/>
      <c r="TOA65" s="94"/>
      <c r="TOB65" s="94"/>
      <c r="TOC65" s="94"/>
      <c r="TOD65" s="94"/>
      <c r="TOE65" s="94"/>
      <c r="TOF65" s="94"/>
      <c r="TOG65" s="94"/>
      <c r="TOH65" s="94"/>
      <c r="TOI65" s="94"/>
      <c r="TOJ65" s="94"/>
      <c r="TOK65" s="94"/>
      <c r="TOL65" s="94"/>
      <c r="TOM65" s="94"/>
      <c r="TON65" s="94"/>
      <c r="TOO65" s="94"/>
      <c r="TOP65" s="94"/>
      <c r="TOQ65" s="94"/>
      <c r="TOR65" s="94"/>
      <c r="TOS65" s="94"/>
      <c r="TOT65" s="94"/>
      <c r="TOU65" s="94"/>
      <c r="TOV65" s="94"/>
      <c r="TOW65" s="94"/>
      <c r="TOX65" s="94"/>
      <c r="TOY65" s="94"/>
      <c r="TOZ65" s="94"/>
      <c r="TPA65" s="94"/>
      <c r="TPB65" s="94"/>
      <c r="TPC65" s="94"/>
      <c r="TPD65" s="94"/>
      <c r="TPE65" s="94"/>
      <c r="TPF65" s="94"/>
      <c r="TPG65" s="94"/>
      <c r="TPH65" s="94"/>
      <c r="TPI65" s="94"/>
      <c r="TPJ65" s="94"/>
      <c r="TPK65" s="94"/>
      <c r="TPL65" s="94"/>
      <c r="TPM65" s="94"/>
      <c r="TPN65" s="94"/>
      <c r="TPO65" s="94"/>
      <c r="TPP65" s="94"/>
      <c r="TPQ65" s="94"/>
      <c r="TPR65" s="94"/>
      <c r="TPS65" s="94"/>
      <c r="TPT65" s="94"/>
      <c r="TPU65" s="94"/>
      <c r="TPV65" s="94"/>
      <c r="TPW65" s="94"/>
      <c r="TPX65" s="94"/>
      <c r="TPY65" s="94"/>
      <c r="TPZ65" s="94"/>
      <c r="TQA65" s="94"/>
      <c r="TQB65" s="94"/>
      <c r="TQC65" s="94"/>
      <c r="TQD65" s="94"/>
      <c r="TQE65" s="94"/>
      <c r="TQF65" s="94"/>
      <c r="TQG65" s="94"/>
      <c r="TQH65" s="94"/>
      <c r="TQI65" s="94"/>
      <c r="TQJ65" s="94"/>
      <c r="TQK65" s="94"/>
      <c r="TQL65" s="94"/>
      <c r="TQM65" s="94"/>
      <c r="TQN65" s="94"/>
      <c r="TQO65" s="94"/>
      <c r="TQP65" s="94"/>
      <c r="TQQ65" s="94"/>
      <c r="TQR65" s="94"/>
      <c r="TQS65" s="94"/>
      <c r="TQT65" s="94"/>
      <c r="TQU65" s="94"/>
      <c r="TQV65" s="94"/>
      <c r="TQW65" s="94"/>
      <c r="TQX65" s="94"/>
      <c r="TQY65" s="94"/>
      <c r="TQZ65" s="94"/>
      <c r="TRA65" s="94"/>
      <c r="TRB65" s="94"/>
      <c r="TRC65" s="94"/>
      <c r="TRD65" s="94"/>
      <c r="TRE65" s="94"/>
      <c r="TRF65" s="94"/>
      <c r="TRG65" s="94"/>
      <c r="TRH65" s="94"/>
      <c r="TRI65" s="94"/>
      <c r="TRJ65" s="94"/>
      <c r="TRK65" s="94"/>
      <c r="TRL65" s="94"/>
      <c r="TRM65" s="94"/>
      <c r="TRN65" s="94"/>
      <c r="TRO65" s="94"/>
      <c r="TRP65" s="94"/>
      <c r="TRQ65" s="94"/>
      <c r="TRR65" s="94"/>
      <c r="TRS65" s="94"/>
      <c r="TRT65" s="94"/>
      <c r="TRU65" s="94"/>
      <c r="TRV65" s="94"/>
      <c r="TRW65" s="94"/>
      <c r="TRX65" s="94"/>
      <c r="TRY65" s="94"/>
      <c r="TRZ65" s="94"/>
      <c r="TSA65" s="94"/>
      <c r="TSB65" s="94"/>
      <c r="TSC65" s="94"/>
      <c r="TSD65" s="94"/>
      <c r="TSE65" s="94"/>
      <c r="TSF65" s="94"/>
      <c r="TSG65" s="94"/>
      <c r="TSH65" s="94"/>
      <c r="TSI65" s="94"/>
      <c r="TSJ65" s="94"/>
      <c r="TSK65" s="94"/>
      <c r="TSL65" s="94"/>
      <c r="TSM65" s="94"/>
      <c r="TSN65" s="94"/>
      <c r="TSO65" s="94"/>
      <c r="TSP65" s="94"/>
      <c r="TSQ65" s="94"/>
      <c r="TSR65" s="94"/>
      <c r="TSS65" s="94"/>
      <c r="TST65" s="94"/>
      <c r="TSU65" s="94"/>
      <c r="TSV65" s="94"/>
      <c r="TSW65" s="94"/>
      <c r="TSX65" s="94"/>
      <c r="TSY65" s="94"/>
      <c r="TSZ65" s="94"/>
      <c r="TTA65" s="94"/>
      <c r="TTB65" s="94"/>
      <c r="TTC65" s="94"/>
      <c r="TTD65" s="94"/>
      <c r="TTE65" s="94"/>
      <c r="TTF65" s="94"/>
      <c r="TTG65" s="94"/>
      <c r="TTH65" s="94"/>
      <c r="TTI65" s="94"/>
      <c r="TTJ65" s="94"/>
      <c r="TTK65" s="94"/>
      <c r="TTL65" s="94"/>
      <c r="TTM65" s="94"/>
      <c r="TTN65" s="94"/>
      <c r="TTO65" s="94"/>
      <c r="TTP65" s="94"/>
      <c r="TTQ65" s="94"/>
      <c r="TTR65" s="94"/>
      <c r="TTS65" s="94"/>
      <c r="TTT65" s="94"/>
      <c r="TTU65" s="94"/>
      <c r="TTV65" s="94"/>
      <c r="TTW65" s="94"/>
      <c r="TTX65" s="94"/>
      <c r="TTY65" s="94"/>
      <c r="TTZ65" s="94"/>
      <c r="TUA65" s="94"/>
      <c r="TUB65" s="94"/>
      <c r="TUC65" s="94"/>
      <c r="TUD65" s="94"/>
      <c r="TUE65" s="94"/>
      <c r="TUF65" s="94"/>
      <c r="TUG65" s="94"/>
      <c r="TUH65" s="94"/>
      <c r="TUI65" s="94"/>
      <c r="TUJ65" s="94"/>
      <c r="TUK65" s="94"/>
      <c r="TUL65" s="94"/>
      <c r="TUM65" s="94"/>
      <c r="TUN65" s="94"/>
      <c r="TUO65" s="94"/>
      <c r="TUP65" s="94"/>
      <c r="TUQ65" s="94"/>
      <c r="TUR65" s="94"/>
      <c r="TUS65" s="94"/>
      <c r="TUT65" s="94"/>
      <c r="TUU65" s="94"/>
      <c r="TUV65" s="94"/>
      <c r="TUW65" s="94"/>
      <c r="TUX65" s="94"/>
      <c r="TUY65" s="94"/>
      <c r="TUZ65" s="94"/>
      <c r="TVA65" s="94"/>
      <c r="TVB65" s="94"/>
      <c r="TVC65" s="94"/>
      <c r="TVD65" s="94"/>
      <c r="TVE65" s="94"/>
      <c r="TVF65" s="94"/>
      <c r="TVG65" s="94"/>
      <c r="TVH65" s="94"/>
      <c r="TVI65" s="94"/>
      <c r="TVJ65" s="94"/>
      <c r="TVK65" s="94"/>
      <c r="TVL65" s="94"/>
      <c r="TVM65" s="94"/>
      <c r="TVN65" s="94"/>
      <c r="TVO65" s="94"/>
      <c r="TVP65" s="94"/>
      <c r="TVQ65" s="94"/>
      <c r="TVR65" s="94"/>
      <c r="TVS65" s="94"/>
      <c r="TVT65" s="94"/>
      <c r="TVU65" s="94"/>
      <c r="TVV65" s="94"/>
      <c r="TVW65" s="94"/>
      <c r="TVX65" s="94"/>
      <c r="TVY65" s="94"/>
      <c r="TVZ65" s="94"/>
      <c r="TWA65" s="94"/>
      <c r="TWB65" s="94"/>
      <c r="TWC65" s="94"/>
      <c r="TWD65" s="94"/>
      <c r="TWE65" s="94"/>
      <c r="TWF65" s="94"/>
      <c r="TWG65" s="94"/>
      <c r="TWH65" s="94"/>
      <c r="TWI65" s="94"/>
      <c r="TWJ65" s="94"/>
      <c r="TWK65" s="94"/>
      <c r="TWL65" s="94"/>
      <c r="TWM65" s="94"/>
      <c r="TWN65" s="94"/>
      <c r="TWO65" s="94"/>
      <c r="TWP65" s="94"/>
      <c r="TWQ65" s="94"/>
      <c r="TWR65" s="94"/>
      <c r="TWS65" s="94"/>
      <c r="TWT65" s="94"/>
      <c r="TWU65" s="94"/>
      <c r="TWV65" s="94"/>
      <c r="TWW65" s="94"/>
      <c r="TWX65" s="94"/>
      <c r="TWY65" s="94"/>
      <c r="TWZ65" s="94"/>
      <c r="TXA65" s="94"/>
      <c r="TXB65" s="94"/>
      <c r="TXC65" s="94"/>
      <c r="TXD65" s="94"/>
      <c r="TXE65" s="94"/>
      <c r="TXF65" s="94"/>
      <c r="TXG65" s="94"/>
      <c r="TXH65" s="94"/>
      <c r="TXI65" s="94"/>
      <c r="TXJ65" s="94"/>
      <c r="TXK65" s="94"/>
      <c r="TXL65" s="94"/>
      <c r="TXM65" s="94"/>
      <c r="TXN65" s="94"/>
      <c r="TXO65" s="94"/>
      <c r="TXP65" s="94"/>
      <c r="TXQ65" s="94"/>
      <c r="TXR65" s="94"/>
      <c r="TXS65" s="94"/>
      <c r="TXT65" s="94"/>
      <c r="TXU65" s="94"/>
      <c r="TXV65" s="94"/>
      <c r="TXW65" s="94"/>
      <c r="TXX65" s="94"/>
      <c r="TXY65" s="94"/>
      <c r="TXZ65" s="94"/>
      <c r="TYA65" s="94"/>
      <c r="TYB65" s="94"/>
      <c r="TYC65" s="94"/>
      <c r="TYD65" s="94"/>
      <c r="TYE65" s="94"/>
      <c r="TYF65" s="94"/>
      <c r="TYG65" s="94"/>
      <c r="TYH65" s="94"/>
      <c r="TYI65" s="94"/>
      <c r="TYJ65" s="94"/>
      <c r="TYK65" s="94"/>
      <c r="TYL65" s="94"/>
      <c r="TYM65" s="94"/>
      <c r="TYN65" s="94"/>
      <c r="TYO65" s="94"/>
      <c r="TYP65" s="94"/>
      <c r="TYQ65" s="94"/>
      <c r="TYR65" s="94"/>
      <c r="TYS65" s="94"/>
      <c r="TYT65" s="94"/>
      <c r="TYU65" s="94"/>
      <c r="TYV65" s="94"/>
      <c r="TYW65" s="94"/>
      <c r="TYX65" s="94"/>
      <c r="TYY65" s="94"/>
      <c r="TYZ65" s="94"/>
      <c r="TZA65" s="94"/>
      <c r="TZB65" s="94"/>
      <c r="TZC65" s="94"/>
      <c r="TZD65" s="94"/>
      <c r="TZE65" s="94"/>
      <c r="TZF65" s="94"/>
      <c r="TZG65" s="94"/>
      <c r="TZH65" s="94"/>
      <c r="TZI65" s="94"/>
      <c r="TZJ65" s="94"/>
      <c r="TZK65" s="94"/>
      <c r="TZL65" s="94"/>
      <c r="TZM65" s="94"/>
      <c r="TZN65" s="94"/>
      <c r="TZO65" s="94"/>
      <c r="TZP65" s="94"/>
      <c r="TZQ65" s="94"/>
      <c r="TZR65" s="94"/>
      <c r="TZS65" s="94"/>
      <c r="TZT65" s="94"/>
      <c r="TZU65" s="94"/>
      <c r="TZV65" s="94"/>
      <c r="TZW65" s="94"/>
      <c r="TZX65" s="94"/>
      <c r="TZY65" s="94"/>
      <c r="TZZ65" s="94"/>
      <c r="UAA65" s="94"/>
      <c r="UAB65" s="94"/>
      <c r="UAC65" s="94"/>
      <c r="UAD65" s="94"/>
      <c r="UAE65" s="94"/>
      <c r="UAF65" s="94"/>
      <c r="UAG65" s="94"/>
      <c r="UAH65" s="94"/>
      <c r="UAI65" s="94"/>
      <c r="UAJ65" s="94"/>
      <c r="UAK65" s="94"/>
      <c r="UAL65" s="94"/>
      <c r="UAM65" s="94"/>
      <c r="UAN65" s="94"/>
      <c r="UAO65" s="94"/>
      <c r="UAP65" s="94"/>
      <c r="UAQ65" s="94"/>
      <c r="UAR65" s="94"/>
      <c r="UAS65" s="94"/>
      <c r="UAT65" s="94"/>
      <c r="UAU65" s="94"/>
      <c r="UAV65" s="94"/>
      <c r="UAW65" s="94"/>
      <c r="UAX65" s="94"/>
      <c r="UAY65" s="94"/>
      <c r="UAZ65" s="94"/>
      <c r="UBA65" s="94"/>
      <c r="UBB65" s="94"/>
      <c r="UBC65" s="94"/>
      <c r="UBD65" s="94"/>
      <c r="UBE65" s="94"/>
      <c r="UBF65" s="94"/>
      <c r="UBG65" s="94"/>
      <c r="UBH65" s="94"/>
      <c r="UBI65" s="94"/>
      <c r="UBJ65" s="94"/>
      <c r="UBK65" s="94"/>
      <c r="UBL65" s="94"/>
      <c r="UBM65" s="94"/>
      <c r="UBN65" s="94"/>
      <c r="UBO65" s="94"/>
      <c r="UBP65" s="94"/>
      <c r="UBQ65" s="94"/>
      <c r="UBR65" s="94"/>
      <c r="UBS65" s="94"/>
      <c r="UBT65" s="94"/>
      <c r="UBU65" s="94"/>
      <c r="UBV65" s="94"/>
      <c r="UBW65" s="94"/>
      <c r="UBX65" s="94"/>
      <c r="UBY65" s="94"/>
      <c r="UBZ65" s="94"/>
      <c r="UCA65" s="94"/>
      <c r="UCB65" s="94"/>
      <c r="UCC65" s="94"/>
      <c r="UCD65" s="94"/>
      <c r="UCE65" s="94"/>
      <c r="UCF65" s="94"/>
      <c r="UCG65" s="94"/>
      <c r="UCH65" s="94"/>
      <c r="UCI65" s="94"/>
      <c r="UCJ65" s="94"/>
      <c r="UCK65" s="94"/>
      <c r="UCL65" s="94"/>
      <c r="UCM65" s="94"/>
      <c r="UCN65" s="94"/>
      <c r="UCO65" s="94"/>
      <c r="UCP65" s="94"/>
      <c r="UCQ65" s="94"/>
      <c r="UCR65" s="94"/>
      <c r="UCS65" s="94"/>
      <c r="UCT65" s="94"/>
      <c r="UCU65" s="94"/>
      <c r="UCV65" s="94"/>
      <c r="UCW65" s="94"/>
      <c r="UCX65" s="94"/>
      <c r="UCY65" s="94"/>
      <c r="UCZ65" s="94"/>
      <c r="UDA65" s="94"/>
      <c r="UDB65" s="94"/>
      <c r="UDC65" s="94"/>
      <c r="UDD65" s="94"/>
      <c r="UDE65" s="94"/>
      <c r="UDF65" s="94"/>
      <c r="UDG65" s="94"/>
      <c r="UDH65" s="94"/>
      <c r="UDI65" s="94"/>
      <c r="UDJ65" s="94"/>
      <c r="UDK65" s="94"/>
      <c r="UDL65" s="94"/>
      <c r="UDM65" s="94"/>
      <c r="UDN65" s="94"/>
      <c r="UDO65" s="94"/>
      <c r="UDP65" s="94"/>
      <c r="UDQ65" s="94"/>
      <c r="UDR65" s="94"/>
      <c r="UDS65" s="94"/>
      <c r="UDT65" s="94"/>
      <c r="UDU65" s="94"/>
      <c r="UDV65" s="94"/>
      <c r="UDW65" s="94"/>
      <c r="UDX65" s="94"/>
      <c r="UDY65" s="94"/>
      <c r="UDZ65" s="94"/>
      <c r="UEA65" s="94"/>
      <c r="UEB65" s="94"/>
      <c r="UEC65" s="94"/>
      <c r="UED65" s="94"/>
      <c r="UEE65" s="94"/>
      <c r="UEF65" s="94"/>
      <c r="UEG65" s="94"/>
      <c r="UEH65" s="94"/>
      <c r="UEI65" s="94"/>
      <c r="UEJ65" s="94"/>
      <c r="UEK65" s="94"/>
      <c r="UEL65" s="94"/>
      <c r="UEM65" s="94"/>
      <c r="UEN65" s="94"/>
      <c r="UEO65" s="94"/>
      <c r="UEP65" s="94"/>
      <c r="UEQ65" s="94"/>
      <c r="UER65" s="94"/>
      <c r="UES65" s="94"/>
      <c r="UET65" s="94"/>
      <c r="UEU65" s="94"/>
      <c r="UEV65" s="94"/>
      <c r="UEW65" s="94"/>
      <c r="UEX65" s="94"/>
      <c r="UEY65" s="94"/>
      <c r="UEZ65" s="94"/>
      <c r="UFA65" s="94"/>
      <c r="UFB65" s="94"/>
      <c r="UFC65" s="94"/>
      <c r="UFD65" s="94"/>
      <c r="UFE65" s="94"/>
      <c r="UFF65" s="94"/>
      <c r="UFG65" s="94"/>
      <c r="UFH65" s="94"/>
      <c r="UFI65" s="94"/>
      <c r="UFJ65" s="94"/>
      <c r="UFK65" s="94"/>
      <c r="UFL65" s="94"/>
      <c r="UFM65" s="94"/>
      <c r="UFN65" s="94"/>
      <c r="UFO65" s="94"/>
      <c r="UFP65" s="94"/>
      <c r="UFQ65" s="94"/>
      <c r="UFR65" s="94"/>
      <c r="UFS65" s="94"/>
      <c r="UFT65" s="94"/>
      <c r="UFU65" s="94"/>
      <c r="UFV65" s="94"/>
      <c r="UFW65" s="94"/>
      <c r="UFX65" s="94"/>
      <c r="UFY65" s="94"/>
      <c r="UFZ65" s="94"/>
      <c r="UGA65" s="94"/>
      <c r="UGB65" s="94"/>
      <c r="UGC65" s="94"/>
      <c r="UGD65" s="94"/>
      <c r="UGE65" s="94"/>
      <c r="UGF65" s="94"/>
      <c r="UGG65" s="94"/>
      <c r="UGH65" s="94"/>
      <c r="UGI65" s="94"/>
      <c r="UGJ65" s="94"/>
      <c r="UGK65" s="94"/>
      <c r="UGL65" s="94"/>
      <c r="UGM65" s="94"/>
      <c r="UGN65" s="94"/>
      <c r="UGO65" s="94"/>
      <c r="UGP65" s="94"/>
      <c r="UGQ65" s="94"/>
      <c r="UGR65" s="94"/>
      <c r="UGS65" s="94"/>
      <c r="UGT65" s="94"/>
      <c r="UGU65" s="94"/>
      <c r="UGV65" s="94"/>
      <c r="UGW65" s="94"/>
      <c r="UGX65" s="94"/>
      <c r="UGY65" s="94"/>
      <c r="UGZ65" s="94"/>
      <c r="UHA65" s="94"/>
      <c r="UHB65" s="94"/>
      <c r="UHC65" s="94"/>
      <c r="UHD65" s="94"/>
      <c r="UHE65" s="94"/>
      <c r="UHF65" s="94"/>
      <c r="UHG65" s="94"/>
      <c r="UHH65" s="94"/>
      <c r="UHI65" s="94"/>
      <c r="UHJ65" s="94"/>
      <c r="UHK65" s="94"/>
      <c r="UHL65" s="94"/>
      <c r="UHM65" s="94"/>
      <c r="UHN65" s="94"/>
      <c r="UHO65" s="94"/>
      <c r="UHP65" s="94"/>
      <c r="UHQ65" s="94"/>
      <c r="UHR65" s="94"/>
      <c r="UHS65" s="94"/>
      <c r="UHT65" s="94"/>
      <c r="UHU65" s="94"/>
      <c r="UHV65" s="94"/>
      <c r="UHW65" s="94"/>
      <c r="UHX65" s="94"/>
      <c r="UHY65" s="94"/>
      <c r="UHZ65" s="94"/>
      <c r="UIA65" s="94"/>
      <c r="UIB65" s="94"/>
      <c r="UIC65" s="94"/>
      <c r="UID65" s="94"/>
      <c r="UIE65" s="94"/>
      <c r="UIF65" s="94"/>
      <c r="UIG65" s="94"/>
      <c r="UIH65" s="94"/>
      <c r="UII65" s="94"/>
      <c r="UIJ65" s="94"/>
      <c r="UIK65" s="94"/>
      <c r="UIL65" s="94"/>
      <c r="UIM65" s="94"/>
      <c r="UIN65" s="94"/>
      <c r="UIO65" s="94"/>
      <c r="UIP65" s="94"/>
      <c r="UIQ65" s="94"/>
      <c r="UIR65" s="94"/>
      <c r="UIS65" s="94"/>
      <c r="UIT65" s="94"/>
      <c r="UIU65" s="94"/>
      <c r="UIV65" s="94"/>
      <c r="UIW65" s="94"/>
      <c r="UIX65" s="94"/>
      <c r="UIY65" s="94"/>
      <c r="UIZ65" s="94"/>
      <c r="UJA65" s="94"/>
      <c r="UJB65" s="94"/>
      <c r="UJC65" s="94"/>
      <c r="UJD65" s="94"/>
      <c r="UJE65" s="94"/>
      <c r="UJF65" s="94"/>
      <c r="UJG65" s="94"/>
      <c r="UJH65" s="94"/>
      <c r="UJI65" s="94"/>
      <c r="UJJ65" s="94"/>
      <c r="UJK65" s="94"/>
      <c r="UJL65" s="94"/>
      <c r="UJM65" s="94"/>
      <c r="UJN65" s="94"/>
      <c r="UJO65" s="94"/>
      <c r="UJP65" s="94"/>
      <c r="UJQ65" s="94"/>
      <c r="UJR65" s="94"/>
      <c r="UJS65" s="94"/>
      <c r="UJT65" s="94"/>
      <c r="UJU65" s="94"/>
      <c r="UJV65" s="94"/>
      <c r="UJW65" s="94"/>
      <c r="UJX65" s="94"/>
      <c r="UJY65" s="94"/>
      <c r="UJZ65" s="94"/>
      <c r="UKA65" s="94"/>
      <c r="UKB65" s="94"/>
      <c r="UKC65" s="94"/>
      <c r="UKD65" s="94"/>
      <c r="UKE65" s="94"/>
      <c r="UKF65" s="94"/>
      <c r="UKG65" s="94"/>
      <c r="UKH65" s="94"/>
      <c r="UKI65" s="94"/>
      <c r="UKJ65" s="94"/>
      <c r="UKK65" s="94"/>
      <c r="UKL65" s="94"/>
      <c r="UKM65" s="94"/>
      <c r="UKN65" s="94"/>
      <c r="UKO65" s="94"/>
      <c r="UKP65" s="94"/>
      <c r="UKQ65" s="94"/>
      <c r="UKR65" s="94"/>
      <c r="UKS65" s="94"/>
      <c r="UKT65" s="94"/>
      <c r="UKU65" s="94"/>
      <c r="UKV65" s="94"/>
      <c r="UKW65" s="94"/>
      <c r="UKX65" s="94"/>
      <c r="UKY65" s="94"/>
      <c r="UKZ65" s="94"/>
      <c r="ULA65" s="94"/>
      <c r="ULB65" s="94"/>
      <c r="ULC65" s="94"/>
      <c r="ULD65" s="94"/>
      <c r="ULE65" s="94"/>
      <c r="ULF65" s="94"/>
      <c r="ULG65" s="94"/>
      <c r="ULH65" s="94"/>
      <c r="ULI65" s="94"/>
      <c r="ULJ65" s="94"/>
      <c r="ULK65" s="94"/>
      <c r="ULL65" s="94"/>
      <c r="ULM65" s="94"/>
      <c r="ULN65" s="94"/>
      <c r="ULO65" s="94"/>
      <c r="ULP65" s="94"/>
      <c r="ULQ65" s="94"/>
      <c r="ULR65" s="94"/>
      <c r="ULS65" s="94"/>
      <c r="ULT65" s="94"/>
      <c r="ULU65" s="94"/>
      <c r="ULV65" s="94"/>
      <c r="ULW65" s="94"/>
      <c r="ULX65" s="94"/>
      <c r="ULY65" s="94"/>
      <c r="ULZ65" s="94"/>
      <c r="UMA65" s="94"/>
      <c r="UMB65" s="94"/>
      <c r="UMC65" s="94"/>
      <c r="UMD65" s="94"/>
      <c r="UME65" s="94"/>
      <c r="UMF65" s="94"/>
      <c r="UMG65" s="94"/>
      <c r="UMH65" s="94"/>
      <c r="UMI65" s="94"/>
      <c r="UMJ65" s="94"/>
      <c r="UMK65" s="94"/>
      <c r="UML65" s="94"/>
      <c r="UMM65" s="94"/>
      <c r="UMN65" s="94"/>
      <c r="UMO65" s="94"/>
      <c r="UMP65" s="94"/>
      <c r="UMQ65" s="94"/>
      <c r="UMR65" s="94"/>
      <c r="UMS65" s="94"/>
      <c r="UMT65" s="94"/>
      <c r="UMU65" s="94"/>
      <c r="UMV65" s="94"/>
      <c r="UMW65" s="94"/>
      <c r="UMX65" s="94"/>
      <c r="UMY65" s="94"/>
      <c r="UMZ65" s="94"/>
      <c r="UNA65" s="94"/>
      <c r="UNB65" s="94"/>
      <c r="UNC65" s="94"/>
      <c r="UND65" s="94"/>
      <c r="UNE65" s="94"/>
      <c r="UNF65" s="94"/>
      <c r="UNG65" s="94"/>
      <c r="UNH65" s="94"/>
      <c r="UNI65" s="94"/>
      <c r="UNJ65" s="94"/>
      <c r="UNK65" s="94"/>
      <c r="UNL65" s="94"/>
      <c r="UNM65" s="94"/>
      <c r="UNN65" s="94"/>
      <c r="UNO65" s="94"/>
      <c r="UNP65" s="94"/>
      <c r="UNQ65" s="94"/>
      <c r="UNR65" s="94"/>
      <c r="UNS65" s="94"/>
      <c r="UNT65" s="94"/>
      <c r="UNU65" s="94"/>
      <c r="UNV65" s="94"/>
      <c r="UNW65" s="94"/>
      <c r="UNX65" s="94"/>
      <c r="UNY65" s="94"/>
      <c r="UNZ65" s="94"/>
      <c r="UOA65" s="94"/>
      <c r="UOB65" s="94"/>
      <c r="UOC65" s="94"/>
      <c r="UOD65" s="94"/>
      <c r="UOE65" s="94"/>
      <c r="UOF65" s="94"/>
      <c r="UOG65" s="94"/>
      <c r="UOH65" s="94"/>
      <c r="UOI65" s="94"/>
      <c r="UOJ65" s="94"/>
      <c r="UOK65" s="94"/>
      <c r="UOL65" s="94"/>
      <c r="UOM65" s="94"/>
      <c r="UON65" s="94"/>
      <c r="UOO65" s="94"/>
      <c r="UOP65" s="94"/>
      <c r="UOQ65" s="94"/>
      <c r="UOR65" s="94"/>
      <c r="UOS65" s="94"/>
      <c r="UOT65" s="94"/>
      <c r="UOU65" s="94"/>
      <c r="UOV65" s="94"/>
      <c r="UOW65" s="94"/>
      <c r="UOX65" s="94"/>
      <c r="UOY65" s="94"/>
      <c r="UOZ65" s="94"/>
      <c r="UPA65" s="94"/>
      <c r="UPB65" s="94"/>
      <c r="UPC65" s="94"/>
      <c r="UPD65" s="94"/>
      <c r="UPE65" s="94"/>
      <c r="UPF65" s="94"/>
      <c r="UPG65" s="94"/>
      <c r="UPH65" s="94"/>
      <c r="UPI65" s="94"/>
      <c r="UPJ65" s="94"/>
      <c r="UPK65" s="94"/>
      <c r="UPL65" s="94"/>
      <c r="UPM65" s="94"/>
      <c r="UPN65" s="94"/>
      <c r="UPO65" s="94"/>
      <c r="UPP65" s="94"/>
      <c r="UPQ65" s="94"/>
      <c r="UPR65" s="94"/>
      <c r="UPS65" s="94"/>
      <c r="UPT65" s="94"/>
      <c r="UPU65" s="94"/>
      <c r="UPV65" s="94"/>
      <c r="UPW65" s="94"/>
      <c r="UPX65" s="94"/>
      <c r="UPY65" s="94"/>
      <c r="UPZ65" s="94"/>
      <c r="UQA65" s="94"/>
      <c r="UQB65" s="94"/>
      <c r="UQC65" s="94"/>
      <c r="UQD65" s="94"/>
      <c r="UQE65" s="94"/>
      <c r="UQF65" s="94"/>
      <c r="UQG65" s="94"/>
      <c r="UQH65" s="94"/>
      <c r="UQI65" s="94"/>
      <c r="UQJ65" s="94"/>
      <c r="UQK65" s="94"/>
      <c r="UQL65" s="94"/>
      <c r="UQM65" s="94"/>
      <c r="UQN65" s="94"/>
      <c r="UQO65" s="94"/>
      <c r="UQP65" s="94"/>
      <c r="UQQ65" s="94"/>
      <c r="UQR65" s="94"/>
      <c r="UQS65" s="94"/>
      <c r="UQT65" s="94"/>
      <c r="UQU65" s="94"/>
      <c r="UQV65" s="94"/>
      <c r="UQW65" s="94"/>
      <c r="UQX65" s="94"/>
      <c r="UQY65" s="94"/>
      <c r="UQZ65" s="94"/>
      <c r="URA65" s="94"/>
      <c r="URB65" s="94"/>
      <c r="URC65" s="94"/>
      <c r="URD65" s="94"/>
      <c r="URE65" s="94"/>
      <c r="URF65" s="94"/>
      <c r="URG65" s="94"/>
      <c r="URH65" s="94"/>
      <c r="URI65" s="94"/>
      <c r="URJ65" s="94"/>
      <c r="URK65" s="94"/>
      <c r="URL65" s="94"/>
      <c r="URM65" s="94"/>
      <c r="URN65" s="94"/>
      <c r="URO65" s="94"/>
      <c r="URP65" s="94"/>
      <c r="URQ65" s="94"/>
      <c r="URR65" s="94"/>
      <c r="URS65" s="94"/>
      <c r="URT65" s="94"/>
      <c r="URU65" s="94"/>
      <c r="URV65" s="94"/>
      <c r="URW65" s="94"/>
      <c r="URX65" s="94"/>
      <c r="URY65" s="94"/>
      <c r="URZ65" s="94"/>
      <c r="USA65" s="94"/>
      <c r="USB65" s="94"/>
      <c r="USC65" s="94"/>
      <c r="USD65" s="94"/>
      <c r="USE65" s="94"/>
      <c r="USF65" s="94"/>
      <c r="USG65" s="94"/>
      <c r="USH65" s="94"/>
      <c r="USI65" s="94"/>
      <c r="USJ65" s="94"/>
      <c r="USK65" s="94"/>
      <c r="USL65" s="94"/>
      <c r="USM65" s="94"/>
      <c r="USN65" s="94"/>
      <c r="USO65" s="94"/>
      <c r="USP65" s="94"/>
      <c r="USQ65" s="94"/>
      <c r="USR65" s="94"/>
      <c r="USS65" s="94"/>
      <c r="UST65" s="94"/>
      <c r="USU65" s="94"/>
      <c r="USV65" s="94"/>
      <c r="USW65" s="94"/>
      <c r="USX65" s="94"/>
      <c r="USY65" s="94"/>
      <c r="USZ65" s="94"/>
      <c r="UTA65" s="94"/>
      <c r="UTB65" s="94"/>
      <c r="UTC65" s="94"/>
      <c r="UTD65" s="94"/>
      <c r="UTE65" s="94"/>
      <c r="UTF65" s="94"/>
      <c r="UTG65" s="94"/>
      <c r="UTH65" s="94"/>
      <c r="UTI65" s="94"/>
      <c r="UTJ65" s="94"/>
      <c r="UTK65" s="94"/>
      <c r="UTL65" s="94"/>
      <c r="UTM65" s="94"/>
      <c r="UTN65" s="94"/>
      <c r="UTO65" s="94"/>
      <c r="UTP65" s="94"/>
      <c r="UTQ65" s="94"/>
      <c r="UTR65" s="94"/>
      <c r="UTS65" s="94"/>
      <c r="UTT65" s="94"/>
      <c r="UTU65" s="94"/>
      <c r="UTV65" s="94"/>
      <c r="UTW65" s="94"/>
      <c r="UTX65" s="94"/>
      <c r="UTY65" s="94"/>
      <c r="UTZ65" s="94"/>
      <c r="UUA65" s="94"/>
      <c r="UUB65" s="94"/>
      <c r="UUC65" s="94"/>
      <c r="UUD65" s="94"/>
      <c r="UUE65" s="94"/>
      <c r="UUF65" s="94"/>
      <c r="UUG65" s="94"/>
      <c r="UUH65" s="94"/>
      <c r="UUI65" s="94"/>
      <c r="UUJ65" s="94"/>
      <c r="UUK65" s="94"/>
      <c r="UUL65" s="94"/>
      <c r="UUM65" s="94"/>
      <c r="UUN65" s="94"/>
      <c r="UUO65" s="94"/>
      <c r="UUP65" s="94"/>
      <c r="UUQ65" s="94"/>
      <c r="UUR65" s="94"/>
      <c r="UUS65" s="94"/>
      <c r="UUT65" s="94"/>
      <c r="UUU65" s="94"/>
      <c r="UUV65" s="94"/>
      <c r="UUW65" s="94"/>
      <c r="UUX65" s="94"/>
      <c r="UUY65" s="94"/>
      <c r="UUZ65" s="94"/>
      <c r="UVA65" s="94"/>
      <c r="UVB65" s="94"/>
      <c r="UVC65" s="94"/>
      <c r="UVD65" s="94"/>
      <c r="UVE65" s="94"/>
      <c r="UVF65" s="94"/>
      <c r="UVG65" s="94"/>
      <c r="UVH65" s="94"/>
      <c r="UVI65" s="94"/>
      <c r="UVJ65" s="94"/>
      <c r="UVK65" s="94"/>
      <c r="UVL65" s="94"/>
      <c r="UVM65" s="94"/>
      <c r="UVN65" s="94"/>
      <c r="UVO65" s="94"/>
      <c r="UVP65" s="94"/>
      <c r="UVQ65" s="94"/>
      <c r="UVR65" s="94"/>
      <c r="UVS65" s="94"/>
      <c r="UVT65" s="94"/>
      <c r="UVU65" s="94"/>
      <c r="UVV65" s="94"/>
      <c r="UVW65" s="94"/>
      <c r="UVX65" s="94"/>
      <c r="UVY65" s="94"/>
      <c r="UVZ65" s="94"/>
      <c r="UWA65" s="94"/>
      <c r="UWB65" s="94"/>
      <c r="UWC65" s="94"/>
      <c r="UWD65" s="94"/>
      <c r="UWE65" s="94"/>
      <c r="UWF65" s="94"/>
      <c r="UWG65" s="94"/>
      <c r="UWH65" s="94"/>
      <c r="UWI65" s="94"/>
      <c r="UWJ65" s="94"/>
      <c r="UWK65" s="94"/>
      <c r="UWL65" s="94"/>
      <c r="UWM65" s="94"/>
      <c r="UWN65" s="94"/>
      <c r="UWO65" s="94"/>
      <c r="UWP65" s="94"/>
      <c r="UWQ65" s="94"/>
      <c r="UWR65" s="94"/>
      <c r="UWS65" s="94"/>
      <c r="UWT65" s="94"/>
      <c r="UWU65" s="94"/>
      <c r="UWV65" s="94"/>
      <c r="UWW65" s="94"/>
      <c r="UWX65" s="94"/>
      <c r="UWY65" s="94"/>
      <c r="UWZ65" s="94"/>
      <c r="UXA65" s="94"/>
      <c r="UXB65" s="94"/>
      <c r="UXC65" s="94"/>
      <c r="UXD65" s="94"/>
      <c r="UXE65" s="94"/>
      <c r="UXF65" s="94"/>
      <c r="UXG65" s="94"/>
      <c r="UXH65" s="94"/>
      <c r="UXI65" s="94"/>
      <c r="UXJ65" s="94"/>
      <c r="UXK65" s="94"/>
      <c r="UXL65" s="94"/>
      <c r="UXM65" s="94"/>
      <c r="UXN65" s="94"/>
      <c r="UXO65" s="94"/>
      <c r="UXP65" s="94"/>
      <c r="UXQ65" s="94"/>
      <c r="UXR65" s="94"/>
      <c r="UXS65" s="94"/>
      <c r="UXT65" s="94"/>
      <c r="UXU65" s="94"/>
      <c r="UXV65" s="94"/>
      <c r="UXW65" s="94"/>
      <c r="UXX65" s="94"/>
      <c r="UXY65" s="94"/>
      <c r="UXZ65" s="94"/>
      <c r="UYA65" s="94"/>
      <c r="UYB65" s="94"/>
      <c r="UYC65" s="94"/>
      <c r="UYD65" s="94"/>
      <c r="UYE65" s="94"/>
      <c r="UYF65" s="94"/>
      <c r="UYG65" s="94"/>
      <c r="UYH65" s="94"/>
      <c r="UYI65" s="94"/>
      <c r="UYJ65" s="94"/>
      <c r="UYK65" s="94"/>
      <c r="UYL65" s="94"/>
      <c r="UYM65" s="94"/>
      <c r="UYN65" s="94"/>
      <c r="UYO65" s="94"/>
      <c r="UYP65" s="94"/>
      <c r="UYQ65" s="94"/>
      <c r="UYR65" s="94"/>
      <c r="UYS65" s="94"/>
      <c r="UYT65" s="94"/>
      <c r="UYU65" s="94"/>
      <c r="UYV65" s="94"/>
      <c r="UYW65" s="94"/>
      <c r="UYX65" s="94"/>
      <c r="UYY65" s="94"/>
      <c r="UYZ65" s="94"/>
      <c r="UZA65" s="94"/>
      <c r="UZB65" s="94"/>
      <c r="UZC65" s="94"/>
      <c r="UZD65" s="94"/>
      <c r="UZE65" s="94"/>
      <c r="UZF65" s="94"/>
      <c r="UZG65" s="94"/>
      <c r="UZH65" s="94"/>
      <c r="UZI65" s="94"/>
      <c r="UZJ65" s="94"/>
      <c r="UZK65" s="94"/>
      <c r="UZL65" s="94"/>
      <c r="UZM65" s="94"/>
      <c r="UZN65" s="94"/>
      <c r="UZO65" s="94"/>
      <c r="UZP65" s="94"/>
      <c r="UZQ65" s="94"/>
      <c r="UZR65" s="94"/>
      <c r="UZS65" s="94"/>
      <c r="UZT65" s="94"/>
      <c r="UZU65" s="94"/>
      <c r="UZV65" s="94"/>
      <c r="UZW65" s="94"/>
      <c r="UZX65" s="94"/>
      <c r="UZY65" s="94"/>
      <c r="UZZ65" s="94"/>
      <c r="VAA65" s="94"/>
      <c r="VAB65" s="94"/>
      <c r="VAC65" s="94"/>
      <c r="VAD65" s="94"/>
      <c r="VAE65" s="94"/>
      <c r="VAF65" s="94"/>
      <c r="VAG65" s="94"/>
      <c r="VAH65" s="94"/>
      <c r="VAI65" s="94"/>
      <c r="VAJ65" s="94"/>
      <c r="VAK65" s="94"/>
      <c r="VAL65" s="94"/>
      <c r="VAM65" s="94"/>
      <c r="VAN65" s="94"/>
      <c r="VAO65" s="94"/>
      <c r="VAP65" s="94"/>
      <c r="VAQ65" s="94"/>
      <c r="VAR65" s="94"/>
      <c r="VAS65" s="94"/>
      <c r="VAT65" s="94"/>
      <c r="VAU65" s="94"/>
      <c r="VAV65" s="94"/>
      <c r="VAW65" s="94"/>
      <c r="VAX65" s="94"/>
      <c r="VAY65" s="94"/>
      <c r="VAZ65" s="94"/>
      <c r="VBA65" s="94"/>
      <c r="VBB65" s="94"/>
      <c r="VBC65" s="94"/>
      <c r="VBD65" s="94"/>
      <c r="VBE65" s="94"/>
      <c r="VBF65" s="94"/>
      <c r="VBG65" s="94"/>
      <c r="VBH65" s="94"/>
      <c r="VBI65" s="94"/>
      <c r="VBJ65" s="94"/>
      <c r="VBK65" s="94"/>
      <c r="VBL65" s="94"/>
      <c r="VBM65" s="94"/>
      <c r="VBN65" s="94"/>
      <c r="VBO65" s="94"/>
      <c r="VBP65" s="94"/>
      <c r="VBQ65" s="94"/>
      <c r="VBR65" s="94"/>
      <c r="VBS65" s="94"/>
      <c r="VBT65" s="94"/>
      <c r="VBU65" s="94"/>
      <c r="VBV65" s="94"/>
      <c r="VBW65" s="94"/>
      <c r="VBX65" s="94"/>
      <c r="VBY65" s="94"/>
      <c r="VBZ65" s="94"/>
      <c r="VCA65" s="94"/>
      <c r="VCB65" s="94"/>
      <c r="VCC65" s="94"/>
      <c r="VCD65" s="94"/>
      <c r="VCE65" s="94"/>
      <c r="VCF65" s="94"/>
      <c r="VCG65" s="94"/>
      <c r="VCH65" s="94"/>
      <c r="VCI65" s="94"/>
      <c r="VCJ65" s="94"/>
      <c r="VCK65" s="94"/>
      <c r="VCL65" s="94"/>
      <c r="VCM65" s="94"/>
      <c r="VCN65" s="94"/>
      <c r="VCO65" s="94"/>
      <c r="VCP65" s="94"/>
      <c r="VCQ65" s="94"/>
      <c r="VCR65" s="94"/>
      <c r="VCS65" s="94"/>
      <c r="VCT65" s="94"/>
      <c r="VCU65" s="94"/>
      <c r="VCV65" s="94"/>
      <c r="VCW65" s="94"/>
      <c r="VCX65" s="94"/>
      <c r="VCY65" s="94"/>
      <c r="VCZ65" s="94"/>
      <c r="VDA65" s="94"/>
      <c r="VDB65" s="94"/>
      <c r="VDC65" s="94"/>
      <c r="VDD65" s="94"/>
      <c r="VDE65" s="94"/>
      <c r="VDF65" s="94"/>
      <c r="VDG65" s="94"/>
      <c r="VDH65" s="94"/>
      <c r="VDI65" s="94"/>
      <c r="VDJ65" s="94"/>
      <c r="VDK65" s="94"/>
      <c r="VDL65" s="94"/>
      <c r="VDM65" s="94"/>
      <c r="VDN65" s="94"/>
      <c r="VDO65" s="94"/>
      <c r="VDP65" s="94"/>
      <c r="VDQ65" s="94"/>
      <c r="VDR65" s="94"/>
      <c r="VDS65" s="94"/>
      <c r="VDT65" s="94"/>
      <c r="VDU65" s="94"/>
      <c r="VDV65" s="94"/>
      <c r="VDW65" s="94"/>
      <c r="VDX65" s="94"/>
      <c r="VDY65" s="94"/>
      <c r="VDZ65" s="94"/>
      <c r="VEA65" s="94"/>
      <c r="VEB65" s="94"/>
      <c r="VEC65" s="94"/>
      <c r="VED65" s="94"/>
      <c r="VEE65" s="94"/>
      <c r="VEF65" s="94"/>
      <c r="VEG65" s="94"/>
      <c r="VEH65" s="94"/>
      <c r="VEI65" s="94"/>
      <c r="VEJ65" s="94"/>
      <c r="VEK65" s="94"/>
      <c r="VEL65" s="94"/>
      <c r="VEM65" s="94"/>
      <c r="VEN65" s="94"/>
      <c r="VEO65" s="94"/>
      <c r="VEP65" s="94"/>
      <c r="VEQ65" s="94"/>
      <c r="VER65" s="94"/>
      <c r="VES65" s="94"/>
      <c r="VET65" s="94"/>
      <c r="VEU65" s="94"/>
      <c r="VEV65" s="94"/>
      <c r="VEW65" s="94"/>
      <c r="VEX65" s="94"/>
      <c r="VEY65" s="94"/>
      <c r="VEZ65" s="94"/>
      <c r="VFA65" s="94"/>
      <c r="VFB65" s="94"/>
      <c r="VFC65" s="94"/>
      <c r="VFD65" s="94"/>
      <c r="VFE65" s="94"/>
      <c r="VFF65" s="94"/>
      <c r="VFG65" s="94"/>
      <c r="VFH65" s="94"/>
      <c r="VFI65" s="94"/>
      <c r="VFJ65" s="94"/>
      <c r="VFK65" s="94"/>
      <c r="VFL65" s="94"/>
      <c r="VFM65" s="94"/>
      <c r="VFN65" s="94"/>
      <c r="VFO65" s="94"/>
      <c r="VFP65" s="94"/>
      <c r="VFQ65" s="94"/>
      <c r="VFR65" s="94"/>
      <c r="VFS65" s="94"/>
      <c r="VFT65" s="94"/>
      <c r="VFU65" s="94"/>
      <c r="VFV65" s="94"/>
      <c r="VFW65" s="94"/>
      <c r="VFX65" s="94"/>
      <c r="VFY65" s="94"/>
      <c r="VFZ65" s="94"/>
      <c r="VGA65" s="94"/>
      <c r="VGB65" s="94"/>
      <c r="VGC65" s="94"/>
      <c r="VGD65" s="94"/>
      <c r="VGE65" s="94"/>
      <c r="VGF65" s="94"/>
      <c r="VGG65" s="94"/>
      <c r="VGH65" s="94"/>
      <c r="VGI65" s="94"/>
      <c r="VGJ65" s="94"/>
      <c r="VGK65" s="94"/>
      <c r="VGL65" s="94"/>
      <c r="VGM65" s="94"/>
      <c r="VGN65" s="94"/>
      <c r="VGO65" s="94"/>
      <c r="VGP65" s="94"/>
      <c r="VGQ65" s="94"/>
      <c r="VGR65" s="94"/>
      <c r="VGS65" s="94"/>
      <c r="VGT65" s="94"/>
      <c r="VGU65" s="94"/>
      <c r="VGV65" s="94"/>
      <c r="VGW65" s="94"/>
      <c r="VGX65" s="94"/>
      <c r="VGY65" s="94"/>
      <c r="VGZ65" s="94"/>
      <c r="VHA65" s="94"/>
      <c r="VHB65" s="94"/>
      <c r="VHC65" s="94"/>
      <c r="VHD65" s="94"/>
      <c r="VHE65" s="94"/>
      <c r="VHF65" s="94"/>
      <c r="VHG65" s="94"/>
      <c r="VHH65" s="94"/>
      <c r="VHI65" s="94"/>
      <c r="VHJ65" s="94"/>
      <c r="VHK65" s="94"/>
      <c r="VHL65" s="94"/>
      <c r="VHM65" s="94"/>
      <c r="VHN65" s="94"/>
      <c r="VHO65" s="94"/>
      <c r="VHP65" s="94"/>
      <c r="VHQ65" s="94"/>
      <c r="VHR65" s="94"/>
      <c r="VHS65" s="94"/>
      <c r="VHT65" s="94"/>
      <c r="VHU65" s="94"/>
      <c r="VHV65" s="94"/>
      <c r="VHW65" s="94"/>
      <c r="VHX65" s="94"/>
      <c r="VHY65" s="94"/>
      <c r="VHZ65" s="94"/>
      <c r="VIA65" s="94"/>
      <c r="VIB65" s="94"/>
      <c r="VIC65" s="94"/>
      <c r="VID65" s="94"/>
      <c r="VIE65" s="94"/>
      <c r="VIF65" s="94"/>
      <c r="VIG65" s="94"/>
      <c r="VIH65" s="94"/>
      <c r="VII65" s="94"/>
      <c r="VIJ65" s="94"/>
      <c r="VIK65" s="94"/>
      <c r="VIL65" s="94"/>
      <c r="VIM65" s="94"/>
      <c r="VIN65" s="94"/>
      <c r="VIO65" s="94"/>
      <c r="VIP65" s="94"/>
      <c r="VIQ65" s="94"/>
      <c r="VIR65" s="94"/>
      <c r="VIS65" s="94"/>
      <c r="VIT65" s="94"/>
      <c r="VIU65" s="94"/>
      <c r="VIV65" s="94"/>
      <c r="VIW65" s="94"/>
      <c r="VIX65" s="94"/>
      <c r="VIY65" s="94"/>
      <c r="VIZ65" s="94"/>
      <c r="VJA65" s="94"/>
      <c r="VJB65" s="94"/>
      <c r="VJC65" s="94"/>
      <c r="VJD65" s="94"/>
      <c r="VJE65" s="94"/>
      <c r="VJF65" s="94"/>
      <c r="VJG65" s="94"/>
      <c r="VJH65" s="94"/>
      <c r="VJI65" s="94"/>
      <c r="VJJ65" s="94"/>
      <c r="VJK65" s="94"/>
      <c r="VJL65" s="94"/>
      <c r="VJM65" s="94"/>
      <c r="VJN65" s="94"/>
      <c r="VJO65" s="94"/>
      <c r="VJP65" s="94"/>
      <c r="VJQ65" s="94"/>
      <c r="VJR65" s="94"/>
      <c r="VJS65" s="94"/>
      <c r="VJT65" s="94"/>
      <c r="VJU65" s="94"/>
      <c r="VJV65" s="94"/>
      <c r="VJW65" s="94"/>
      <c r="VJX65" s="94"/>
      <c r="VJY65" s="94"/>
      <c r="VJZ65" s="94"/>
      <c r="VKA65" s="94"/>
      <c r="VKB65" s="94"/>
      <c r="VKC65" s="94"/>
      <c r="VKD65" s="94"/>
      <c r="VKE65" s="94"/>
      <c r="VKF65" s="94"/>
      <c r="VKG65" s="94"/>
      <c r="VKH65" s="94"/>
      <c r="VKI65" s="94"/>
      <c r="VKJ65" s="94"/>
      <c r="VKK65" s="94"/>
      <c r="VKL65" s="94"/>
      <c r="VKM65" s="94"/>
      <c r="VKN65" s="94"/>
      <c r="VKO65" s="94"/>
      <c r="VKP65" s="94"/>
      <c r="VKQ65" s="94"/>
      <c r="VKR65" s="94"/>
      <c r="VKS65" s="94"/>
      <c r="VKT65" s="94"/>
      <c r="VKU65" s="94"/>
      <c r="VKV65" s="94"/>
      <c r="VKW65" s="94"/>
      <c r="VKX65" s="94"/>
      <c r="VKY65" s="94"/>
      <c r="VKZ65" s="94"/>
      <c r="VLA65" s="94"/>
      <c r="VLB65" s="94"/>
      <c r="VLC65" s="94"/>
      <c r="VLD65" s="94"/>
      <c r="VLE65" s="94"/>
      <c r="VLF65" s="94"/>
      <c r="VLG65" s="94"/>
      <c r="VLH65" s="94"/>
      <c r="VLI65" s="94"/>
      <c r="VLJ65" s="94"/>
      <c r="VLK65" s="94"/>
      <c r="VLL65" s="94"/>
      <c r="VLM65" s="94"/>
      <c r="VLN65" s="94"/>
      <c r="VLO65" s="94"/>
      <c r="VLP65" s="94"/>
      <c r="VLQ65" s="94"/>
      <c r="VLR65" s="94"/>
      <c r="VLS65" s="94"/>
      <c r="VLT65" s="94"/>
      <c r="VLU65" s="94"/>
      <c r="VLV65" s="94"/>
      <c r="VLW65" s="94"/>
      <c r="VLX65" s="94"/>
      <c r="VLY65" s="94"/>
      <c r="VLZ65" s="94"/>
      <c r="VMA65" s="94"/>
      <c r="VMB65" s="94"/>
      <c r="VMC65" s="94"/>
      <c r="VMD65" s="94"/>
      <c r="VME65" s="94"/>
      <c r="VMF65" s="94"/>
      <c r="VMG65" s="94"/>
      <c r="VMH65" s="94"/>
      <c r="VMI65" s="94"/>
      <c r="VMJ65" s="94"/>
      <c r="VMK65" s="94"/>
      <c r="VML65" s="94"/>
      <c r="VMM65" s="94"/>
      <c r="VMN65" s="94"/>
      <c r="VMO65" s="94"/>
      <c r="VMP65" s="94"/>
      <c r="VMQ65" s="94"/>
      <c r="VMR65" s="94"/>
      <c r="VMS65" s="94"/>
      <c r="VMT65" s="94"/>
      <c r="VMU65" s="94"/>
      <c r="VMV65" s="94"/>
      <c r="VMW65" s="94"/>
      <c r="VMX65" s="94"/>
      <c r="VMY65" s="94"/>
      <c r="VMZ65" s="94"/>
      <c r="VNA65" s="94"/>
      <c r="VNB65" s="94"/>
      <c r="VNC65" s="94"/>
      <c r="VND65" s="94"/>
      <c r="VNE65" s="94"/>
      <c r="VNF65" s="94"/>
      <c r="VNG65" s="94"/>
      <c r="VNH65" s="94"/>
      <c r="VNI65" s="94"/>
      <c r="VNJ65" s="94"/>
      <c r="VNK65" s="94"/>
      <c r="VNL65" s="94"/>
      <c r="VNM65" s="94"/>
      <c r="VNN65" s="94"/>
      <c r="VNO65" s="94"/>
      <c r="VNP65" s="94"/>
      <c r="VNQ65" s="94"/>
      <c r="VNR65" s="94"/>
      <c r="VNS65" s="94"/>
      <c r="VNT65" s="94"/>
      <c r="VNU65" s="94"/>
      <c r="VNV65" s="94"/>
      <c r="VNW65" s="94"/>
      <c r="VNX65" s="94"/>
      <c r="VNY65" s="94"/>
      <c r="VNZ65" s="94"/>
      <c r="VOA65" s="94"/>
      <c r="VOB65" s="94"/>
      <c r="VOC65" s="94"/>
      <c r="VOD65" s="94"/>
      <c r="VOE65" s="94"/>
      <c r="VOF65" s="94"/>
      <c r="VOG65" s="94"/>
      <c r="VOH65" s="94"/>
      <c r="VOI65" s="94"/>
      <c r="VOJ65" s="94"/>
      <c r="VOK65" s="94"/>
      <c r="VOL65" s="94"/>
      <c r="VOM65" s="94"/>
      <c r="VON65" s="94"/>
      <c r="VOO65" s="94"/>
      <c r="VOP65" s="94"/>
      <c r="VOQ65" s="94"/>
      <c r="VOR65" s="94"/>
      <c r="VOS65" s="94"/>
      <c r="VOT65" s="94"/>
      <c r="VOU65" s="94"/>
      <c r="VOV65" s="94"/>
      <c r="VOW65" s="94"/>
      <c r="VOX65" s="94"/>
      <c r="VOY65" s="94"/>
      <c r="VOZ65" s="94"/>
      <c r="VPA65" s="94"/>
      <c r="VPB65" s="94"/>
      <c r="VPC65" s="94"/>
      <c r="VPD65" s="94"/>
      <c r="VPE65" s="94"/>
      <c r="VPF65" s="94"/>
      <c r="VPG65" s="94"/>
      <c r="VPH65" s="94"/>
      <c r="VPI65" s="94"/>
      <c r="VPJ65" s="94"/>
      <c r="VPK65" s="94"/>
      <c r="VPL65" s="94"/>
      <c r="VPM65" s="94"/>
      <c r="VPN65" s="94"/>
      <c r="VPO65" s="94"/>
      <c r="VPP65" s="94"/>
      <c r="VPQ65" s="94"/>
      <c r="VPR65" s="94"/>
      <c r="VPS65" s="94"/>
      <c r="VPT65" s="94"/>
      <c r="VPU65" s="94"/>
      <c r="VPV65" s="94"/>
      <c r="VPW65" s="94"/>
      <c r="VPX65" s="94"/>
      <c r="VPY65" s="94"/>
      <c r="VPZ65" s="94"/>
      <c r="VQA65" s="94"/>
      <c r="VQB65" s="94"/>
      <c r="VQC65" s="94"/>
      <c r="VQD65" s="94"/>
      <c r="VQE65" s="94"/>
      <c r="VQF65" s="94"/>
      <c r="VQG65" s="94"/>
      <c r="VQH65" s="94"/>
      <c r="VQI65" s="94"/>
      <c r="VQJ65" s="94"/>
      <c r="VQK65" s="94"/>
      <c r="VQL65" s="94"/>
      <c r="VQM65" s="94"/>
      <c r="VQN65" s="94"/>
      <c r="VQO65" s="94"/>
      <c r="VQP65" s="94"/>
      <c r="VQQ65" s="94"/>
      <c r="VQR65" s="94"/>
      <c r="VQS65" s="94"/>
      <c r="VQT65" s="94"/>
      <c r="VQU65" s="94"/>
      <c r="VQV65" s="94"/>
      <c r="VQW65" s="94"/>
      <c r="VQX65" s="94"/>
      <c r="VQY65" s="94"/>
      <c r="VQZ65" s="94"/>
      <c r="VRA65" s="94"/>
      <c r="VRB65" s="94"/>
      <c r="VRC65" s="94"/>
      <c r="VRD65" s="94"/>
      <c r="VRE65" s="94"/>
      <c r="VRF65" s="94"/>
      <c r="VRG65" s="94"/>
      <c r="VRH65" s="94"/>
      <c r="VRI65" s="94"/>
      <c r="VRJ65" s="94"/>
      <c r="VRK65" s="94"/>
      <c r="VRL65" s="94"/>
      <c r="VRM65" s="94"/>
      <c r="VRN65" s="94"/>
      <c r="VRO65" s="94"/>
      <c r="VRP65" s="94"/>
      <c r="VRQ65" s="94"/>
      <c r="VRR65" s="94"/>
      <c r="VRS65" s="94"/>
      <c r="VRT65" s="94"/>
      <c r="VRU65" s="94"/>
      <c r="VRV65" s="94"/>
      <c r="VRW65" s="94"/>
      <c r="VRX65" s="94"/>
      <c r="VRY65" s="94"/>
      <c r="VRZ65" s="94"/>
      <c r="VSA65" s="94"/>
      <c r="VSB65" s="94"/>
      <c r="VSC65" s="94"/>
      <c r="VSD65" s="94"/>
      <c r="VSE65" s="94"/>
      <c r="VSF65" s="94"/>
      <c r="VSG65" s="94"/>
      <c r="VSH65" s="94"/>
      <c r="VSI65" s="94"/>
      <c r="VSJ65" s="94"/>
      <c r="VSK65" s="94"/>
      <c r="VSL65" s="94"/>
      <c r="VSM65" s="94"/>
      <c r="VSN65" s="94"/>
      <c r="VSO65" s="94"/>
      <c r="VSP65" s="94"/>
      <c r="VSQ65" s="94"/>
      <c r="VSR65" s="94"/>
      <c r="VSS65" s="94"/>
      <c r="VST65" s="94"/>
      <c r="VSU65" s="94"/>
      <c r="VSV65" s="94"/>
      <c r="VSW65" s="94"/>
      <c r="VSX65" s="94"/>
      <c r="VSY65" s="94"/>
      <c r="VSZ65" s="94"/>
      <c r="VTA65" s="94"/>
      <c r="VTB65" s="94"/>
      <c r="VTC65" s="94"/>
      <c r="VTD65" s="94"/>
      <c r="VTE65" s="94"/>
      <c r="VTF65" s="94"/>
      <c r="VTG65" s="94"/>
      <c r="VTH65" s="94"/>
      <c r="VTI65" s="94"/>
      <c r="VTJ65" s="94"/>
      <c r="VTK65" s="94"/>
      <c r="VTL65" s="94"/>
      <c r="VTM65" s="94"/>
      <c r="VTN65" s="94"/>
      <c r="VTO65" s="94"/>
      <c r="VTP65" s="94"/>
      <c r="VTQ65" s="94"/>
      <c r="VTR65" s="94"/>
      <c r="VTS65" s="94"/>
      <c r="VTT65" s="94"/>
      <c r="VTU65" s="94"/>
      <c r="VTV65" s="94"/>
      <c r="VTW65" s="94"/>
      <c r="VTX65" s="94"/>
      <c r="VTY65" s="94"/>
      <c r="VTZ65" s="94"/>
      <c r="VUA65" s="94"/>
      <c r="VUB65" s="94"/>
      <c r="VUC65" s="94"/>
      <c r="VUD65" s="94"/>
      <c r="VUE65" s="94"/>
      <c r="VUF65" s="94"/>
      <c r="VUG65" s="94"/>
      <c r="VUH65" s="94"/>
      <c r="VUI65" s="94"/>
      <c r="VUJ65" s="94"/>
      <c r="VUK65" s="94"/>
      <c r="VUL65" s="94"/>
      <c r="VUM65" s="94"/>
      <c r="VUN65" s="94"/>
      <c r="VUO65" s="94"/>
      <c r="VUP65" s="94"/>
      <c r="VUQ65" s="94"/>
      <c r="VUR65" s="94"/>
      <c r="VUS65" s="94"/>
      <c r="VUT65" s="94"/>
      <c r="VUU65" s="94"/>
      <c r="VUV65" s="94"/>
      <c r="VUW65" s="94"/>
      <c r="VUX65" s="94"/>
      <c r="VUY65" s="94"/>
      <c r="VUZ65" s="94"/>
      <c r="VVA65" s="94"/>
      <c r="VVB65" s="94"/>
      <c r="VVC65" s="94"/>
      <c r="VVD65" s="94"/>
      <c r="VVE65" s="94"/>
      <c r="VVF65" s="94"/>
      <c r="VVG65" s="94"/>
      <c r="VVH65" s="94"/>
      <c r="VVI65" s="94"/>
      <c r="VVJ65" s="94"/>
      <c r="VVK65" s="94"/>
      <c r="VVL65" s="94"/>
      <c r="VVM65" s="94"/>
      <c r="VVN65" s="94"/>
      <c r="VVO65" s="94"/>
      <c r="VVP65" s="94"/>
      <c r="VVQ65" s="94"/>
      <c r="VVR65" s="94"/>
      <c r="VVS65" s="94"/>
      <c r="VVT65" s="94"/>
      <c r="VVU65" s="94"/>
      <c r="VVV65" s="94"/>
      <c r="VVW65" s="94"/>
      <c r="VVX65" s="94"/>
      <c r="VVY65" s="94"/>
      <c r="VVZ65" s="94"/>
      <c r="VWA65" s="94"/>
      <c r="VWB65" s="94"/>
      <c r="VWC65" s="94"/>
      <c r="VWD65" s="94"/>
      <c r="VWE65" s="94"/>
      <c r="VWF65" s="94"/>
      <c r="VWG65" s="94"/>
      <c r="VWH65" s="94"/>
      <c r="VWI65" s="94"/>
      <c r="VWJ65" s="94"/>
      <c r="VWK65" s="94"/>
      <c r="VWL65" s="94"/>
      <c r="VWM65" s="94"/>
      <c r="VWN65" s="94"/>
      <c r="VWO65" s="94"/>
      <c r="VWP65" s="94"/>
      <c r="VWQ65" s="94"/>
      <c r="VWR65" s="94"/>
      <c r="VWS65" s="94"/>
      <c r="VWT65" s="94"/>
      <c r="VWU65" s="94"/>
      <c r="VWV65" s="94"/>
      <c r="VWW65" s="94"/>
      <c r="VWX65" s="94"/>
      <c r="VWY65" s="94"/>
      <c r="VWZ65" s="94"/>
      <c r="VXA65" s="94"/>
      <c r="VXB65" s="94"/>
      <c r="VXC65" s="94"/>
      <c r="VXD65" s="94"/>
      <c r="VXE65" s="94"/>
      <c r="VXF65" s="94"/>
      <c r="VXG65" s="94"/>
      <c r="VXH65" s="94"/>
      <c r="VXI65" s="94"/>
      <c r="VXJ65" s="94"/>
      <c r="VXK65" s="94"/>
      <c r="VXL65" s="94"/>
      <c r="VXM65" s="94"/>
      <c r="VXN65" s="94"/>
      <c r="VXO65" s="94"/>
      <c r="VXP65" s="94"/>
      <c r="VXQ65" s="94"/>
      <c r="VXR65" s="94"/>
      <c r="VXS65" s="94"/>
      <c r="VXT65" s="94"/>
      <c r="VXU65" s="94"/>
      <c r="VXV65" s="94"/>
      <c r="VXW65" s="94"/>
      <c r="VXX65" s="94"/>
      <c r="VXY65" s="94"/>
      <c r="VXZ65" s="94"/>
      <c r="VYA65" s="94"/>
      <c r="VYB65" s="94"/>
      <c r="VYC65" s="94"/>
      <c r="VYD65" s="94"/>
      <c r="VYE65" s="94"/>
      <c r="VYF65" s="94"/>
      <c r="VYG65" s="94"/>
      <c r="VYH65" s="94"/>
      <c r="VYI65" s="94"/>
      <c r="VYJ65" s="94"/>
      <c r="VYK65" s="94"/>
      <c r="VYL65" s="94"/>
      <c r="VYM65" s="94"/>
      <c r="VYN65" s="94"/>
      <c r="VYO65" s="94"/>
      <c r="VYP65" s="94"/>
      <c r="VYQ65" s="94"/>
      <c r="VYR65" s="94"/>
      <c r="VYS65" s="94"/>
      <c r="VYT65" s="94"/>
      <c r="VYU65" s="94"/>
      <c r="VYV65" s="94"/>
      <c r="VYW65" s="94"/>
      <c r="VYX65" s="94"/>
      <c r="VYY65" s="94"/>
      <c r="VYZ65" s="94"/>
      <c r="VZA65" s="94"/>
      <c r="VZB65" s="94"/>
      <c r="VZC65" s="94"/>
      <c r="VZD65" s="94"/>
      <c r="VZE65" s="94"/>
      <c r="VZF65" s="94"/>
      <c r="VZG65" s="94"/>
      <c r="VZH65" s="94"/>
      <c r="VZI65" s="94"/>
      <c r="VZJ65" s="94"/>
      <c r="VZK65" s="94"/>
      <c r="VZL65" s="94"/>
      <c r="VZM65" s="94"/>
      <c r="VZN65" s="94"/>
      <c r="VZO65" s="94"/>
      <c r="VZP65" s="94"/>
      <c r="VZQ65" s="94"/>
      <c r="VZR65" s="94"/>
      <c r="VZS65" s="94"/>
      <c r="VZT65" s="94"/>
      <c r="VZU65" s="94"/>
      <c r="VZV65" s="94"/>
      <c r="VZW65" s="94"/>
      <c r="VZX65" s="94"/>
      <c r="VZY65" s="94"/>
      <c r="VZZ65" s="94"/>
      <c r="WAA65" s="94"/>
      <c r="WAB65" s="94"/>
      <c r="WAC65" s="94"/>
      <c r="WAD65" s="94"/>
      <c r="WAE65" s="94"/>
      <c r="WAF65" s="94"/>
      <c r="WAG65" s="94"/>
      <c r="WAH65" s="94"/>
      <c r="WAI65" s="94"/>
      <c r="WAJ65" s="94"/>
      <c r="WAK65" s="94"/>
      <c r="WAL65" s="94"/>
      <c r="WAM65" s="94"/>
      <c r="WAN65" s="94"/>
      <c r="WAO65" s="94"/>
      <c r="WAP65" s="94"/>
      <c r="WAQ65" s="94"/>
      <c r="WAR65" s="94"/>
      <c r="WAS65" s="94"/>
      <c r="WAT65" s="94"/>
      <c r="WAU65" s="94"/>
      <c r="WAV65" s="94"/>
      <c r="WAW65" s="94"/>
      <c r="WAX65" s="94"/>
      <c r="WAY65" s="94"/>
      <c r="WAZ65" s="94"/>
      <c r="WBA65" s="94"/>
      <c r="WBB65" s="94"/>
      <c r="WBC65" s="94"/>
      <c r="WBD65" s="94"/>
      <c r="WBE65" s="94"/>
      <c r="WBF65" s="94"/>
      <c r="WBG65" s="94"/>
      <c r="WBH65" s="94"/>
      <c r="WBI65" s="94"/>
      <c r="WBJ65" s="94"/>
      <c r="WBK65" s="94"/>
      <c r="WBL65" s="94"/>
      <c r="WBM65" s="94"/>
      <c r="WBN65" s="94"/>
      <c r="WBO65" s="94"/>
      <c r="WBP65" s="94"/>
      <c r="WBQ65" s="94"/>
      <c r="WBR65" s="94"/>
      <c r="WBS65" s="94"/>
      <c r="WBT65" s="94"/>
      <c r="WBU65" s="94"/>
      <c r="WBV65" s="94"/>
      <c r="WBW65" s="94"/>
      <c r="WBX65" s="94"/>
      <c r="WBY65" s="94"/>
      <c r="WBZ65" s="94"/>
      <c r="WCA65" s="94"/>
      <c r="WCB65" s="94"/>
      <c r="WCC65" s="94"/>
      <c r="WCD65" s="94"/>
      <c r="WCE65" s="94"/>
      <c r="WCF65" s="94"/>
      <c r="WCG65" s="94"/>
      <c r="WCH65" s="94"/>
      <c r="WCI65" s="94"/>
      <c r="WCJ65" s="94"/>
      <c r="WCK65" s="94"/>
      <c r="WCL65" s="94"/>
      <c r="WCM65" s="94"/>
      <c r="WCN65" s="94"/>
      <c r="WCO65" s="94"/>
      <c r="WCP65" s="94"/>
      <c r="WCQ65" s="94"/>
      <c r="WCR65" s="94"/>
      <c r="WCS65" s="94"/>
      <c r="WCT65" s="94"/>
      <c r="WCU65" s="94"/>
      <c r="WCV65" s="94"/>
      <c r="WCW65" s="94"/>
      <c r="WCX65" s="94"/>
      <c r="WCY65" s="94"/>
      <c r="WCZ65" s="94"/>
      <c r="WDA65" s="94"/>
      <c r="WDB65" s="94"/>
      <c r="WDC65" s="94"/>
      <c r="WDD65" s="94"/>
      <c r="WDE65" s="94"/>
      <c r="WDF65" s="94"/>
      <c r="WDG65" s="94"/>
      <c r="WDH65" s="94"/>
      <c r="WDI65" s="94"/>
      <c r="WDJ65" s="94"/>
      <c r="WDK65" s="94"/>
      <c r="WDL65" s="94"/>
      <c r="WDM65" s="94"/>
      <c r="WDN65" s="94"/>
      <c r="WDO65" s="94"/>
      <c r="WDP65" s="94"/>
      <c r="WDQ65" s="94"/>
      <c r="WDR65" s="94"/>
      <c r="WDS65" s="94"/>
      <c r="WDT65" s="94"/>
      <c r="WDU65" s="94"/>
      <c r="WDV65" s="94"/>
      <c r="WDW65" s="94"/>
      <c r="WDX65" s="94"/>
      <c r="WDY65" s="94"/>
      <c r="WDZ65" s="94"/>
      <c r="WEA65" s="94"/>
      <c r="WEB65" s="94"/>
      <c r="WEC65" s="94"/>
      <c r="WED65" s="94"/>
      <c r="WEE65" s="94"/>
      <c r="WEF65" s="94"/>
      <c r="WEG65" s="94"/>
      <c r="WEH65" s="94"/>
      <c r="WEI65" s="94"/>
      <c r="WEJ65" s="94"/>
      <c r="WEK65" s="94"/>
      <c r="WEL65" s="94"/>
      <c r="WEM65" s="94"/>
      <c r="WEN65" s="94"/>
      <c r="WEO65" s="94"/>
      <c r="WEP65" s="94"/>
      <c r="WEQ65" s="94"/>
      <c r="WER65" s="94"/>
      <c r="WES65" s="94"/>
      <c r="WET65" s="94"/>
      <c r="WEU65" s="94"/>
      <c r="WEV65" s="94"/>
      <c r="WEW65" s="94"/>
      <c r="WEX65" s="94"/>
      <c r="WEY65" s="94"/>
      <c r="WEZ65" s="94"/>
      <c r="WFA65" s="94"/>
      <c r="WFB65" s="94"/>
      <c r="WFC65" s="94"/>
      <c r="WFD65" s="94"/>
      <c r="WFE65" s="94"/>
      <c r="WFF65" s="94"/>
      <c r="WFG65" s="94"/>
      <c r="WFH65" s="94"/>
      <c r="WFI65" s="94"/>
      <c r="WFJ65" s="94"/>
      <c r="WFK65" s="94"/>
      <c r="WFL65" s="94"/>
      <c r="WFM65" s="94"/>
      <c r="WFN65" s="94"/>
      <c r="WFO65" s="94"/>
      <c r="WFP65" s="94"/>
      <c r="WFQ65" s="94"/>
      <c r="WFR65" s="94"/>
      <c r="WFS65" s="94"/>
      <c r="WFT65" s="94"/>
      <c r="WFU65" s="94"/>
      <c r="WFV65" s="94"/>
      <c r="WFW65" s="94"/>
      <c r="WFX65" s="94"/>
      <c r="WFY65" s="94"/>
      <c r="WFZ65" s="94"/>
      <c r="WGA65" s="94"/>
      <c r="WGB65" s="94"/>
      <c r="WGC65" s="94"/>
      <c r="WGD65" s="94"/>
      <c r="WGE65" s="94"/>
      <c r="WGF65" s="94"/>
      <c r="WGG65" s="94"/>
      <c r="WGH65" s="94"/>
      <c r="WGI65" s="94"/>
      <c r="WGJ65" s="94"/>
      <c r="WGK65" s="94"/>
      <c r="WGL65" s="94"/>
      <c r="WGM65" s="94"/>
      <c r="WGN65" s="94"/>
      <c r="WGO65" s="94"/>
      <c r="WGP65" s="94"/>
      <c r="WGQ65" s="94"/>
      <c r="WGR65" s="94"/>
      <c r="WGS65" s="94"/>
      <c r="WGT65" s="94"/>
      <c r="WGU65" s="94"/>
      <c r="WGV65" s="94"/>
      <c r="WGW65" s="94"/>
      <c r="WGX65" s="94"/>
      <c r="WGY65" s="94"/>
      <c r="WGZ65" s="94"/>
      <c r="WHA65" s="94"/>
      <c r="WHB65" s="94"/>
      <c r="WHC65" s="94"/>
      <c r="WHD65" s="94"/>
      <c r="WHE65" s="94"/>
      <c r="WHF65" s="94"/>
      <c r="WHG65" s="94"/>
      <c r="WHH65" s="94"/>
      <c r="WHI65" s="94"/>
      <c r="WHJ65" s="94"/>
      <c r="WHK65" s="94"/>
      <c r="WHL65" s="94"/>
      <c r="WHM65" s="94"/>
      <c r="WHN65" s="94"/>
      <c r="WHO65" s="94"/>
      <c r="WHP65" s="94"/>
      <c r="WHQ65" s="94"/>
      <c r="WHR65" s="94"/>
      <c r="WHS65" s="94"/>
      <c r="WHT65" s="94"/>
      <c r="WHU65" s="94"/>
      <c r="WHV65" s="94"/>
      <c r="WHW65" s="94"/>
      <c r="WHX65" s="94"/>
      <c r="WHY65" s="94"/>
      <c r="WHZ65" s="94"/>
      <c r="WIA65" s="94"/>
      <c r="WIB65" s="94"/>
      <c r="WIC65" s="94"/>
      <c r="WID65" s="94"/>
      <c r="WIE65" s="94"/>
      <c r="WIF65" s="94"/>
      <c r="WIG65" s="94"/>
      <c r="WIH65" s="94"/>
      <c r="WII65" s="94"/>
      <c r="WIJ65" s="94"/>
      <c r="WIK65" s="94"/>
      <c r="WIL65" s="94"/>
      <c r="WIM65" s="94"/>
      <c r="WIN65" s="94"/>
      <c r="WIO65" s="94"/>
      <c r="WIP65" s="94"/>
      <c r="WIQ65" s="94"/>
      <c r="WIR65" s="94"/>
      <c r="WIS65" s="94"/>
      <c r="WIT65" s="94"/>
      <c r="WIU65" s="94"/>
      <c r="WIV65" s="94"/>
      <c r="WIW65" s="94"/>
      <c r="WIX65" s="94"/>
      <c r="WIY65" s="94"/>
      <c r="WIZ65" s="94"/>
      <c r="WJA65" s="94"/>
      <c r="WJB65" s="94"/>
      <c r="WJC65" s="94"/>
      <c r="WJD65" s="94"/>
      <c r="WJE65" s="94"/>
      <c r="WJF65" s="94"/>
      <c r="WJG65" s="94"/>
      <c r="WJH65" s="94"/>
      <c r="WJI65" s="94"/>
      <c r="WJJ65" s="94"/>
      <c r="WJK65" s="94"/>
      <c r="WJL65" s="94"/>
      <c r="WJM65" s="94"/>
      <c r="WJN65" s="94"/>
      <c r="WJO65" s="94"/>
      <c r="WJP65" s="94"/>
      <c r="WJQ65" s="94"/>
      <c r="WJR65" s="94"/>
      <c r="WJS65" s="94"/>
      <c r="WJT65" s="94"/>
      <c r="WJU65" s="94"/>
      <c r="WJV65" s="94"/>
      <c r="WJW65" s="94"/>
      <c r="WJX65" s="94"/>
      <c r="WJY65" s="94"/>
      <c r="WJZ65" s="94"/>
      <c r="WKA65" s="94"/>
      <c r="WKB65" s="94"/>
      <c r="WKC65" s="94"/>
      <c r="WKD65" s="94"/>
      <c r="WKE65" s="94"/>
      <c r="WKF65" s="94"/>
      <c r="WKG65" s="94"/>
      <c r="WKH65" s="94"/>
      <c r="WKI65" s="94"/>
      <c r="WKJ65" s="94"/>
      <c r="WKK65" s="94"/>
      <c r="WKL65" s="94"/>
      <c r="WKM65" s="94"/>
      <c r="WKN65" s="94"/>
      <c r="WKO65" s="94"/>
      <c r="WKP65" s="94"/>
      <c r="WKQ65" s="94"/>
      <c r="WKR65" s="94"/>
      <c r="WKS65" s="94"/>
      <c r="WKT65" s="94"/>
      <c r="WKU65" s="94"/>
      <c r="WKV65" s="94"/>
      <c r="WKW65" s="94"/>
      <c r="WKX65" s="94"/>
      <c r="WKY65" s="94"/>
      <c r="WKZ65" s="94"/>
      <c r="WLA65" s="94"/>
      <c r="WLB65" s="94"/>
      <c r="WLC65" s="94"/>
      <c r="WLD65" s="94"/>
      <c r="WLE65" s="94"/>
      <c r="WLF65" s="94"/>
      <c r="WLG65" s="94"/>
      <c r="WLH65" s="94"/>
      <c r="WLI65" s="94"/>
      <c r="WLJ65" s="94"/>
      <c r="WLK65" s="94"/>
      <c r="WLL65" s="94"/>
      <c r="WLM65" s="94"/>
      <c r="WLN65" s="94"/>
      <c r="WLO65" s="94"/>
      <c r="WLP65" s="94"/>
      <c r="WLQ65" s="94"/>
      <c r="WLR65" s="94"/>
      <c r="WLS65" s="94"/>
      <c r="WLT65" s="94"/>
      <c r="WLU65" s="94"/>
      <c r="WLV65" s="94"/>
      <c r="WLW65" s="94"/>
      <c r="WLX65" s="94"/>
      <c r="WLY65" s="94"/>
      <c r="WLZ65" s="94"/>
      <c r="WMA65" s="94"/>
      <c r="WMB65" s="94"/>
      <c r="WMC65" s="94"/>
      <c r="WMD65" s="94"/>
      <c r="WME65" s="94"/>
      <c r="WMF65" s="94"/>
      <c r="WMG65" s="94"/>
      <c r="WMH65" s="94"/>
      <c r="WMI65" s="94"/>
      <c r="WMJ65" s="94"/>
      <c r="WMK65" s="94"/>
      <c r="WML65" s="94"/>
      <c r="WMM65" s="94"/>
      <c r="WMN65" s="94"/>
      <c r="WMO65" s="94"/>
      <c r="WMP65" s="94"/>
      <c r="WMQ65" s="94"/>
      <c r="WMR65" s="94"/>
      <c r="WMS65" s="94"/>
      <c r="WMT65" s="94"/>
      <c r="WMU65" s="94"/>
      <c r="WMV65" s="94"/>
      <c r="WMW65" s="94"/>
      <c r="WMX65" s="94"/>
      <c r="WMY65" s="94"/>
      <c r="WMZ65" s="94"/>
      <c r="WNA65" s="94"/>
      <c r="WNB65" s="94"/>
      <c r="WNC65" s="94"/>
      <c r="WND65" s="94"/>
      <c r="WNE65" s="94"/>
      <c r="WNF65" s="94"/>
      <c r="WNG65" s="94"/>
      <c r="WNH65" s="94"/>
      <c r="WNI65" s="94"/>
      <c r="WNJ65" s="94"/>
      <c r="WNK65" s="94"/>
      <c r="WNL65" s="94"/>
      <c r="WNM65" s="94"/>
      <c r="WNN65" s="94"/>
      <c r="WNO65" s="94"/>
      <c r="WNP65" s="94"/>
      <c r="WNQ65" s="94"/>
      <c r="WNR65" s="94"/>
      <c r="WNS65" s="94"/>
      <c r="WNT65" s="94"/>
      <c r="WNU65" s="94"/>
      <c r="WNV65" s="94"/>
      <c r="WNW65" s="94"/>
      <c r="WNX65" s="94"/>
      <c r="WNY65" s="94"/>
      <c r="WNZ65" s="94"/>
      <c r="WOA65" s="94"/>
      <c r="WOB65" s="94"/>
      <c r="WOC65" s="94"/>
      <c r="WOD65" s="94"/>
      <c r="WOE65" s="94"/>
      <c r="WOF65" s="94"/>
      <c r="WOG65" s="94"/>
      <c r="WOH65" s="94"/>
      <c r="WOI65" s="94"/>
      <c r="WOJ65" s="94"/>
      <c r="WOK65" s="94"/>
      <c r="WOL65" s="94"/>
      <c r="WOM65" s="94"/>
      <c r="WON65" s="94"/>
      <c r="WOO65" s="94"/>
      <c r="WOP65" s="94"/>
      <c r="WOQ65" s="94"/>
      <c r="WOR65" s="94"/>
      <c r="WOS65" s="94"/>
      <c r="WOT65" s="94"/>
      <c r="WOU65" s="94"/>
      <c r="WOV65" s="94"/>
      <c r="WOW65" s="94"/>
      <c r="WOX65" s="94"/>
      <c r="WOY65" s="94"/>
      <c r="WOZ65" s="94"/>
      <c r="WPA65" s="94"/>
      <c r="WPB65" s="94"/>
      <c r="WPC65" s="94"/>
      <c r="WPD65" s="94"/>
      <c r="WPE65" s="94"/>
      <c r="WPF65" s="94"/>
      <c r="WPG65" s="94"/>
      <c r="WPH65" s="94"/>
      <c r="WPI65" s="94"/>
      <c r="WPJ65" s="94"/>
      <c r="WPK65" s="94"/>
      <c r="WPL65" s="94"/>
      <c r="WPM65" s="94"/>
      <c r="WPN65" s="94"/>
      <c r="WPO65" s="94"/>
      <c r="WPP65" s="94"/>
      <c r="WPQ65" s="94"/>
      <c r="WPR65" s="94"/>
      <c r="WPS65" s="94"/>
      <c r="WPT65" s="94"/>
      <c r="WPU65" s="94"/>
      <c r="WPV65" s="94"/>
      <c r="WPW65" s="94"/>
      <c r="WPX65" s="94"/>
      <c r="WPY65" s="94"/>
      <c r="WPZ65" s="94"/>
      <c r="WQA65" s="94"/>
      <c r="WQB65" s="94"/>
      <c r="WQC65" s="94"/>
      <c r="WQD65" s="94"/>
      <c r="WQE65" s="94"/>
      <c r="WQF65" s="94"/>
      <c r="WQG65" s="94"/>
      <c r="WQH65" s="94"/>
      <c r="WQI65" s="94"/>
      <c r="WQJ65" s="94"/>
      <c r="WQK65" s="94"/>
      <c r="WQL65" s="94"/>
      <c r="WQM65" s="94"/>
      <c r="WQN65" s="94"/>
      <c r="WQO65" s="94"/>
      <c r="WQP65" s="94"/>
      <c r="WQQ65" s="94"/>
      <c r="WQR65" s="94"/>
      <c r="WQS65" s="94"/>
      <c r="WQT65" s="94"/>
      <c r="WQU65" s="94"/>
      <c r="WQV65" s="94"/>
      <c r="WQW65" s="94"/>
      <c r="WQX65" s="94"/>
      <c r="WQY65" s="94"/>
      <c r="WQZ65" s="94"/>
      <c r="WRA65" s="94"/>
      <c r="WRB65" s="94"/>
      <c r="WRC65" s="94"/>
      <c r="WRD65" s="94"/>
      <c r="WRE65" s="94"/>
      <c r="WRF65" s="94"/>
      <c r="WRG65" s="94"/>
      <c r="WRH65" s="94"/>
      <c r="WRI65" s="94"/>
      <c r="WRJ65" s="94"/>
      <c r="WRK65" s="94"/>
      <c r="WRL65" s="94"/>
      <c r="WRM65" s="94"/>
      <c r="WRN65" s="94"/>
      <c r="WRO65" s="94"/>
      <c r="WRP65" s="94"/>
      <c r="WRQ65" s="94"/>
      <c r="WRR65" s="94"/>
      <c r="WRS65" s="94"/>
      <c r="WRT65" s="94"/>
      <c r="WRU65" s="94"/>
      <c r="WRV65" s="94"/>
      <c r="WRW65" s="94"/>
      <c r="WRX65" s="94"/>
      <c r="WRY65" s="94"/>
      <c r="WRZ65" s="94"/>
      <c r="WSA65" s="94"/>
      <c r="WSB65" s="94"/>
      <c r="WSC65" s="94"/>
      <c r="WSD65" s="94"/>
      <c r="WSE65" s="94"/>
      <c r="WSF65" s="94"/>
      <c r="WSG65" s="94"/>
      <c r="WSH65" s="94"/>
      <c r="WSI65" s="94"/>
      <c r="WSJ65" s="94"/>
      <c r="WSK65" s="94"/>
      <c r="WSL65" s="94"/>
      <c r="WSM65" s="94"/>
      <c r="WSN65" s="94"/>
      <c r="WSO65" s="94"/>
      <c r="WSP65" s="94"/>
      <c r="WSQ65" s="94"/>
      <c r="WSR65" s="94"/>
      <c r="WSS65" s="94"/>
      <c r="WST65" s="94"/>
      <c r="WSU65" s="94"/>
      <c r="WSV65" s="94"/>
      <c r="WSW65" s="94"/>
      <c r="WSX65" s="94"/>
      <c r="WSY65" s="94"/>
      <c r="WSZ65" s="94"/>
      <c r="WTA65" s="94"/>
      <c r="WTB65" s="94"/>
      <c r="WTC65" s="94"/>
      <c r="WTD65" s="94"/>
      <c r="WTE65" s="94"/>
      <c r="WTF65" s="94"/>
      <c r="WTG65" s="94"/>
      <c r="WTH65" s="94"/>
      <c r="WTI65" s="94"/>
      <c r="WTJ65" s="94"/>
      <c r="WTK65" s="94"/>
      <c r="WTL65" s="94"/>
      <c r="WTM65" s="94"/>
      <c r="WTN65" s="94"/>
      <c r="WTO65" s="94"/>
      <c r="WTP65" s="94"/>
      <c r="WTQ65" s="94"/>
      <c r="WTR65" s="94"/>
      <c r="WTS65" s="94"/>
      <c r="WTT65" s="94"/>
      <c r="WTU65" s="94"/>
      <c r="WTV65" s="94"/>
      <c r="WTW65" s="94"/>
      <c r="WTX65" s="94"/>
      <c r="WTY65" s="94"/>
      <c r="WTZ65" s="94"/>
      <c r="WUA65" s="94"/>
      <c r="WUB65" s="94"/>
      <c r="WUC65" s="94"/>
      <c r="WUD65" s="94"/>
      <c r="WUE65" s="94"/>
      <c r="WUF65" s="94"/>
      <c r="WUG65" s="94"/>
      <c r="WUH65" s="94"/>
      <c r="WUI65" s="94"/>
      <c r="WUJ65" s="94"/>
      <c r="WUK65" s="94"/>
      <c r="WUL65" s="94"/>
      <c r="WUM65" s="94"/>
      <c r="WUN65" s="94"/>
      <c r="WUO65" s="94"/>
      <c r="WUP65" s="94"/>
      <c r="WUQ65" s="94"/>
      <c r="WUR65" s="94"/>
      <c r="WUS65" s="94"/>
      <c r="WUT65" s="94"/>
      <c r="WUU65" s="94"/>
      <c r="WUV65" s="94"/>
      <c r="WUW65" s="94"/>
      <c r="WUX65" s="94"/>
      <c r="WUY65" s="94"/>
      <c r="WUZ65" s="94"/>
      <c r="WVA65" s="94"/>
      <c r="WVB65" s="94"/>
      <c r="WVC65" s="94"/>
      <c r="WVD65" s="94"/>
      <c r="WVE65" s="94"/>
      <c r="WVF65" s="94"/>
      <c r="WVG65" s="94"/>
      <c r="WVH65" s="94"/>
      <c r="WVI65" s="94"/>
      <c r="WVJ65" s="94"/>
      <c r="WVK65" s="94"/>
      <c r="WVL65" s="94"/>
      <c r="WVM65" s="94"/>
      <c r="WVN65" s="94"/>
      <c r="WVO65" s="94"/>
      <c r="WVP65" s="94"/>
      <c r="WVQ65" s="94"/>
      <c r="WVR65" s="94"/>
      <c r="WVS65" s="94"/>
      <c r="WVT65" s="94"/>
      <c r="WVU65" s="94"/>
      <c r="WVV65" s="94"/>
      <c r="WVW65" s="94"/>
      <c r="WVX65" s="94"/>
      <c r="WVY65" s="94"/>
      <c r="WVZ65" s="94"/>
      <c r="WWA65" s="94"/>
      <c r="WWB65" s="94"/>
      <c r="WWC65" s="94"/>
      <c r="WWD65" s="94"/>
      <c r="WWE65" s="94"/>
      <c r="WWF65" s="94"/>
      <c r="WWG65" s="94"/>
      <c r="WWH65" s="94"/>
      <c r="WWI65" s="94"/>
      <c r="WWJ65" s="94"/>
      <c r="WWK65" s="94"/>
      <c r="WWL65" s="94"/>
      <c r="WWM65" s="94"/>
      <c r="WWN65" s="94"/>
      <c r="WWO65" s="94"/>
      <c r="WWP65" s="94"/>
      <c r="WWQ65" s="94"/>
      <c r="WWR65" s="94"/>
      <c r="WWS65" s="94"/>
      <c r="WWT65" s="94"/>
      <c r="WWU65" s="94"/>
      <c r="WWV65" s="94"/>
      <c r="WWW65" s="94"/>
      <c r="WWX65" s="94"/>
      <c r="WWY65" s="94"/>
      <c r="WWZ65" s="94"/>
      <c r="WXA65" s="94"/>
      <c r="WXB65" s="94"/>
      <c r="WXC65" s="94"/>
      <c r="WXD65" s="94"/>
      <c r="WXE65" s="94"/>
      <c r="WXF65" s="94"/>
      <c r="WXG65" s="94"/>
      <c r="WXH65" s="94"/>
      <c r="WXI65" s="94"/>
      <c r="WXJ65" s="94"/>
      <c r="WXK65" s="94"/>
      <c r="WXL65" s="94"/>
      <c r="WXM65" s="94"/>
      <c r="WXN65" s="94"/>
      <c r="WXO65" s="94"/>
      <c r="WXP65" s="94"/>
      <c r="WXQ65" s="94"/>
      <c r="WXR65" s="94"/>
      <c r="WXS65" s="94"/>
      <c r="WXT65" s="94"/>
      <c r="WXU65" s="94"/>
      <c r="WXV65" s="94"/>
      <c r="WXW65" s="94"/>
      <c r="WXX65" s="94"/>
      <c r="WXY65" s="94"/>
      <c r="WXZ65" s="94"/>
      <c r="WYA65" s="94"/>
      <c r="WYB65" s="94"/>
      <c r="WYC65" s="94"/>
      <c r="WYD65" s="94"/>
      <c r="WYE65" s="94"/>
      <c r="WYF65" s="94"/>
      <c r="WYG65" s="94"/>
      <c r="WYH65" s="94"/>
      <c r="WYI65" s="94"/>
      <c r="WYJ65" s="94"/>
      <c r="WYK65" s="94"/>
      <c r="WYL65" s="94"/>
      <c r="WYM65" s="94"/>
      <c r="WYN65" s="94"/>
      <c r="WYO65" s="94"/>
      <c r="WYP65" s="94"/>
      <c r="WYQ65" s="94"/>
      <c r="WYR65" s="94"/>
      <c r="WYS65" s="94"/>
      <c r="WYT65" s="94"/>
      <c r="WYU65" s="94"/>
      <c r="WYV65" s="94"/>
      <c r="WYW65" s="94"/>
      <c r="WYX65" s="94"/>
      <c r="WYY65" s="94"/>
      <c r="WYZ65" s="94"/>
      <c r="WZA65" s="94"/>
      <c r="WZB65" s="94"/>
      <c r="WZC65" s="94"/>
      <c r="WZD65" s="94"/>
      <c r="WZE65" s="94"/>
      <c r="WZF65" s="94"/>
      <c r="WZG65" s="94"/>
      <c r="WZH65" s="94"/>
      <c r="WZI65" s="94"/>
      <c r="WZJ65" s="94"/>
      <c r="WZK65" s="94"/>
      <c r="WZL65" s="94"/>
      <c r="WZM65" s="94"/>
      <c r="WZN65" s="94"/>
      <c r="WZO65" s="94"/>
      <c r="WZP65" s="94"/>
      <c r="WZQ65" s="94"/>
      <c r="WZR65" s="94"/>
      <c r="WZS65" s="94"/>
      <c r="WZT65" s="94"/>
      <c r="WZU65" s="94"/>
      <c r="WZV65" s="94"/>
      <c r="WZW65" s="94"/>
      <c r="WZX65" s="94"/>
      <c r="WZY65" s="94"/>
      <c r="WZZ65" s="94"/>
      <c r="XAA65" s="94"/>
      <c r="XAB65" s="94"/>
      <c r="XAC65" s="94"/>
      <c r="XAD65" s="94"/>
      <c r="XAE65" s="94"/>
      <c r="XAF65" s="94"/>
      <c r="XAG65" s="94"/>
      <c r="XAH65" s="94"/>
      <c r="XAI65" s="94"/>
      <c r="XAJ65" s="94"/>
      <c r="XAK65" s="94"/>
      <c r="XAL65" s="94"/>
      <c r="XAM65" s="94"/>
      <c r="XAN65" s="94"/>
      <c r="XAO65" s="94"/>
      <c r="XAP65" s="94"/>
      <c r="XAQ65" s="94"/>
      <c r="XAR65" s="94"/>
      <c r="XAS65" s="94"/>
      <c r="XAT65" s="94"/>
      <c r="XAU65" s="94"/>
      <c r="XAV65" s="94"/>
      <c r="XAW65" s="94"/>
      <c r="XAX65" s="94"/>
      <c r="XAY65" s="94"/>
      <c r="XAZ65" s="94"/>
      <c r="XBA65" s="94"/>
      <c r="XBB65" s="94"/>
      <c r="XBC65" s="94"/>
      <c r="XBD65" s="94"/>
      <c r="XBE65" s="94"/>
      <c r="XBF65" s="94"/>
      <c r="XBG65" s="94"/>
      <c r="XBH65" s="94"/>
      <c r="XBI65" s="94"/>
      <c r="XBJ65" s="94"/>
      <c r="XBK65" s="94"/>
      <c r="XBL65" s="94"/>
      <c r="XBM65" s="94"/>
      <c r="XBN65" s="94"/>
      <c r="XBO65" s="94"/>
      <c r="XBP65" s="94"/>
      <c r="XBQ65" s="94"/>
      <c r="XBR65" s="94"/>
      <c r="XBS65" s="94"/>
      <c r="XBT65" s="94"/>
      <c r="XBU65" s="94"/>
      <c r="XBV65" s="94"/>
      <c r="XBW65" s="94"/>
      <c r="XBX65" s="94"/>
      <c r="XBY65" s="94"/>
      <c r="XBZ65" s="94"/>
      <c r="XCA65" s="94"/>
      <c r="XCB65" s="94"/>
      <c r="XCC65" s="94"/>
      <c r="XCD65" s="94"/>
      <c r="XCE65" s="94"/>
      <c r="XCF65" s="94"/>
      <c r="XCG65" s="94"/>
      <c r="XCH65" s="94"/>
      <c r="XCI65" s="94"/>
      <c r="XCJ65" s="94"/>
      <c r="XCK65" s="94"/>
      <c r="XCL65" s="94"/>
      <c r="XCM65" s="94"/>
      <c r="XCN65" s="94"/>
      <c r="XCO65" s="94"/>
      <c r="XCP65" s="94"/>
      <c r="XCQ65" s="94"/>
      <c r="XCR65" s="94"/>
      <c r="XCS65" s="94"/>
      <c r="XCT65" s="94"/>
      <c r="XCU65" s="94"/>
      <c r="XCV65" s="94"/>
      <c r="XCW65" s="94"/>
      <c r="XCX65" s="94"/>
      <c r="XCY65" s="94"/>
      <c r="XCZ65" s="94"/>
      <c r="XDA65" s="94"/>
      <c r="XDB65" s="94"/>
      <c r="XDC65" s="94"/>
      <c r="XDD65" s="94"/>
      <c r="XDE65" s="94"/>
      <c r="XDF65" s="94"/>
      <c r="XDG65" s="94"/>
      <c r="XDH65" s="94"/>
      <c r="XDI65" s="94"/>
      <c r="XDJ65" s="94"/>
      <c r="XDK65" s="94"/>
      <c r="XDL65" s="94"/>
      <c r="XDM65" s="94"/>
      <c r="XDN65" s="94"/>
      <c r="XDO65" s="94"/>
      <c r="XDP65" s="94"/>
      <c r="XDQ65" s="94"/>
      <c r="XDR65" s="94"/>
      <c r="XDS65" s="94"/>
      <c r="XDT65" s="94"/>
      <c r="XDU65" s="94"/>
      <c r="XDV65" s="94"/>
      <c r="XDW65" s="94"/>
      <c r="XDX65" s="94"/>
      <c r="XDY65" s="94"/>
      <c r="XDZ65" s="94"/>
      <c r="XEA65" s="94"/>
      <c r="XEB65" s="94"/>
      <c r="XEC65" s="94"/>
      <c r="XED65" s="94"/>
      <c r="XEE65" s="94"/>
      <c r="XEF65" s="94"/>
      <c r="XEG65" s="94"/>
      <c r="XEH65" s="94"/>
      <c r="XEI65" s="94"/>
      <c r="XEJ65" s="94"/>
      <c r="XEK65" s="94"/>
      <c r="XEL65" s="94"/>
      <c r="XEM65" s="94"/>
      <c r="XEN65" s="94"/>
      <c r="XEO65" s="94"/>
      <c r="XEP65" s="94"/>
      <c r="XEQ65" s="94"/>
      <c r="XER65" s="94"/>
      <c r="XES65" s="94"/>
      <c r="XET65" s="94"/>
      <c r="XEU65" s="94"/>
      <c r="XEV65" s="94"/>
      <c r="XEW65" s="94"/>
      <c r="XEX65" s="94"/>
      <c r="XEY65" s="94"/>
      <c r="XEZ65" s="94"/>
      <c r="XFA65" s="94"/>
      <c r="XFB65" s="94"/>
      <c r="XFC65" s="94"/>
      <c r="XFD65" s="94"/>
    </row>
    <row r="66" ht="16.35" spans="1:1024 1025:16384">
      <c r="A66" s="101"/>
      <c r="X66" s="101"/>
      <c r="Y66" s="153"/>
      <c r="Z66" s="153"/>
      <c r="AA66" s="153"/>
      <c r="AB66" s="153"/>
      <c r="AC66" s="153"/>
      <c r="AD66" s="153"/>
      <c r="AE66" s="153"/>
      <c r="AF66" s="153"/>
      <c r="AG66" s="154"/>
      <c r="AH66" s="154"/>
      <c r="AI66" s="101"/>
      <c r="AJ66" s="153"/>
      <c r="AK66" s="153"/>
      <c r="AL66" s="153"/>
      <c r="AM66" s="153"/>
      <c r="AN66" s="153"/>
      <c r="AO66" s="153"/>
      <c r="AP66" s="153"/>
      <c r="AQ66" s="153"/>
    </row>
    <row r="67" ht="43.95" spans="1:1024 1025:16384">
      <c r="A67" s="101"/>
      <c r="B67" s="98" t="s">
        <v>331</v>
      </c>
      <c r="C67" s="98"/>
      <c r="D67" s="98" t="s">
        <v>271</v>
      </c>
      <c r="E67" s="98" t="s">
        <v>321</v>
      </c>
      <c r="F67" s="98" t="s">
        <v>322</v>
      </c>
      <c r="G67" s="98" t="s">
        <v>3</v>
      </c>
      <c r="H67" s="98" t="s">
        <v>4</v>
      </c>
      <c r="I67" s="98" t="s">
        <v>5</v>
      </c>
      <c r="J67" s="98" t="s">
        <v>6</v>
      </c>
      <c r="K67" s="98" t="s">
        <v>7</v>
      </c>
      <c r="M67" s="98" t="s">
        <v>332</v>
      </c>
      <c r="N67" s="98"/>
      <c r="O67" s="98" t="s">
        <v>271</v>
      </c>
      <c r="P67" s="98" t="s">
        <v>321</v>
      </c>
      <c r="Q67" s="98" t="s">
        <v>322</v>
      </c>
      <c r="R67" s="98" t="s">
        <v>3</v>
      </c>
      <c r="S67" s="98" t="s">
        <v>4</v>
      </c>
      <c r="T67" s="98" t="s">
        <v>5</v>
      </c>
      <c r="U67" s="98" t="s">
        <v>6</v>
      </c>
      <c r="V67" s="98" t="s">
        <v>7</v>
      </c>
      <c r="X67" s="139" t="s">
        <v>331</v>
      </c>
      <c r="Y67" s="98" t="s">
        <v>271</v>
      </c>
      <c r="Z67" s="98" t="s">
        <v>324</v>
      </c>
      <c r="AA67" s="98" t="s">
        <v>325</v>
      </c>
      <c r="AB67" s="98" t="s">
        <v>326</v>
      </c>
      <c r="AC67" s="98" t="s">
        <v>327</v>
      </c>
      <c r="AD67" s="98" t="s">
        <v>328</v>
      </c>
      <c r="AE67" s="98" t="s">
        <v>329</v>
      </c>
      <c r="AF67" s="98" t="s">
        <v>330</v>
      </c>
      <c r="AG67" s="155"/>
      <c r="AH67" s="156"/>
      <c r="AI67" s="139" t="s">
        <v>331</v>
      </c>
      <c r="AJ67" s="98" t="s">
        <v>271</v>
      </c>
      <c r="AK67" s="98" t="s">
        <v>324</v>
      </c>
      <c r="AL67" s="98" t="s">
        <v>325</v>
      </c>
      <c r="AM67" s="98" t="s">
        <v>326</v>
      </c>
      <c r="AN67" s="98" t="s">
        <v>327</v>
      </c>
      <c r="AO67" s="98" t="s">
        <v>328</v>
      </c>
      <c r="AP67" s="98" t="s">
        <v>329</v>
      </c>
      <c r="AQ67" s="98" t="s">
        <v>330</v>
      </c>
    </row>
    <row r="68" spans="1:1024 1025:16384">
      <c r="A68" s="101"/>
      <c r="B68" s="99"/>
      <c r="C68" s="99"/>
      <c r="D68" s="99"/>
      <c r="E68" s="99"/>
      <c r="F68" s="99"/>
      <c r="G68" s="99"/>
      <c r="H68" s="99"/>
      <c r="I68" s="99"/>
      <c r="J68" s="99"/>
      <c r="K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X68" s="99"/>
      <c r="Y68" s="99"/>
      <c r="Z68" s="99"/>
      <c r="AA68" s="99"/>
      <c r="AB68" s="99"/>
      <c r="AC68" s="99"/>
      <c r="AD68" s="99"/>
      <c r="AE68" s="99"/>
      <c r="AF68" s="99"/>
      <c r="AG68" s="157"/>
      <c r="AH68" s="157"/>
      <c r="AI68" s="99"/>
      <c r="AJ68" s="99"/>
      <c r="AK68" s="99"/>
      <c r="AL68" s="99"/>
      <c r="AM68" s="99"/>
      <c r="AN68" s="99"/>
      <c r="AO68" s="99"/>
      <c r="AP68" s="99"/>
      <c r="AQ68" s="99"/>
    </row>
    <row r="69" ht="15.6" spans="1:1024 1025:16384">
      <c r="A69" s="101"/>
      <c r="B69" s="143" t="str">
        <f>X69</f>
        <v>A00</v>
      </c>
      <c r="C69" s="143"/>
      <c r="D69" s="103">
        <f>Y69</f>
        <v>0.40012939265987</v>
      </c>
      <c r="E69" s="103">
        <f t="shared" ref="E69" si="288">Z69</f>
        <v>0.439415707472235</v>
      </c>
      <c r="F69" s="103">
        <f t="shared" ref="F69" si="289">AA69</f>
        <v>0.687267634037585</v>
      </c>
      <c r="G69" s="103">
        <f t="shared" ref="G69" si="290">AB69</f>
        <v>1.00812831650257</v>
      </c>
      <c r="H69" s="103">
        <f t="shared" ref="H69" si="291">AC69</f>
        <v>0.921025585193057</v>
      </c>
      <c r="I69" s="103">
        <f t="shared" ref="I69" si="292">AD69</f>
        <v>0.936018629597534</v>
      </c>
      <c r="J69" s="103">
        <f t="shared" ref="J69" si="293">AE69</f>
        <v>0.784742597227138</v>
      </c>
      <c r="K69" s="103">
        <f t="shared" ref="K69" si="294">AF69</f>
        <v>0.449121208423391</v>
      </c>
      <c r="L69" s="143"/>
      <c r="M69" s="143" t="str">
        <f t="shared" ref="M69" si="295">AI69</f>
        <v>A00</v>
      </c>
      <c r="N69" s="143"/>
      <c r="O69" s="103">
        <f>AJ69</f>
        <v>-0.439173640050531</v>
      </c>
      <c r="P69" s="103">
        <f t="shared" ref="P69" si="296">AK69</f>
        <v>-0.469251465193615</v>
      </c>
      <c r="Q69" s="103">
        <f t="shared" ref="Q69" si="297">AL69</f>
        <v>-0.767648860083966</v>
      </c>
      <c r="R69" s="103">
        <f t="shared" ref="R69" si="298">AM69</f>
        <v>-1.01599871161061</v>
      </c>
      <c r="S69" s="103">
        <f t="shared" ref="S69" si="299">AN69</f>
        <v>-0.957137303130522</v>
      </c>
      <c r="T69" s="103">
        <f t="shared" ref="T69" si="300">AO69</f>
        <v>-0.969998940591794</v>
      </c>
      <c r="U69" s="103">
        <f t="shared" ref="U69" si="301">AP69</f>
        <v>-0.837748633892292</v>
      </c>
      <c r="V69" s="103">
        <f t="shared" ref="V69" si="302">AQ69</f>
        <v>-0.439866014341069</v>
      </c>
      <c r="X69" s="144" t="s">
        <v>12</v>
      </c>
      <c r="Y69" s="145">
        <v>0.40012939265987</v>
      </c>
      <c r="Z69" s="145">
        <v>0.439415707472235</v>
      </c>
      <c r="AA69" s="145">
        <v>0.687267634037585</v>
      </c>
      <c r="AB69" s="145">
        <v>1.00812831650257</v>
      </c>
      <c r="AC69" s="145">
        <v>0.921025585193057</v>
      </c>
      <c r="AD69" s="145">
        <v>0.936018629597534</v>
      </c>
      <c r="AE69" s="145">
        <v>0.784742597227138</v>
      </c>
      <c r="AF69" s="145">
        <v>0.449121208423391</v>
      </c>
      <c r="AG69" s="148"/>
      <c r="AH69" s="148"/>
      <c r="AI69" s="144" t="s">
        <v>12</v>
      </c>
      <c r="AJ69" s="145">
        <v>-0.439173640050531</v>
      </c>
      <c r="AK69" s="145">
        <v>-0.469251465193615</v>
      </c>
      <c r="AL69" s="145">
        <v>-0.767648860083966</v>
      </c>
      <c r="AM69" s="145">
        <v>-1.01599871161061</v>
      </c>
      <c r="AN69" s="145">
        <v>-0.957137303130522</v>
      </c>
      <c r="AO69" s="145">
        <v>-0.969998940591794</v>
      </c>
      <c r="AP69" s="145">
        <v>-0.837748633892292</v>
      </c>
      <c r="AQ69" s="145">
        <v>-0.439866014341069</v>
      </c>
    </row>
    <row r="70" ht="15.6" spans="1:1024 1025:16384">
      <c r="A70" s="101"/>
      <c r="B70" s="147" t="s">
        <v>12</v>
      </c>
      <c r="C70" s="147" t="s">
        <v>52</v>
      </c>
      <c r="D70" s="107">
        <v>0.30119516587095</v>
      </c>
      <c r="E70" s="107">
        <v>0.302980350174298</v>
      </c>
      <c r="F70" s="107">
        <v>0.622814225195412</v>
      </c>
      <c r="G70" s="107">
        <v>1.00578866829608</v>
      </c>
      <c r="H70" s="107">
        <v>0.967162114883091</v>
      </c>
      <c r="I70" s="107">
        <v>0.866171029365925</v>
      </c>
      <c r="J70" s="107">
        <v>0.798062156616417</v>
      </c>
      <c r="K70" s="107">
        <v>0.349052915646276</v>
      </c>
      <c r="M70" s="147" t="s">
        <v>12</v>
      </c>
      <c r="N70" s="147" t="s">
        <v>52</v>
      </c>
      <c r="O70" s="107">
        <v>-0.118880795599865</v>
      </c>
      <c r="P70" s="107">
        <v>-0.101492383490318</v>
      </c>
      <c r="Q70" s="107">
        <v>-0.547999006913766</v>
      </c>
      <c r="R70" s="107">
        <v>-1.03629013299985</v>
      </c>
      <c r="S70" s="107">
        <v>-0.97550506639937</v>
      </c>
      <c r="T70" s="107">
        <v>-0.897217544671972</v>
      </c>
      <c r="U70" s="107">
        <v>-0.776834107308173</v>
      </c>
      <c r="V70" s="107">
        <v>-0.0498519213382868</v>
      </c>
      <c r="X70" s="144"/>
      <c r="Y70" s="145"/>
      <c r="Z70" s="145"/>
      <c r="AA70" s="145"/>
      <c r="AB70" s="145"/>
      <c r="AC70" s="145"/>
      <c r="AD70" s="145"/>
      <c r="AE70" s="145"/>
      <c r="AF70" s="145"/>
      <c r="AG70" s="148"/>
      <c r="AH70" s="148"/>
      <c r="AI70" s="144"/>
      <c r="AJ70" s="145"/>
      <c r="AK70" s="145"/>
      <c r="AL70" s="145"/>
      <c r="AM70" s="145"/>
      <c r="AN70" s="145"/>
      <c r="AO70" s="145"/>
      <c r="AP70" s="145"/>
      <c r="AQ70" s="145"/>
    </row>
    <row r="71" ht="15.6" spans="1:1024 1025:16384">
      <c r="A71" s="101"/>
      <c r="B71" s="147" t="s">
        <v>12</v>
      </c>
      <c r="C71" s="147" t="s">
        <v>56</v>
      </c>
      <c r="D71" s="107">
        <v>0.858981160525937</v>
      </c>
      <c r="E71" s="107">
        <v>0.873499274757265</v>
      </c>
      <c r="F71" s="107">
        <v>1.15732698099114</v>
      </c>
      <c r="G71" s="107">
        <v>1.53781270603804</v>
      </c>
      <c r="H71" s="107">
        <v>1.43783607316172</v>
      </c>
      <c r="I71" s="107">
        <v>1.25556927983082</v>
      </c>
      <c r="J71" s="107">
        <v>1.17068521420606</v>
      </c>
      <c r="K71" s="107">
        <v>0.740568850956255</v>
      </c>
      <c r="M71" s="147" t="s">
        <v>12</v>
      </c>
      <c r="N71" s="147" t="s">
        <v>56</v>
      </c>
      <c r="O71" s="107">
        <v>-0.660025875607287</v>
      </c>
      <c r="P71" s="107">
        <v>-0.676558056586233</v>
      </c>
      <c r="Q71" s="107">
        <v>-1.03985251591608</v>
      </c>
      <c r="R71" s="107">
        <v>-1.58405188367146</v>
      </c>
      <c r="S71" s="107">
        <v>-1.43196363015059</v>
      </c>
      <c r="T71" s="107">
        <v>-1.28389465120801</v>
      </c>
      <c r="U71" s="107">
        <v>-1.13611920366159</v>
      </c>
      <c r="V71" s="107">
        <v>-0.529170024314153</v>
      </c>
      <c r="X71" s="144"/>
      <c r="Y71" s="145"/>
      <c r="Z71" s="145"/>
      <c r="AA71" s="145"/>
      <c r="AB71" s="145"/>
      <c r="AC71" s="145"/>
      <c r="AD71" s="145"/>
      <c r="AE71" s="145"/>
      <c r="AF71" s="145"/>
      <c r="AG71" s="148"/>
      <c r="AH71" s="148"/>
      <c r="AI71" s="144"/>
      <c r="AJ71" s="145"/>
      <c r="AK71" s="145"/>
      <c r="AL71" s="145"/>
      <c r="AM71" s="145"/>
      <c r="AN71" s="145"/>
      <c r="AO71" s="145"/>
      <c r="AP71" s="145"/>
      <c r="AQ71" s="145"/>
    </row>
    <row r="72" ht="15.6" spans="1:1024 1025:16384">
      <c r="A72" s="101"/>
      <c r="B72" s="143" t="str">
        <f>X72</f>
        <v>B05</v>
      </c>
      <c r="C72" s="143"/>
      <c r="D72" s="103">
        <f>Y72</f>
        <v>0.937164844187972</v>
      </c>
      <c r="E72" s="103">
        <f t="shared" ref="E72" si="303">Z72</f>
        <v>0.912980271369784</v>
      </c>
      <c r="F72" s="103">
        <f t="shared" ref="F72" si="304">AA72</f>
        <v>0.875644725797499</v>
      </c>
      <c r="G72" s="103">
        <f t="shared" ref="G72" si="305">AB72</f>
        <v>1.0302135137454</v>
      </c>
      <c r="H72" s="103">
        <f t="shared" ref="H72" si="306">AC72</f>
        <v>0.847541114693497</v>
      </c>
      <c r="I72" s="103">
        <f t="shared" ref="I72" si="307">AD72</f>
        <v>0.93151282214922</v>
      </c>
      <c r="J72" s="103">
        <f t="shared" ref="J72" si="308">AE72</f>
        <v>1.06457461817926</v>
      </c>
      <c r="K72" s="103">
        <f t="shared" ref="K72" si="309">AF72</f>
        <v>0.895812214243601</v>
      </c>
      <c r="L72" s="143"/>
      <c r="M72" s="143" t="str">
        <f t="shared" ref="M72" si="310">AI72</f>
        <v>B05</v>
      </c>
      <c r="N72" s="143"/>
      <c r="O72" s="103">
        <f>AJ72</f>
        <v>-1.0131318392006</v>
      </c>
      <c r="P72" s="103">
        <f t="shared" ref="P72" si="311">AK72</f>
        <v>-0.94078404598112</v>
      </c>
      <c r="Q72" s="103">
        <f t="shared" ref="Q72" si="312">AL72</f>
        <v>-1.53816812324162</v>
      </c>
      <c r="R72" s="103">
        <f t="shared" ref="R72" si="313">AM72</f>
        <v>-1.20701650199668</v>
      </c>
      <c r="S72" s="103">
        <f t="shared" ref="S72" si="314">AN72</f>
        <v>-1.17600033750663</v>
      </c>
      <c r="T72" s="103">
        <f t="shared" ref="T72" si="315">AO72</f>
        <v>-1.24194672135127</v>
      </c>
      <c r="U72" s="103">
        <f t="shared" ref="U72" si="316">AP72</f>
        <v>-1.3734576956832</v>
      </c>
      <c r="V72" s="103">
        <f t="shared" ref="V72" si="317">AQ72</f>
        <v>-0.709066838809937</v>
      </c>
      <c r="X72" s="144" t="s">
        <v>13</v>
      </c>
      <c r="Y72" s="145">
        <v>0.937164844187972</v>
      </c>
      <c r="Z72" s="145">
        <v>0.912980271369784</v>
      </c>
      <c r="AA72" s="145">
        <v>0.875644725797499</v>
      </c>
      <c r="AB72" s="145">
        <v>1.0302135137454</v>
      </c>
      <c r="AC72" s="145">
        <v>0.847541114693497</v>
      </c>
      <c r="AD72" s="145">
        <v>0.93151282214922</v>
      </c>
      <c r="AE72" s="145">
        <v>1.06457461817926</v>
      </c>
      <c r="AF72" s="145">
        <v>0.895812214243601</v>
      </c>
      <c r="AG72" s="148"/>
      <c r="AH72" s="148"/>
      <c r="AI72" s="144" t="s">
        <v>13</v>
      </c>
      <c r="AJ72" s="145">
        <v>-1.0131318392006</v>
      </c>
      <c r="AK72" s="145">
        <v>-0.94078404598112</v>
      </c>
      <c r="AL72" s="145">
        <v>-1.53816812324162</v>
      </c>
      <c r="AM72" s="145">
        <v>-1.20701650199668</v>
      </c>
      <c r="AN72" s="145">
        <v>-1.17600033750663</v>
      </c>
      <c r="AO72" s="145">
        <v>-1.24194672135127</v>
      </c>
      <c r="AP72" s="145">
        <v>-1.3734576956832</v>
      </c>
      <c r="AQ72" s="145">
        <v>-0.709066838809937</v>
      </c>
    </row>
    <row r="73" ht="15.6" spans="1:1024 1025:16384">
      <c r="A73" s="101"/>
      <c r="B73" s="147" t="s">
        <v>13</v>
      </c>
      <c r="C73" s="147" t="s">
        <v>50</v>
      </c>
      <c r="D73" s="107">
        <v>0.948086118999337</v>
      </c>
      <c r="E73" s="107">
        <v>0.922760468540232</v>
      </c>
      <c r="F73" s="107">
        <v>0.860846176408334</v>
      </c>
      <c r="G73" s="107">
        <v>1.13332341415072</v>
      </c>
      <c r="H73" s="107">
        <v>0.805904795845095</v>
      </c>
      <c r="I73" s="107">
        <v>0.887068862960495</v>
      </c>
      <c r="J73" s="107">
        <v>1.0173308975767</v>
      </c>
      <c r="K73" s="107">
        <v>0.910531596491056</v>
      </c>
      <c r="M73" s="147" t="s">
        <v>13</v>
      </c>
      <c r="N73" s="147" t="s">
        <v>50</v>
      </c>
      <c r="O73" s="107">
        <v>-0.567780796471578</v>
      </c>
      <c r="P73" s="107">
        <v>-0.586839423220127</v>
      </c>
      <c r="Q73" s="107">
        <v>-0.57777630770764</v>
      </c>
      <c r="R73" s="107">
        <v>-1.2460603093257</v>
      </c>
      <c r="S73" s="107">
        <v>-0.831007520495528</v>
      </c>
      <c r="T73" s="107">
        <v>-0.958376650489155</v>
      </c>
      <c r="U73" s="107">
        <v>-0.958245507074991</v>
      </c>
      <c r="V73" s="107">
        <v>-0.51706233765582</v>
      </c>
      <c r="X73" s="144"/>
      <c r="Y73" s="145"/>
      <c r="Z73" s="145"/>
      <c r="AA73" s="145"/>
      <c r="AB73" s="145"/>
      <c r="AC73" s="145"/>
      <c r="AD73" s="145"/>
      <c r="AE73" s="145"/>
      <c r="AF73" s="145"/>
      <c r="AG73" s="148"/>
      <c r="AH73" s="148"/>
      <c r="AI73" s="144"/>
      <c r="AJ73" s="145"/>
      <c r="AK73" s="145"/>
      <c r="AL73" s="145"/>
      <c r="AM73" s="145"/>
      <c r="AN73" s="145"/>
      <c r="AO73" s="145"/>
      <c r="AP73" s="145"/>
      <c r="AQ73" s="145"/>
    </row>
    <row r="74" ht="15.6" spans="1:1024 1025:16384">
      <c r="A74" s="101"/>
      <c r="B74" s="143" t="str">
        <f>X74</f>
        <v>C00</v>
      </c>
      <c r="C74" s="143"/>
      <c r="D74" s="103">
        <f>Y74</f>
        <v>0.104930736370016</v>
      </c>
      <c r="E74" s="103">
        <f t="shared" ref="E74" si="318">Z74</f>
        <v>0.14988081065849</v>
      </c>
      <c r="F74" s="103">
        <f t="shared" ref="F74" si="319">AA74</f>
        <v>0.499773638540686</v>
      </c>
      <c r="G74" s="103">
        <f t="shared" ref="G74" si="320">AB74</f>
        <v>0.704870446454583</v>
      </c>
      <c r="H74" s="103">
        <f t="shared" ref="H74" si="321">AC74</f>
        <v>0.806955214445041</v>
      </c>
      <c r="I74" s="103">
        <f t="shared" ref="I74" si="322">AD74</f>
        <v>0.603561202172971</v>
      </c>
      <c r="J74" s="103">
        <f t="shared" ref="J74" si="323">AE74</f>
        <v>0.557297990452982</v>
      </c>
      <c r="K74" s="103">
        <f t="shared" ref="K74" si="324">AF74</f>
        <v>0.199431478457934</v>
      </c>
      <c r="L74" s="143"/>
      <c r="M74" s="143" t="str">
        <f t="shared" ref="M74" si="325">AI74</f>
        <v>C00</v>
      </c>
      <c r="N74" s="143"/>
      <c r="O74" s="103">
        <f>AJ74</f>
        <v>-1.88533688164402</v>
      </c>
      <c r="P74" s="103">
        <f t="shared" ref="P74" si="326">AK74</f>
        <v>-1.1464154694643</v>
      </c>
      <c r="Q74" s="103">
        <f t="shared" ref="Q74" si="327">AL74</f>
        <v>-7.73514743463086</v>
      </c>
      <c r="R74" s="103">
        <f t="shared" ref="R74" si="328">AM74</f>
        <v>-2.57575082418454</v>
      </c>
      <c r="S74" s="103">
        <f t="shared" ref="S74" si="329">AN74</f>
        <v>-6.05669104454438</v>
      </c>
      <c r="T74" s="103">
        <f t="shared" ref="T74" si="330">AO74</f>
        <v>-6.78559228436303</v>
      </c>
      <c r="U74" s="103">
        <f t="shared" ref="U74" si="331">AP74</f>
        <v>-8.50956173442424</v>
      </c>
      <c r="V74" s="103">
        <f t="shared" ref="V74" si="332">AQ74</f>
        <v>9.67705878630275</v>
      </c>
      <c r="X74" s="144" t="s">
        <v>14</v>
      </c>
      <c r="Y74" s="145">
        <v>0.104930736370016</v>
      </c>
      <c r="Z74" s="145">
        <v>0.14988081065849</v>
      </c>
      <c r="AA74" s="145">
        <v>0.499773638540686</v>
      </c>
      <c r="AB74" s="145">
        <v>0.704870446454583</v>
      </c>
      <c r="AC74" s="145">
        <v>0.806955214445041</v>
      </c>
      <c r="AD74" s="145">
        <v>0.603561202172971</v>
      </c>
      <c r="AE74" s="145">
        <v>0.557297990452982</v>
      </c>
      <c r="AF74" s="145">
        <v>0.199431478457934</v>
      </c>
      <c r="AG74" s="148"/>
      <c r="AH74" s="148"/>
      <c r="AI74" s="144" t="s">
        <v>14</v>
      </c>
      <c r="AJ74" s="145">
        <v>-1.88533688164402</v>
      </c>
      <c r="AK74" s="145">
        <v>-1.1464154694643</v>
      </c>
      <c r="AL74" s="145">
        <v>-7.73514743463086</v>
      </c>
      <c r="AM74" s="145">
        <v>-2.57575082418454</v>
      </c>
      <c r="AN74" s="145">
        <v>-6.05669104454438</v>
      </c>
      <c r="AO74" s="145">
        <v>-6.78559228436303</v>
      </c>
      <c r="AP74" s="145">
        <v>-8.50956173442424</v>
      </c>
      <c r="AQ74" s="145">
        <v>9.67705878630275</v>
      </c>
    </row>
    <row r="75" ht="15.6" spans="1:1024 1025:16384">
      <c r="A75" s="101"/>
      <c r="B75" s="143" t="str">
        <f>X75</f>
        <v>D01</v>
      </c>
      <c r="C75" s="143"/>
      <c r="D75" s="103">
        <f>Y75</f>
        <v>0.490511477877507</v>
      </c>
      <c r="E75" s="103">
        <f t="shared" ref="E75" si="333">Z75</f>
        <v>0.499346541315005</v>
      </c>
      <c r="F75" s="103">
        <f t="shared" ref="F75" si="334">AA75</f>
        <v>0.676091620594271</v>
      </c>
      <c r="G75" s="103">
        <f t="shared" ref="G75" si="335">AB75</f>
        <v>0.94815138044614</v>
      </c>
      <c r="H75" s="103">
        <f t="shared" ref="H75" si="336">AC75</f>
        <v>0.871027846817476</v>
      </c>
      <c r="I75" s="103">
        <f t="shared" ref="I75" si="337">AD75</f>
        <v>0.848372699458314</v>
      </c>
      <c r="J75" s="103">
        <f t="shared" ref="J75" si="338">AE75</f>
        <v>0.757808657552641</v>
      </c>
      <c r="K75" s="103">
        <f t="shared" ref="K75" si="339">AF75</f>
        <v>0.508136380008612</v>
      </c>
      <c r="L75" s="143"/>
      <c r="M75" s="143" t="str">
        <f t="shared" ref="M75" si="340">AI75</f>
        <v>D01</v>
      </c>
      <c r="N75" s="143"/>
      <c r="O75" s="103">
        <f>AJ75</f>
        <v>-0.551489516317134</v>
      </c>
      <c r="P75" s="103">
        <f t="shared" ref="P75" si="341">AK75</f>
        <v>-0.552600770473784</v>
      </c>
      <c r="Q75" s="103">
        <f t="shared" ref="Q75" si="342">AL75</f>
        <v>-0.763270628313596</v>
      </c>
      <c r="R75" s="103">
        <f t="shared" ref="R75" si="343">AM75</f>
        <v>-0.968556134713936</v>
      </c>
      <c r="S75" s="103">
        <f t="shared" ref="S75" si="344">AN75</f>
        <v>-0.915563346432556</v>
      </c>
      <c r="T75" s="103">
        <f t="shared" ref="T75" si="345">AO75</f>
        <v>-0.89547842803786</v>
      </c>
      <c r="U75" s="103">
        <f t="shared" ref="U75" si="346">AP75</f>
        <v>-0.816889940381446</v>
      </c>
      <c r="V75" s="103">
        <f t="shared" ref="V75" si="347">AQ75</f>
        <v>-0.534792188191839</v>
      </c>
      <c r="X75" s="144" t="s">
        <v>15</v>
      </c>
      <c r="Y75" s="145">
        <v>0.490511477877507</v>
      </c>
      <c r="Z75" s="145">
        <v>0.499346541315005</v>
      </c>
      <c r="AA75" s="145">
        <v>0.676091620594271</v>
      </c>
      <c r="AB75" s="145">
        <v>0.94815138044614</v>
      </c>
      <c r="AC75" s="145">
        <v>0.871027846817476</v>
      </c>
      <c r="AD75" s="145">
        <v>0.848372699458314</v>
      </c>
      <c r="AE75" s="145">
        <v>0.757808657552641</v>
      </c>
      <c r="AF75" s="145">
        <v>0.508136380008612</v>
      </c>
      <c r="AG75" s="148"/>
      <c r="AH75" s="148"/>
      <c r="AI75" s="144" t="s">
        <v>15</v>
      </c>
      <c r="AJ75" s="145">
        <v>-0.551489516317134</v>
      </c>
      <c r="AK75" s="145">
        <v>-0.552600770473784</v>
      </c>
      <c r="AL75" s="145">
        <v>-0.763270628313596</v>
      </c>
      <c r="AM75" s="145">
        <v>-0.968556134713936</v>
      </c>
      <c r="AN75" s="145">
        <v>-0.915563346432556</v>
      </c>
      <c r="AO75" s="145">
        <v>-0.89547842803786</v>
      </c>
      <c r="AP75" s="145">
        <v>-0.816889940381446</v>
      </c>
      <c r="AQ75" s="145">
        <v>-0.534792188191839</v>
      </c>
    </row>
    <row r="76" ht="15.6" spans="1:1024 1025:16384">
      <c r="A76" s="101"/>
      <c r="B76" s="147" t="s">
        <v>15</v>
      </c>
      <c r="C76" s="147" t="s">
        <v>42</v>
      </c>
      <c r="D76" s="107">
        <v>0.359741018336583</v>
      </c>
      <c r="E76" s="107">
        <v>0.365307134954151</v>
      </c>
      <c r="F76" s="107">
        <v>0.488479868309721</v>
      </c>
      <c r="G76" s="107">
        <v>0.7982110980762</v>
      </c>
      <c r="H76" s="107">
        <v>0.741476766014754</v>
      </c>
      <c r="I76" s="107">
        <v>0.740504712396777</v>
      </c>
      <c r="J76" s="107">
        <v>0.63879992310257</v>
      </c>
      <c r="K76" s="107">
        <v>0.434487455769263</v>
      </c>
      <c r="M76" s="147" t="s">
        <v>15</v>
      </c>
      <c r="N76" s="147" t="s">
        <v>42</v>
      </c>
      <c r="O76" s="107">
        <v>-0.279141024603307</v>
      </c>
      <c r="P76" s="107">
        <v>-0.282466956004402</v>
      </c>
      <c r="Q76" s="107">
        <v>-0.457854251199828</v>
      </c>
      <c r="R76" s="107">
        <v>-0.829392473956521</v>
      </c>
      <c r="S76" s="107">
        <v>-0.761219820753202</v>
      </c>
      <c r="T76" s="107">
        <v>-0.768355398164288</v>
      </c>
      <c r="U76" s="107">
        <v>-0.640892352806296</v>
      </c>
      <c r="V76" s="107">
        <v>-0.303309511881771</v>
      </c>
      <c r="X76" s="144"/>
      <c r="Y76" s="145"/>
      <c r="Z76" s="145"/>
      <c r="AA76" s="145"/>
      <c r="AB76" s="145"/>
      <c r="AC76" s="145"/>
      <c r="AD76" s="145"/>
      <c r="AE76" s="145"/>
      <c r="AF76" s="145"/>
      <c r="AG76" s="148"/>
      <c r="AH76" s="148"/>
      <c r="AI76" s="144"/>
      <c r="AJ76" s="145"/>
      <c r="AK76" s="145"/>
      <c r="AL76" s="145"/>
      <c r="AM76" s="145"/>
      <c r="AN76" s="145"/>
      <c r="AO76" s="145"/>
      <c r="AP76" s="145"/>
      <c r="AQ76" s="145"/>
    </row>
    <row r="77" ht="15.6" spans="1:1024 1025:16384">
      <c r="A77" s="101"/>
      <c r="B77" s="147" t="s">
        <v>15</v>
      </c>
      <c r="C77" s="147" t="s">
        <v>44</v>
      </c>
      <c r="D77" s="107">
        <v>0.616984481859549</v>
      </c>
      <c r="E77" s="107">
        <v>0.559471946409486</v>
      </c>
      <c r="F77" s="107">
        <v>0.706870583159517</v>
      </c>
      <c r="G77" s="107">
        <v>1.01307597435624</v>
      </c>
      <c r="H77" s="107">
        <v>0.835541431505988</v>
      </c>
      <c r="I77" s="107">
        <v>0.812772685424538</v>
      </c>
      <c r="J77" s="107">
        <v>0.782061283479901</v>
      </c>
      <c r="K77" s="107">
        <v>0.524755431542863</v>
      </c>
      <c r="M77" s="147" t="s">
        <v>15</v>
      </c>
      <c r="N77" s="147" t="s">
        <v>44</v>
      </c>
      <c r="O77" s="107">
        <v>-0.446430209404236</v>
      </c>
      <c r="P77" s="107">
        <v>-0.408895064088387</v>
      </c>
      <c r="Q77" s="107">
        <v>-0.582747187756406</v>
      </c>
      <c r="R77" s="107">
        <v>-1.0642447545519</v>
      </c>
      <c r="S77" s="107">
        <v>-0.84959700394749</v>
      </c>
      <c r="T77" s="107">
        <v>-0.847371774659632</v>
      </c>
      <c r="U77" s="107">
        <v>-0.762684226715835</v>
      </c>
      <c r="V77" s="107">
        <v>-0.325252710218884</v>
      </c>
      <c r="X77" s="144"/>
      <c r="Y77" s="145"/>
      <c r="Z77" s="145"/>
      <c r="AA77" s="145"/>
      <c r="AB77" s="145"/>
      <c r="AC77" s="145"/>
      <c r="AD77" s="145"/>
      <c r="AE77" s="145"/>
      <c r="AF77" s="145"/>
      <c r="AG77" s="148"/>
      <c r="AH77" s="148"/>
      <c r="AI77" s="144"/>
      <c r="AJ77" s="145"/>
      <c r="AK77" s="145"/>
      <c r="AL77" s="145"/>
      <c r="AM77" s="145"/>
      <c r="AN77" s="145"/>
      <c r="AO77" s="145"/>
      <c r="AP77" s="145"/>
      <c r="AQ77" s="145"/>
    </row>
    <row r="78" ht="15.6" spans="1:1024 1025:16384">
      <c r="A78" s="101"/>
      <c r="B78" s="147" t="s">
        <v>15</v>
      </c>
      <c r="C78" s="147" t="s">
        <v>46</v>
      </c>
      <c r="D78" s="107">
        <v>0.271231228646475</v>
      </c>
      <c r="E78" s="107">
        <v>0.299468308304671</v>
      </c>
      <c r="F78" s="107">
        <v>0.470007536309416</v>
      </c>
      <c r="G78" s="107">
        <v>0.913986834350095</v>
      </c>
      <c r="H78" s="107">
        <v>0.782138511037682</v>
      </c>
      <c r="I78" s="107">
        <v>0.72513372248751</v>
      </c>
      <c r="J78" s="107">
        <v>0.593170301213774</v>
      </c>
      <c r="K78" s="107">
        <v>0.251652258140037</v>
      </c>
      <c r="M78" s="147" t="s">
        <v>15</v>
      </c>
      <c r="N78" s="147" t="s">
        <v>46</v>
      </c>
      <c r="O78" s="107">
        <v>-0.134081855965746</v>
      </c>
      <c r="P78" s="107">
        <v>-0.147457526728034</v>
      </c>
      <c r="Q78" s="107">
        <v>-0.418850981832483</v>
      </c>
      <c r="R78" s="107">
        <v>-0.943173874482271</v>
      </c>
      <c r="S78" s="107">
        <v>-0.797309322922654</v>
      </c>
      <c r="T78" s="107">
        <v>-0.755744434490836</v>
      </c>
      <c r="U78" s="107">
        <v>-0.583339421623501</v>
      </c>
      <c r="V78" s="107">
        <v>-0.0347652469506732</v>
      </c>
      <c r="X78" s="144"/>
      <c r="Y78" s="145"/>
      <c r="Z78" s="145"/>
      <c r="AA78" s="145"/>
      <c r="AB78" s="145"/>
      <c r="AC78" s="145"/>
      <c r="AD78" s="145"/>
      <c r="AE78" s="145"/>
      <c r="AF78" s="145"/>
      <c r="AG78" s="148"/>
      <c r="AH78" s="148"/>
      <c r="AI78" s="144"/>
      <c r="AJ78" s="145"/>
      <c r="AK78" s="145"/>
      <c r="AL78" s="145"/>
      <c r="AM78" s="145"/>
      <c r="AN78" s="145"/>
      <c r="AO78" s="145"/>
      <c r="AP78" s="145"/>
      <c r="AQ78" s="145"/>
    </row>
    <row r="79" ht="15.6" spans="1:1024 1025:16384">
      <c r="A79" s="101"/>
      <c r="B79" s="147" t="s">
        <v>15</v>
      </c>
      <c r="C79" s="147" t="s">
        <v>48</v>
      </c>
      <c r="D79" s="107">
        <v>0.55327873654161</v>
      </c>
      <c r="E79" s="107">
        <v>0.55824663972322</v>
      </c>
      <c r="F79" s="107">
        <v>0.797464009573901</v>
      </c>
      <c r="G79" s="107">
        <v>1.1930253327233</v>
      </c>
      <c r="H79" s="107">
        <v>1.04091109833905</v>
      </c>
      <c r="I79" s="107">
        <v>1.01439473467806</v>
      </c>
      <c r="J79" s="107">
        <v>0.951630260246377</v>
      </c>
      <c r="K79" s="107">
        <v>0.529986550973346</v>
      </c>
      <c r="M79" s="147" t="s">
        <v>15</v>
      </c>
      <c r="N79" s="147" t="s">
        <v>48</v>
      </c>
      <c r="O79" s="107">
        <v>-0.513497926571635</v>
      </c>
      <c r="P79" s="107">
        <v>-0.515750538663056</v>
      </c>
      <c r="Q79" s="107">
        <v>-0.78383906600531</v>
      </c>
      <c r="R79" s="107">
        <v>-1.18006968548186</v>
      </c>
      <c r="S79" s="107">
        <v>-1.03903922520455</v>
      </c>
      <c r="T79" s="107">
        <v>-1.02213066112643</v>
      </c>
      <c r="U79" s="107">
        <v>-0.947750316278885</v>
      </c>
      <c r="V79" s="107">
        <v>-0.468216768456731</v>
      </c>
      <c r="X79" s="144"/>
      <c r="Y79" s="145"/>
      <c r="Z79" s="145"/>
      <c r="AA79" s="145"/>
      <c r="AB79" s="145"/>
      <c r="AC79" s="145"/>
      <c r="AD79" s="145"/>
      <c r="AE79" s="145"/>
      <c r="AF79" s="145"/>
      <c r="AG79" s="148"/>
      <c r="AH79" s="148"/>
      <c r="AI79" s="144"/>
      <c r="AJ79" s="145"/>
      <c r="AK79" s="145"/>
      <c r="AL79" s="145"/>
      <c r="AM79" s="145"/>
      <c r="AN79" s="145"/>
      <c r="AO79" s="145"/>
      <c r="AP79" s="145"/>
      <c r="AQ79" s="145"/>
    </row>
    <row r="80" ht="15.6" spans="1:1024 1025:16384">
      <c r="B80" s="147" t="s">
        <v>15</v>
      </c>
      <c r="C80" s="147" t="s">
        <v>54</v>
      </c>
      <c r="D80" s="107">
        <v>0.35025371533211</v>
      </c>
      <c r="E80" s="107">
        <v>0.337377727532422</v>
      </c>
      <c r="F80" s="107">
        <v>0.674108476451796</v>
      </c>
      <c r="G80" s="107">
        <v>1.05091619688639</v>
      </c>
      <c r="H80" s="107">
        <v>0.813488233477669</v>
      </c>
      <c r="I80" s="107">
        <v>0.8110743237741</v>
      </c>
      <c r="J80" s="107">
        <v>0.710624041610938</v>
      </c>
      <c r="K80" s="107">
        <v>0.402790099823232</v>
      </c>
      <c r="M80" s="147" t="s">
        <v>15</v>
      </c>
      <c r="N80" s="147" t="s">
        <v>54</v>
      </c>
      <c r="O80" s="107">
        <v>0.0413771036937975</v>
      </c>
      <c r="P80" s="107">
        <v>0.0753188823843043</v>
      </c>
      <c r="Q80" s="107">
        <v>-0.485438020657047</v>
      </c>
      <c r="R80" s="107">
        <v>-1.11795063515906</v>
      </c>
      <c r="S80" s="107">
        <v>-0.832729525455795</v>
      </c>
      <c r="T80" s="107">
        <v>-0.871443113778124</v>
      </c>
      <c r="U80" s="107">
        <v>-0.658425854857064</v>
      </c>
      <c r="V80" s="107">
        <v>0.19204568234985</v>
      </c>
      <c r="X80" s="144"/>
      <c r="Y80" s="145"/>
      <c r="Z80" s="145"/>
      <c r="AA80" s="145"/>
      <c r="AB80" s="145"/>
      <c r="AC80" s="145"/>
      <c r="AD80" s="145"/>
      <c r="AE80" s="145"/>
      <c r="AF80" s="145"/>
      <c r="AG80" s="148"/>
      <c r="AH80" s="148"/>
      <c r="AI80" s="144"/>
      <c r="AJ80" s="145"/>
      <c r="AK80" s="145"/>
      <c r="AL80" s="145"/>
      <c r="AM80" s="145"/>
      <c r="AN80" s="145"/>
      <c r="AO80" s="145"/>
      <c r="AP80" s="145"/>
      <c r="AQ80" s="145"/>
    </row>
    <row r="81" ht="15.6" spans="1:43">
      <c r="B81" s="147" t="s">
        <v>15</v>
      </c>
      <c r="C81" s="147" t="s">
        <v>58</v>
      </c>
      <c r="D81" s="107">
        <v>0.406689977995604</v>
      </c>
      <c r="E81" s="107">
        <v>0.502852432776352</v>
      </c>
      <c r="F81" s="107">
        <v>0.554108884992904</v>
      </c>
      <c r="G81" s="107">
        <v>0.744489523452993</v>
      </c>
      <c r="H81" s="107">
        <v>0.736200290709387</v>
      </c>
      <c r="I81" s="107">
        <v>0.654271430436742</v>
      </c>
      <c r="J81" s="107">
        <v>0.828061189780242</v>
      </c>
      <c r="K81" s="107">
        <v>0.476398141732735</v>
      </c>
      <c r="M81" s="147" t="s">
        <v>15</v>
      </c>
      <c r="N81" s="147" t="s">
        <v>58</v>
      </c>
      <c r="O81" s="107">
        <v>0.0485117626117646</v>
      </c>
      <c r="P81" s="107">
        <v>0.0157870707882364</v>
      </c>
      <c r="Q81" s="107">
        <v>-0.361226157324976</v>
      </c>
      <c r="R81" s="107">
        <v>-0.820468534992223</v>
      </c>
      <c r="S81" s="107">
        <v>-0.758624098167535</v>
      </c>
      <c r="T81" s="107">
        <v>-0.730384895674189</v>
      </c>
      <c r="U81" s="107">
        <v>-0.759569487261696</v>
      </c>
      <c r="V81" s="107">
        <v>0.166970960855884</v>
      </c>
      <c r="X81" s="144"/>
      <c r="Y81" s="145"/>
      <c r="Z81" s="145"/>
      <c r="AA81" s="145"/>
      <c r="AB81" s="145"/>
      <c r="AC81" s="145"/>
      <c r="AD81" s="145"/>
      <c r="AE81" s="145"/>
      <c r="AF81" s="145"/>
      <c r="AG81" s="148"/>
      <c r="AH81" s="148"/>
      <c r="AI81" s="144"/>
      <c r="AJ81" s="145"/>
      <c r="AK81" s="145"/>
      <c r="AL81" s="145"/>
      <c r="AM81" s="145"/>
      <c r="AN81" s="145"/>
      <c r="AO81" s="145"/>
      <c r="AP81" s="145"/>
      <c r="AQ81" s="145"/>
    </row>
    <row r="82" ht="15.6" spans="1:43">
      <c r="A82" s="101"/>
      <c r="B82" s="147" t="s">
        <v>15</v>
      </c>
      <c r="C82" s="147" t="s">
        <v>60</v>
      </c>
      <c r="D82" s="107">
        <v>1.78797490931152</v>
      </c>
      <c r="E82" s="107">
        <v>1.70825964067766</v>
      </c>
      <c r="F82" s="107">
        <v>1.68332692867332</v>
      </c>
      <c r="G82" s="107">
        <v>0.842194659165232</v>
      </c>
      <c r="H82" s="107">
        <v>1.32962739354367</v>
      </c>
      <c r="I82" s="107">
        <v>0.958942572962625</v>
      </c>
      <c r="J82" s="107">
        <v>1.47791998667313</v>
      </c>
      <c r="K82" s="107">
        <v>1.59872022473558</v>
      </c>
      <c r="M82" s="147" t="s">
        <v>15</v>
      </c>
      <c r="N82" s="147" t="s">
        <v>60</v>
      </c>
      <c r="O82" s="107">
        <v>16.3844726538348</v>
      </c>
      <c r="P82" s="107">
        <v>13.4541671637748</v>
      </c>
      <c r="Q82" s="107">
        <v>15.1227089831672</v>
      </c>
      <c r="R82" s="107">
        <v>-16.6987201494292</v>
      </c>
      <c r="S82" s="107">
        <v>-2.74268610783172</v>
      </c>
      <c r="T82" s="107">
        <v>-5.83825470656192</v>
      </c>
      <c r="U82" s="107">
        <v>1.4076202586105</v>
      </c>
      <c r="V82" s="107">
        <v>13.4142278637035</v>
      </c>
      <c r="X82" s="144"/>
      <c r="Y82" s="145"/>
      <c r="Z82" s="145"/>
      <c r="AA82" s="145"/>
      <c r="AB82" s="145"/>
      <c r="AC82" s="145"/>
      <c r="AD82" s="145"/>
      <c r="AE82" s="145"/>
      <c r="AF82" s="145"/>
      <c r="AG82" s="148"/>
      <c r="AH82" s="148"/>
      <c r="AI82" s="144"/>
      <c r="AJ82" s="145"/>
      <c r="AK82" s="145"/>
      <c r="AL82" s="145"/>
      <c r="AM82" s="145"/>
      <c r="AN82" s="145"/>
      <c r="AO82" s="145"/>
      <c r="AP82" s="145"/>
      <c r="AQ82" s="145"/>
    </row>
    <row r="83" ht="15.6" spans="1:43">
      <c r="A83" s="101"/>
      <c r="B83" s="147" t="s">
        <v>15</v>
      </c>
      <c r="C83" s="147" t="s">
        <v>62</v>
      </c>
      <c r="D83" s="107">
        <v>0.272027780999809</v>
      </c>
      <c r="E83" s="107">
        <v>0.314429477307864</v>
      </c>
      <c r="F83" s="107">
        <v>0.524415865148755</v>
      </c>
      <c r="G83" s="107">
        <v>0.951014046989374</v>
      </c>
      <c r="H83" s="107">
        <v>0.767810040111612</v>
      </c>
      <c r="I83" s="107">
        <v>0.78281139455706</v>
      </c>
      <c r="J83" s="107">
        <v>0.66610421680537</v>
      </c>
      <c r="K83" s="107">
        <v>0.282245484705846</v>
      </c>
      <c r="M83" s="147" t="s">
        <v>15</v>
      </c>
      <c r="N83" s="147" t="s">
        <v>62</v>
      </c>
      <c r="O83" s="107">
        <v>0.11480336788059</v>
      </c>
      <c r="P83" s="107">
        <v>0.130678014301699</v>
      </c>
      <c r="Q83" s="107">
        <v>-0.36475834671541</v>
      </c>
      <c r="R83" s="107">
        <v>-1.01468680526724</v>
      </c>
      <c r="S83" s="107">
        <v>-0.786651129711224</v>
      </c>
      <c r="T83" s="107">
        <v>-0.843066031188824</v>
      </c>
      <c r="U83" s="107">
        <v>-0.612985620734294</v>
      </c>
      <c r="V83" s="107">
        <v>0.323373120845729</v>
      </c>
      <c r="X83" s="144"/>
      <c r="Y83" s="145"/>
      <c r="Z83" s="145"/>
      <c r="AA83" s="145"/>
      <c r="AB83" s="145"/>
      <c r="AC83" s="145"/>
      <c r="AD83" s="145"/>
      <c r="AE83" s="145"/>
      <c r="AF83" s="145"/>
      <c r="AG83" s="148"/>
      <c r="AH83" s="148"/>
      <c r="AI83" s="144"/>
      <c r="AJ83" s="145"/>
      <c r="AK83" s="145"/>
      <c r="AL83" s="145"/>
      <c r="AM83" s="145"/>
      <c r="AN83" s="145"/>
      <c r="AO83" s="145"/>
      <c r="AP83" s="145"/>
      <c r="AQ83" s="145"/>
    </row>
    <row r="84" ht="15.6" spans="1:43">
      <c r="B84" s="147" t="s">
        <v>15</v>
      </c>
      <c r="C84" s="147" t="s">
        <v>64</v>
      </c>
      <c r="D84" s="107">
        <v>0.321787681108186</v>
      </c>
      <c r="E84" s="107">
        <v>0.361507323651834</v>
      </c>
      <c r="F84" s="107">
        <v>0.611591116343622</v>
      </c>
      <c r="G84" s="107">
        <v>1.10850858523498</v>
      </c>
      <c r="H84" s="107">
        <v>0.888413255756579</v>
      </c>
      <c r="I84" s="107">
        <v>0.843011844336074</v>
      </c>
      <c r="J84" s="107">
        <v>0.720930891603546</v>
      </c>
      <c r="K84" s="107">
        <v>0.345727166983537</v>
      </c>
      <c r="M84" s="147" t="s">
        <v>15</v>
      </c>
      <c r="N84" s="147" t="s">
        <v>64</v>
      </c>
      <c r="O84" s="107">
        <v>0.128906441509865</v>
      </c>
      <c r="P84" s="107">
        <v>0.154348171800133</v>
      </c>
      <c r="Q84" s="107">
        <v>-0.422360822676719</v>
      </c>
      <c r="R84" s="107">
        <v>-1.18378359076566</v>
      </c>
      <c r="S84" s="107">
        <v>-0.908087919736248</v>
      </c>
      <c r="T84" s="107">
        <v>-0.910185470946486</v>
      </c>
      <c r="U84" s="107">
        <v>-0.657994378314116</v>
      </c>
      <c r="V84" s="107">
        <v>0.345143045491985</v>
      </c>
      <c r="X84" s="144"/>
      <c r="Y84" s="145"/>
      <c r="Z84" s="145"/>
      <c r="AA84" s="145"/>
      <c r="AB84" s="145"/>
      <c r="AC84" s="145"/>
      <c r="AD84" s="145"/>
      <c r="AE84" s="145"/>
      <c r="AF84" s="145"/>
      <c r="AG84" s="148"/>
      <c r="AH84" s="148"/>
      <c r="AI84" s="144"/>
      <c r="AJ84" s="145"/>
      <c r="AK84" s="145"/>
      <c r="AL84" s="145"/>
      <c r="AM84" s="145"/>
      <c r="AN84" s="145"/>
      <c r="AO84" s="145"/>
      <c r="AP84" s="145"/>
      <c r="AQ84" s="145"/>
    </row>
    <row r="85" ht="15.6" spans="1:43">
      <c r="B85" s="147" t="s">
        <v>15</v>
      </c>
      <c r="C85" s="147" t="s">
        <v>66</v>
      </c>
      <c r="D85" s="107">
        <v>1.23008383125484</v>
      </c>
      <c r="E85" s="107">
        <v>1.11632845205226</v>
      </c>
      <c r="F85" s="107">
        <v>1.5983041829667</v>
      </c>
      <c r="G85" s="107">
        <v>1.72351622902531</v>
      </c>
      <c r="H85" s="107">
        <v>1.38536291302454</v>
      </c>
      <c r="I85" s="107">
        <v>1.27026719538765</v>
      </c>
      <c r="J85" s="107">
        <v>1.34077086427914</v>
      </c>
      <c r="K85" s="107">
        <v>0.88686174089509</v>
      </c>
      <c r="M85" s="147" t="s">
        <v>15</v>
      </c>
      <c r="N85" s="147" t="s">
        <v>66</v>
      </c>
      <c r="O85" s="107">
        <v>0.31638517622474</v>
      </c>
      <c r="P85" s="107">
        <v>0.194687914327618</v>
      </c>
      <c r="Q85" s="107">
        <v>-0.257288402704991</v>
      </c>
      <c r="R85" s="107">
        <v>-2.49957646177683</v>
      </c>
      <c r="S85" s="107">
        <v>-1.54162857507462</v>
      </c>
      <c r="T85" s="107">
        <v>-1.65009288716158</v>
      </c>
      <c r="U85" s="107">
        <v>-1.10391162160599</v>
      </c>
      <c r="V85" s="107">
        <v>0.425015422431112</v>
      </c>
      <c r="X85" s="144"/>
      <c r="Y85" s="145"/>
      <c r="Z85" s="145"/>
      <c r="AA85" s="145"/>
      <c r="AB85" s="145"/>
      <c r="AC85" s="145"/>
      <c r="AD85" s="145"/>
      <c r="AE85" s="145"/>
      <c r="AF85" s="145"/>
      <c r="AG85" s="148"/>
      <c r="AH85" s="148"/>
      <c r="AI85" s="144"/>
      <c r="AJ85" s="145"/>
      <c r="AK85" s="145"/>
      <c r="AL85" s="145"/>
      <c r="AM85" s="145"/>
      <c r="AN85" s="145"/>
      <c r="AO85" s="145"/>
      <c r="AP85" s="145"/>
      <c r="AQ85" s="145"/>
    </row>
    <row r="86" ht="15.6" spans="1:43">
      <c r="B86" s="143" t="str">
        <f>X86</f>
        <v>D02</v>
      </c>
      <c r="C86" s="143"/>
      <c r="D86" s="103">
        <f>Y86</f>
        <v>1.36880360284833</v>
      </c>
      <c r="E86" s="103">
        <f t="shared" ref="E86" si="348">Z86</f>
        <v>1.39929684085223</v>
      </c>
      <c r="F86" s="103">
        <f t="shared" ref="F86" si="349">AA86</f>
        <v>1.28809105317826</v>
      </c>
      <c r="G86" s="103">
        <f t="shared" ref="G86" si="350">AB86</f>
        <v>1.61318358277722</v>
      </c>
      <c r="H86" s="103">
        <f t="shared" ref="H86" si="351">AC86</f>
        <v>1.50970890875083</v>
      </c>
      <c r="I86" s="103">
        <f t="shared" ref="I86" si="352">AD86</f>
        <v>1.21735754664038</v>
      </c>
      <c r="J86" s="103">
        <f t="shared" ref="J86" si="353">AE86</f>
        <v>1.25764939929273</v>
      </c>
      <c r="K86" s="103">
        <f t="shared" ref="K86" si="354">AF86</f>
        <v>1.45755887059609</v>
      </c>
      <c r="L86" s="143"/>
      <c r="M86" s="143" t="str">
        <f t="shared" ref="M86" si="355">AI86</f>
        <v>D02</v>
      </c>
      <c r="N86" s="143"/>
      <c r="O86" s="103">
        <f>AJ86</f>
        <v>-1.3772023611052</v>
      </c>
      <c r="P86" s="103">
        <f t="shared" ref="P86" si="356">AK86</f>
        <v>-1.38827291892408</v>
      </c>
      <c r="Q86" s="103">
        <f t="shared" ref="Q86" si="357">AL86</f>
        <v>-1.49745148451702</v>
      </c>
      <c r="R86" s="103">
        <f t="shared" ref="R86" si="358">AM86</f>
        <v>-1.65672917926015</v>
      </c>
      <c r="S86" s="103">
        <f t="shared" ref="S86" si="359">AN86</f>
        <v>-1.62245159997797</v>
      </c>
      <c r="T86" s="103">
        <f t="shared" ref="T86" si="360">AO86</f>
        <v>-1.31991355833799</v>
      </c>
      <c r="U86" s="103">
        <f t="shared" ref="U86" si="361">AP86</f>
        <v>-1.35456938684589</v>
      </c>
      <c r="V86" s="103">
        <f t="shared" ref="V86" si="362">AQ86</f>
        <v>-1.36811625833927</v>
      </c>
      <c r="X86" s="144" t="s">
        <v>16</v>
      </c>
      <c r="Y86" s="145">
        <v>1.36880360284833</v>
      </c>
      <c r="Z86" s="145">
        <v>1.39929684085223</v>
      </c>
      <c r="AA86" s="145">
        <v>1.28809105317826</v>
      </c>
      <c r="AB86" s="145">
        <v>1.61318358277722</v>
      </c>
      <c r="AC86" s="145">
        <v>1.50970890875083</v>
      </c>
      <c r="AD86" s="145">
        <v>1.21735754664038</v>
      </c>
      <c r="AE86" s="145">
        <v>1.25764939929273</v>
      </c>
      <c r="AF86" s="145">
        <v>1.45755887059609</v>
      </c>
      <c r="AG86" s="148"/>
      <c r="AH86" s="148"/>
      <c r="AI86" s="144" t="s">
        <v>16</v>
      </c>
      <c r="AJ86" s="145">
        <v>-1.3772023611052</v>
      </c>
      <c r="AK86" s="145">
        <v>-1.38827291892408</v>
      </c>
      <c r="AL86" s="145">
        <v>-1.49745148451702</v>
      </c>
      <c r="AM86" s="145">
        <v>-1.65672917926015</v>
      </c>
      <c r="AN86" s="145">
        <v>-1.62245159997797</v>
      </c>
      <c r="AO86" s="145">
        <v>-1.31991355833799</v>
      </c>
      <c r="AP86" s="145">
        <v>-1.35456938684589</v>
      </c>
      <c r="AQ86" s="145">
        <v>-1.36811625833927</v>
      </c>
    </row>
    <row r="87" ht="15.6" spans="1:43">
      <c r="B87" s="147" t="s">
        <v>16</v>
      </c>
      <c r="C87" s="147" t="s">
        <v>76</v>
      </c>
      <c r="D87" s="107">
        <v>1.76740481118999</v>
      </c>
      <c r="E87" s="107">
        <v>1.84098612103234</v>
      </c>
      <c r="F87" s="107">
        <v>1.33880656620793</v>
      </c>
      <c r="G87" s="107">
        <v>2.27267048420429</v>
      </c>
      <c r="H87" s="107">
        <v>1.57563557131858</v>
      </c>
      <c r="I87" s="107">
        <v>1.43179049142458</v>
      </c>
      <c r="J87" s="107">
        <v>1.25840002895897</v>
      </c>
      <c r="K87" s="107">
        <v>1.80567990894121</v>
      </c>
      <c r="M87" s="147" t="s">
        <v>16</v>
      </c>
      <c r="N87" s="147" t="s">
        <v>76</v>
      </c>
      <c r="O87" s="107">
        <v>-1.34907387002682</v>
      </c>
      <c r="P87" s="107">
        <v>-1.46205901780192</v>
      </c>
      <c r="Q87" s="107">
        <v>-1.04392052133059</v>
      </c>
      <c r="R87" s="107">
        <v>-2.43351451924009</v>
      </c>
      <c r="S87" s="107">
        <v>-1.59888253199011</v>
      </c>
      <c r="T87" s="107">
        <v>-1.50643786533252</v>
      </c>
      <c r="U87" s="107">
        <v>-1.19037849000147</v>
      </c>
      <c r="V87" s="107">
        <v>-1.42353212486969</v>
      </c>
      <c r="X87" s="144"/>
      <c r="Y87" s="145"/>
      <c r="Z87" s="145"/>
      <c r="AA87" s="145"/>
      <c r="AB87" s="145"/>
      <c r="AC87" s="145"/>
      <c r="AD87" s="145"/>
      <c r="AE87" s="145"/>
      <c r="AF87" s="145"/>
      <c r="AG87" s="148"/>
      <c r="AH87" s="148"/>
      <c r="AI87" s="144"/>
      <c r="AJ87" s="145"/>
      <c r="AK87" s="145"/>
      <c r="AL87" s="145"/>
      <c r="AM87" s="145"/>
      <c r="AN87" s="145"/>
      <c r="AO87" s="145"/>
      <c r="AP87" s="145"/>
      <c r="AQ87" s="145"/>
    </row>
    <row r="88" ht="15.6" spans="1:43">
      <c r="B88" s="147" t="s">
        <v>16</v>
      </c>
      <c r="C88" s="147" t="s">
        <v>78</v>
      </c>
      <c r="D88" s="107">
        <v>0.644168134292266</v>
      </c>
      <c r="E88" s="107">
        <v>0.628579610525789</v>
      </c>
      <c r="F88" s="107">
        <v>0.792926643834671</v>
      </c>
      <c r="G88" s="107">
        <v>1.06167170800373</v>
      </c>
      <c r="H88" s="107">
        <v>1.11092544850721</v>
      </c>
      <c r="I88" s="107">
        <v>1.24828884658578</v>
      </c>
      <c r="J88" s="107">
        <v>1.33010971891438</v>
      </c>
      <c r="K88" s="107">
        <v>0.925679022390248</v>
      </c>
      <c r="M88" s="147" t="s">
        <v>16</v>
      </c>
      <c r="N88" s="147" t="s">
        <v>78</v>
      </c>
      <c r="O88" s="107">
        <v>0.560621331229049</v>
      </c>
      <c r="P88" s="107">
        <v>0.511383958638192</v>
      </c>
      <c r="Q88" s="107">
        <v>-0.0518821906481303</v>
      </c>
      <c r="R88" s="107">
        <v>-1.24021745590572</v>
      </c>
      <c r="S88" s="107">
        <v>-1.15822405649543</v>
      </c>
      <c r="T88" s="107">
        <v>-1.42142871474468</v>
      </c>
      <c r="U88" s="107">
        <v>-1.15631290332062</v>
      </c>
      <c r="V88" s="107">
        <v>0.848240694019385</v>
      </c>
      <c r="X88" s="144"/>
      <c r="Y88" s="145"/>
      <c r="Z88" s="145"/>
      <c r="AA88" s="145"/>
      <c r="AB88" s="145"/>
      <c r="AC88" s="145"/>
      <c r="AD88" s="145"/>
      <c r="AE88" s="145"/>
      <c r="AF88" s="145"/>
      <c r="AG88" s="148"/>
      <c r="AH88" s="148"/>
      <c r="AI88" s="144"/>
      <c r="AJ88" s="145"/>
      <c r="AK88" s="145"/>
      <c r="AL88" s="145"/>
      <c r="AM88" s="145"/>
      <c r="AN88" s="145"/>
      <c r="AO88" s="145"/>
      <c r="AP88" s="145"/>
      <c r="AQ88" s="145"/>
    </row>
    <row r="89" ht="15.6" spans="1:43">
      <c r="B89" s="147" t="s">
        <v>16</v>
      </c>
      <c r="C89" s="147" t="s">
        <v>80</v>
      </c>
      <c r="D89" s="107">
        <v>1.03267397189238</v>
      </c>
      <c r="E89" s="107">
        <v>1.08576750789989</v>
      </c>
      <c r="F89" s="107">
        <v>1.24708394499068</v>
      </c>
      <c r="G89" s="107">
        <v>1.94244466121839</v>
      </c>
      <c r="H89" s="107">
        <v>1.63364061178695</v>
      </c>
      <c r="I89" s="107">
        <v>1.41262969002139</v>
      </c>
      <c r="J89" s="107">
        <v>1.18570330240256</v>
      </c>
      <c r="K89" s="107">
        <v>1.04121001449754</v>
      </c>
      <c r="M89" s="147" t="s">
        <v>16</v>
      </c>
      <c r="N89" s="147" t="s">
        <v>80</v>
      </c>
      <c r="O89" s="107">
        <v>6.40312401806621</v>
      </c>
      <c r="P89" s="107">
        <v>6.26630977533636</v>
      </c>
      <c r="Q89" s="107">
        <v>2.88620967013449</v>
      </c>
      <c r="R89" s="107">
        <v>-4.44733796686585</v>
      </c>
      <c r="S89" s="107">
        <v>-2.10131337642898</v>
      </c>
      <c r="T89" s="107">
        <v>-2.61109518913621</v>
      </c>
      <c r="U89" s="107">
        <v>-0.0795982318228116</v>
      </c>
      <c r="V89" s="107">
        <v>6.94029745430946</v>
      </c>
      <c r="X89" s="144"/>
      <c r="Y89" s="145"/>
      <c r="Z89" s="145"/>
      <c r="AA89" s="145"/>
      <c r="AB89" s="145"/>
      <c r="AC89" s="145"/>
      <c r="AD89" s="145"/>
      <c r="AE89" s="145"/>
      <c r="AF89" s="145"/>
      <c r="AG89" s="148"/>
      <c r="AH89" s="148"/>
      <c r="AI89" s="144"/>
      <c r="AJ89" s="145"/>
      <c r="AK89" s="145"/>
      <c r="AL89" s="145"/>
      <c r="AM89" s="145"/>
      <c r="AN89" s="145"/>
      <c r="AO89" s="145"/>
      <c r="AP89" s="145"/>
      <c r="AQ89" s="145"/>
    </row>
    <row r="90" ht="15.6" spans="1:43">
      <c r="B90" s="147" t="s">
        <v>16</v>
      </c>
      <c r="C90" s="147" t="s">
        <v>82</v>
      </c>
      <c r="D90" s="107">
        <v>0.995329468583302</v>
      </c>
      <c r="E90" s="107">
        <v>1.00334767053147</v>
      </c>
      <c r="F90" s="107">
        <v>1.1391261790722</v>
      </c>
      <c r="G90" s="107">
        <v>1.64945108233769</v>
      </c>
      <c r="H90" s="107">
        <v>1.44608837190221</v>
      </c>
      <c r="I90" s="107">
        <v>1.18771625954298</v>
      </c>
      <c r="J90" s="107">
        <v>1.06971208530325</v>
      </c>
      <c r="K90" s="107">
        <v>0.993500767663377</v>
      </c>
      <c r="M90" s="147" t="s">
        <v>16</v>
      </c>
      <c r="N90" s="147" t="s">
        <v>82</v>
      </c>
      <c r="O90" s="107">
        <v>0.413400911179905</v>
      </c>
      <c r="P90" s="107">
        <v>0.320470595193538</v>
      </c>
      <c r="Q90" s="107">
        <v>-0.256544821839676</v>
      </c>
      <c r="R90" s="107">
        <v>-2.0840424866842</v>
      </c>
      <c r="S90" s="107">
        <v>-1.52446927732122</v>
      </c>
      <c r="T90" s="107">
        <v>-1.43616738983483</v>
      </c>
      <c r="U90" s="107">
        <v>-0.855938838610411</v>
      </c>
      <c r="V90" s="107">
        <v>0.500524995755747</v>
      </c>
      <c r="X90" s="144"/>
      <c r="Y90" s="145"/>
      <c r="Z90" s="145"/>
      <c r="AA90" s="145"/>
      <c r="AB90" s="145"/>
      <c r="AC90" s="145"/>
      <c r="AD90" s="145"/>
      <c r="AE90" s="145"/>
      <c r="AF90" s="145"/>
      <c r="AG90" s="148"/>
      <c r="AH90" s="148"/>
      <c r="AI90" s="144"/>
      <c r="AJ90" s="145"/>
      <c r="AK90" s="145"/>
      <c r="AL90" s="145"/>
      <c r="AM90" s="145"/>
      <c r="AN90" s="145"/>
      <c r="AO90" s="145"/>
      <c r="AP90" s="145"/>
      <c r="AQ90" s="145"/>
    </row>
    <row r="91" ht="15.6" spans="1:43">
      <c r="B91" s="147" t="s">
        <v>16</v>
      </c>
      <c r="C91" s="147" t="s">
        <v>84</v>
      </c>
      <c r="D91" s="107">
        <v>2.34218894560272</v>
      </c>
      <c r="E91" s="107">
        <v>2.24048494858255</v>
      </c>
      <c r="F91" s="107">
        <v>1.50180936096304</v>
      </c>
      <c r="G91" s="107">
        <v>1.98263069364054</v>
      </c>
      <c r="H91" s="107">
        <v>1.36316986218813</v>
      </c>
      <c r="I91" s="107">
        <v>1.12350460608914</v>
      </c>
      <c r="J91" s="107">
        <v>1.21487704158976</v>
      </c>
      <c r="K91" s="107">
        <v>2.26244017900628</v>
      </c>
      <c r="M91" s="147" t="s">
        <v>16</v>
      </c>
      <c r="N91" s="147" t="s">
        <v>84</v>
      </c>
      <c r="O91" s="107">
        <v>7.99168367139493</v>
      </c>
      <c r="P91" s="107">
        <v>6.00388209269452</v>
      </c>
      <c r="Q91" s="107">
        <v>10.3681177560931</v>
      </c>
      <c r="R91" s="107">
        <v>-8.86958690486222</v>
      </c>
      <c r="S91" s="107">
        <v>-2.6170203195209</v>
      </c>
      <c r="T91" s="107">
        <v>-3.56876249434415</v>
      </c>
      <c r="U91" s="107">
        <v>0.518838367857721</v>
      </c>
      <c r="V91" s="107">
        <v>6.00506404794129</v>
      </c>
      <c r="X91" s="144"/>
      <c r="Y91" s="145"/>
      <c r="Z91" s="145"/>
      <c r="AA91" s="145"/>
      <c r="AB91" s="145"/>
      <c r="AC91" s="145"/>
      <c r="AD91" s="145"/>
      <c r="AE91" s="145"/>
      <c r="AF91" s="145"/>
      <c r="AG91" s="148"/>
      <c r="AH91" s="148"/>
      <c r="AI91" s="144"/>
      <c r="AJ91" s="145"/>
      <c r="AK91" s="145"/>
      <c r="AL91" s="145"/>
      <c r="AM91" s="145"/>
      <c r="AN91" s="145"/>
      <c r="AO91" s="145"/>
      <c r="AP91" s="145"/>
      <c r="AQ91" s="145"/>
    </row>
    <row r="92" ht="15.6" spans="1:43">
      <c r="B92" s="147" t="s">
        <v>16</v>
      </c>
      <c r="C92" s="147" t="s">
        <v>86</v>
      </c>
      <c r="D92" s="107">
        <v>0.768320380947902</v>
      </c>
      <c r="E92" s="107">
        <v>0.743708367165731</v>
      </c>
      <c r="F92" s="107">
        <v>1.0997176612374</v>
      </c>
      <c r="G92" s="107">
        <v>1.41812378490732</v>
      </c>
      <c r="H92" s="107">
        <v>2.16938994397499</v>
      </c>
      <c r="I92" s="107">
        <v>1.65479102559261</v>
      </c>
      <c r="J92" s="107">
        <v>1.85151015381685</v>
      </c>
      <c r="K92" s="107">
        <v>0.864840428743104</v>
      </c>
      <c r="M92" s="147" t="s">
        <v>16</v>
      </c>
      <c r="N92" s="147" t="s">
        <v>86</v>
      </c>
      <c r="O92" s="107">
        <v>5.45877098695319</v>
      </c>
      <c r="P92" s="107">
        <v>5.22859312974556</v>
      </c>
      <c r="Q92" s="107">
        <v>2.60883824460768</v>
      </c>
      <c r="R92" s="107">
        <v>-2.76704847361048</v>
      </c>
      <c r="S92" s="107">
        <v>-2.44104223788762</v>
      </c>
      <c r="T92" s="107">
        <v>-2.72923221198549</v>
      </c>
      <c r="U92" s="107">
        <v>-1.04212435640756</v>
      </c>
      <c r="V92" s="107">
        <v>7.58433543878808</v>
      </c>
      <c r="X92" s="144"/>
      <c r="Y92" s="145"/>
      <c r="Z92" s="145"/>
      <c r="AA92" s="145"/>
      <c r="AB92" s="145"/>
      <c r="AC92" s="145"/>
      <c r="AD92" s="145"/>
      <c r="AE92" s="145"/>
      <c r="AF92" s="145"/>
      <c r="AG92" s="148"/>
      <c r="AH92" s="148"/>
      <c r="AI92" s="144"/>
      <c r="AJ92" s="145"/>
      <c r="AK92" s="145"/>
      <c r="AL92" s="145"/>
      <c r="AM92" s="145"/>
      <c r="AN92" s="145"/>
      <c r="AO92" s="145"/>
      <c r="AP92" s="145"/>
      <c r="AQ92" s="145"/>
    </row>
    <row r="93" ht="15.6" spans="1:43">
      <c r="B93" s="147" t="s">
        <v>16</v>
      </c>
      <c r="C93" s="147" t="s">
        <v>88</v>
      </c>
      <c r="D93" s="107">
        <v>2.07130482244956</v>
      </c>
      <c r="E93" s="107">
        <v>1.81429590874192</v>
      </c>
      <c r="F93" s="107">
        <v>2.2559592183662</v>
      </c>
      <c r="G93" s="107">
        <v>2.52194285748924</v>
      </c>
      <c r="H93" s="107">
        <v>1.24750969124446</v>
      </c>
      <c r="I93" s="107">
        <v>1.41646636957874</v>
      </c>
      <c r="J93" s="107">
        <v>1.71623118408746</v>
      </c>
      <c r="K93" s="107">
        <v>1.53884774980376</v>
      </c>
      <c r="M93" s="147" t="s">
        <v>16</v>
      </c>
      <c r="N93" s="147" t="s">
        <v>88</v>
      </c>
      <c r="O93" s="107">
        <v>1.77527427119247</v>
      </c>
      <c r="P93" s="107">
        <v>1.08027195234757</v>
      </c>
      <c r="Q93" s="107">
        <v>4.35703009587406</v>
      </c>
      <c r="R93" s="107">
        <v>-8.17725765088139</v>
      </c>
      <c r="S93" s="107">
        <v>-1.98022786018261</v>
      </c>
      <c r="T93" s="107">
        <v>-2.59581365415029</v>
      </c>
      <c r="U93" s="107">
        <v>-0.999214302057409</v>
      </c>
      <c r="V93" s="107">
        <v>1.75075754012356</v>
      </c>
      <c r="X93" s="144"/>
      <c r="Y93" s="145"/>
      <c r="Z93" s="145"/>
      <c r="AA93" s="145"/>
      <c r="AB93" s="145"/>
      <c r="AC93" s="145"/>
      <c r="AD93" s="145"/>
      <c r="AE93" s="145"/>
      <c r="AF93" s="145"/>
      <c r="AG93" s="148"/>
      <c r="AH93" s="148"/>
      <c r="AI93" s="144"/>
      <c r="AJ93" s="145"/>
      <c r="AK93" s="145"/>
      <c r="AL93" s="145"/>
      <c r="AM93" s="145"/>
      <c r="AN93" s="145"/>
      <c r="AO93" s="145"/>
      <c r="AP93" s="145"/>
      <c r="AQ93" s="145"/>
    </row>
    <row r="94" ht="15.6" spans="1:43">
      <c r="B94" s="147" t="s">
        <v>16</v>
      </c>
      <c r="C94" s="147" t="s">
        <v>90</v>
      </c>
      <c r="D94" s="107">
        <v>1.17536748515868</v>
      </c>
      <c r="E94" s="107">
        <v>1.18055284690091</v>
      </c>
      <c r="F94" s="107">
        <v>1.22848294905236</v>
      </c>
      <c r="G94" s="107">
        <v>1.73261755823997</v>
      </c>
      <c r="H94" s="107">
        <v>1.36131506495275</v>
      </c>
      <c r="I94" s="107">
        <v>1.42983361235223</v>
      </c>
      <c r="J94" s="107">
        <v>1.2603755559626</v>
      </c>
      <c r="K94" s="107">
        <v>1.19904655559445</v>
      </c>
      <c r="M94" s="147" t="s">
        <v>16</v>
      </c>
      <c r="N94" s="147" t="s">
        <v>90</v>
      </c>
      <c r="O94" s="107">
        <v>-0.203354740114767</v>
      </c>
      <c r="P94" s="107">
        <v>-0.291234462026995</v>
      </c>
      <c r="Q94" s="107">
        <v>-0.573428167316387</v>
      </c>
      <c r="R94" s="107">
        <v>-2.06923305338255</v>
      </c>
      <c r="S94" s="107">
        <v>-1.4194941444174</v>
      </c>
      <c r="T94" s="107">
        <v>-1.14840142566462</v>
      </c>
      <c r="U94" s="107">
        <v>-1.11453161140791</v>
      </c>
      <c r="V94" s="107">
        <v>0.0109397831237601</v>
      </c>
      <c r="X94" s="144"/>
      <c r="Y94" s="145"/>
      <c r="Z94" s="145"/>
      <c r="AA94" s="145"/>
      <c r="AB94" s="145"/>
      <c r="AC94" s="145"/>
      <c r="AD94" s="145"/>
      <c r="AE94" s="145"/>
      <c r="AF94" s="145"/>
      <c r="AG94" s="148"/>
      <c r="AH94" s="148"/>
      <c r="AI94" s="144"/>
      <c r="AJ94" s="145"/>
      <c r="AK94" s="145"/>
      <c r="AL94" s="145"/>
      <c r="AM94" s="145"/>
      <c r="AN94" s="145"/>
      <c r="AO94" s="145"/>
      <c r="AP94" s="145"/>
      <c r="AQ94" s="145"/>
    </row>
    <row r="95" ht="15.6" spans="1:43">
      <c r="B95" s="143" t="str">
        <f>X95</f>
        <v>D03</v>
      </c>
      <c r="C95" s="143"/>
      <c r="D95" s="103">
        <f>Y95</f>
        <v>0.922743843121122</v>
      </c>
      <c r="E95" s="103">
        <f t="shared" ref="E95" si="363">Z95</f>
        <v>0.893818903176997</v>
      </c>
      <c r="F95" s="103">
        <f t="shared" ref="F95" si="364">AA95</f>
        <v>1.09974265137597</v>
      </c>
      <c r="G95" s="103">
        <f t="shared" ref="G95" si="365">AB95</f>
        <v>1.22050152105558</v>
      </c>
      <c r="H95" s="103">
        <f t="shared" ref="H95" si="366">AC95</f>
        <v>1.1264975480271</v>
      </c>
      <c r="I95" s="103">
        <f t="shared" ref="I95" si="367">AD95</f>
        <v>1.08955457964013</v>
      </c>
      <c r="J95" s="103">
        <f t="shared" ref="J95" si="368">AE95</f>
        <v>1.14359664610099</v>
      </c>
      <c r="K95" s="103">
        <f t="shared" ref="K95" si="369">AF95</f>
        <v>0.832145080044927</v>
      </c>
      <c r="L95" s="143"/>
      <c r="M95" s="143" t="str">
        <f t="shared" ref="M95" si="370">AI95</f>
        <v>D03</v>
      </c>
      <c r="N95" s="143"/>
      <c r="O95" s="103">
        <f>AJ95</f>
        <v>-0.947180552921931</v>
      </c>
      <c r="P95" s="103">
        <f t="shared" ref="P95" si="371">AK95</f>
        <v>-0.906105645040229</v>
      </c>
      <c r="Q95" s="103">
        <f t="shared" ref="Q95" si="372">AL95</f>
        <v>-1.26154791700142</v>
      </c>
      <c r="R95" s="103">
        <f t="shared" ref="R95" si="373">AM95</f>
        <v>-1.25494740788115</v>
      </c>
      <c r="S95" s="103">
        <f t="shared" ref="S95" si="374">AN95</f>
        <v>-1.21218004255468</v>
      </c>
      <c r="T95" s="103">
        <f t="shared" ref="T95" si="375">AO95</f>
        <v>-1.17049375549814</v>
      </c>
      <c r="U95" s="103">
        <f t="shared" ref="U95" si="376">AP95</f>
        <v>-1.21978066257376</v>
      </c>
      <c r="V95" s="103">
        <f t="shared" ref="V95" si="377">AQ95</f>
        <v>-0.785933673569914</v>
      </c>
      <c r="X95" s="144" t="s">
        <v>17</v>
      </c>
      <c r="Y95" s="145">
        <v>0.922743843121122</v>
      </c>
      <c r="Z95" s="145">
        <v>0.893818903176997</v>
      </c>
      <c r="AA95" s="145">
        <v>1.09974265137597</v>
      </c>
      <c r="AB95" s="145">
        <v>1.22050152105558</v>
      </c>
      <c r="AC95" s="145">
        <v>1.1264975480271</v>
      </c>
      <c r="AD95" s="145">
        <v>1.08955457964013</v>
      </c>
      <c r="AE95" s="145">
        <v>1.14359664610099</v>
      </c>
      <c r="AF95" s="145">
        <v>0.832145080044927</v>
      </c>
      <c r="AG95" s="148"/>
      <c r="AH95" s="148"/>
      <c r="AI95" s="144" t="s">
        <v>17</v>
      </c>
      <c r="AJ95" s="145">
        <v>-0.947180552921931</v>
      </c>
      <c r="AK95" s="145">
        <v>-0.906105645040229</v>
      </c>
      <c r="AL95" s="145">
        <v>-1.26154791700142</v>
      </c>
      <c r="AM95" s="145">
        <v>-1.25494740788115</v>
      </c>
      <c r="AN95" s="145">
        <v>-1.21218004255468</v>
      </c>
      <c r="AO95" s="145">
        <v>-1.17049375549814</v>
      </c>
      <c r="AP95" s="145">
        <v>-1.21978066257376</v>
      </c>
      <c r="AQ95" s="145">
        <v>-0.785933673569914</v>
      </c>
    </row>
    <row r="96" ht="15.6" spans="1:43">
      <c r="B96" s="147" t="s">
        <v>17</v>
      </c>
      <c r="C96" s="147" t="s">
        <v>114</v>
      </c>
      <c r="D96" s="107">
        <v>0.868809700947957</v>
      </c>
      <c r="E96" s="107">
        <v>0.753231500117993</v>
      </c>
      <c r="F96" s="107">
        <v>1.07405194796796</v>
      </c>
      <c r="G96" s="107">
        <v>1.26306378918983</v>
      </c>
      <c r="H96" s="107">
        <v>1.12003862994544</v>
      </c>
      <c r="I96" s="107">
        <v>1.06301650492555</v>
      </c>
      <c r="J96" s="107">
        <v>1.03735649912601</v>
      </c>
      <c r="K96" s="107">
        <v>0.894668937648455</v>
      </c>
      <c r="M96" s="147" t="s">
        <v>17</v>
      </c>
      <c r="N96" s="147" t="s">
        <v>114</v>
      </c>
      <c r="O96" s="107">
        <v>-0.661416103995708</v>
      </c>
      <c r="P96" s="107">
        <v>-0.582891409286952</v>
      </c>
      <c r="Q96" s="107">
        <v>-0.877296347500716</v>
      </c>
      <c r="R96" s="107">
        <v>-1.31957995806779</v>
      </c>
      <c r="S96" s="107">
        <v>-1.1275365578465</v>
      </c>
      <c r="T96" s="107">
        <v>-1.09603279304317</v>
      </c>
      <c r="U96" s="107">
        <v>-1.00595044002675</v>
      </c>
      <c r="V96" s="107">
        <v>-0.660226669083211</v>
      </c>
      <c r="X96" s="144"/>
      <c r="Y96" s="145"/>
      <c r="Z96" s="145"/>
      <c r="AA96" s="145"/>
      <c r="AB96" s="145"/>
      <c r="AC96" s="145"/>
      <c r="AD96" s="145"/>
      <c r="AE96" s="145"/>
      <c r="AF96" s="145"/>
      <c r="AG96" s="148"/>
      <c r="AH96" s="148"/>
      <c r="AI96" s="144"/>
      <c r="AJ96" s="145"/>
      <c r="AK96" s="145"/>
      <c r="AL96" s="145"/>
      <c r="AM96" s="145"/>
      <c r="AN96" s="145"/>
      <c r="AO96" s="145"/>
      <c r="AP96" s="145"/>
      <c r="AQ96" s="145"/>
    </row>
    <row r="97" ht="15.6" spans="2:43">
      <c r="B97" s="143" t="str">
        <f>X97</f>
        <v>D04</v>
      </c>
      <c r="C97" s="143"/>
      <c r="D97" s="103">
        <f>Y97</f>
        <v>2.43978099198705</v>
      </c>
      <c r="E97" s="103">
        <f t="shared" ref="E97" si="378">Z97</f>
        <v>2.36053739477788</v>
      </c>
      <c r="F97" s="103">
        <f t="shared" ref="F97" si="379">AA97</f>
        <v>2.31449185928135</v>
      </c>
      <c r="G97" s="103">
        <f t="shared" ref="G97" si="380">AB97</f>
        <v>1.14818868306109</v>
      </c>
      <c r="H97" s="103">
        <f t="shared" ref="H97" si="381">AC97</f>
        <v>1.87174132478898</v>
      </c>
      <c r="I97" s="103">
        <f t="shared" ref="I97" si="382">AD97</f>
        <v>1.47162770472262</v>
      </c>
      <c r="J97" s="103">
        <f t="shared" ref="J97" si="383">AE97</f>
        <v>1.78258056053567</v>
      </c>
      <c r="K97" s="103">
        <f t="shared" ref="K97" si="384">AF97</f>
        <v>1.96520209552435</v>
      </c>
      <c r="L97" s="143"/>
      <c r="M97" s="143" t="str">
        <f t="shared" ref="M97" si="385">AI97</f>
        <v>D04</v>
      </c>
      <c r="N97" s="143"/>
      <c r="O97" s="103">
        <f>AJ97</f>
        <v>-2.33908755230611</v>
      </c>
      <c r="P97" s="103">
        <f t="shared" ref="P97" si="386">AK97</f>
        <v>-2.24138910742586</v>
      </c>
      <c r="Q97" s="103">
        <f t="shared" ref="Q97" si="387">AL97</f>
        <v>-2.54482319209126</v>
      </c>
      <c r="R97" s="103">
        <f t="shared" ref="R97" si="388">AM97</f>
        <v>-1.27655653804671</v>
      </c>
      <c r="S97" s="103">
        <f t="shared" ref="S97" si="389">AN97</f>
        <v>-2.06680263777598</v>
      </c>
      <c r="T97" s="103">
        <f t="shared" ref="T97" si="390">AO97</f>
        <v>-1.64702334701879</v>
      </c>
      <c r="U97" s="103">
        <f t="shared" ref="U97" si="391">AP97</f>
        <v>-1.87824201512229</v>
      </c>
      <c r="V97" s="103">
        <f t="shared" ref="V97" si="392">AQ97</f>
        <v>-1.81619161811958</v>
      </c>
      <c r="X97" s="144" t="s">
        <v>18</v>
      </c>
      <c r="Y97" s="145">
        <v>2.43978099198705</v>
      </c>
      <c r="Z97" s="145">
        <v>2.36053739477788</v>
      </c>
      <c r="AA97" s="145">
        <v>2.31449185928135</v>
      </c>
      <c r="AB97" s="145">
        <v>1.14818868306109</v>
      </c>
      <c r="AC97" s="145">
        <v>1.87174132478898</v>
      </c>
      <c r="AD97" s="145">
        <v>1.47162770472262</v>
      </c>
      <c r="AE97" s="145">
        <v>1.78258056053567</v>
      </c>
      <c r="AF97" s="145">
        <v>1.96520209552435</v>
      </c>
      <c r="AG97" s="148"/>
      <c r="AH97" s="148"/>
      <c r="AI97" s="144" t="s">
        <v>18</v>
      </c>
      <c r="AJ97" s="145">
        <v>-2.33908755230611</v>
      </c>
      <c r="AK97" s="145">
        <v>-2.24138910742586</v>
      </c>
      <c r="AL97" s="145">
        <v>-2.54482319209126</v>
      </c>
      <c r="AM97" s="145">
        <v>-1.27655653804671</v>
      </c>
      <c r="AN97" s="145">
        <v>-2.06680263777598</v>
      </c>
      <c r="AO97" s="145">
        <v>-1.64702334701879</v>
      </c>
      <c r="AP97" s="145">
        <v>-1.87824201512229</v>
      </c>
      <c r="AQ97" s="145">
        <v>-1.81619161811958</v>
      </c>
    </row>
    <row r="98" ht="15.6" spans="2:43">
      <c r="B98" s="147" t="s">
        <v>18</v>
      </c>
      <c r="C98" s="147" t="s">
        <v>102</v>
      </c>
      <c r="D98" s="107">
        <v>0.805750660144339</v>
      </c>
      <c r="E98" s="107">
        <v>0.852168347922496</v>
      </c>
      <c r="F98" s="107">
        <v>1.08069085640735</v>
      </c>
      <c r="G98" s="107">
        <v>1.54024663585196</v>
      </c>
      <c r="H98" s="107">
        <v>1.26148347734831</v>
      </c>
      <c r="I98" s="107">
        <v>1.04523360508211</v>
      </c>
      <c r="J98" s="107">
        <v>1.07316545581452</v>
      </c>
      <c r="K98" s="107">
        <v>0.729131504764526</v>
      </c>
      <c r="M98" s="147" t="s">
        <v>18</v>
      </c>
      <c r="N98" s="147" t="s">
        <v>102</v>
      </c>
      <c r="O98" s="107">
        <v>0.611269411209395</v>
      </c>
      <c r="P98" s="107">
        <v>0.598698015606482</v>
      </c>
      <c r="Q98" s="107">
        <v>-0.347645532249869</v>
      </c>
      <c r="R98" s="107">
        <v>-1.97002228044268</v>
      </c>
      <c r="S98" s="107">
        <v>-1.34068692512803</v>
      </c>
      <c r="T98" s="107">
        <v>-1.28744974947115</v>
      </c>
      <c r="U98" s="107">
        <v>-0.865849283614421</v>
      </c>
      <c r="V98" s="107">
        <v>0.828180500139801</v>
      </c>
      <c r="X98" s="144"/>
      <c r="Y98" s="145"/>
      <c r="Z98" s="145"/>
      <c r="AA98" s="145"/>
      <c r="AB98" s="145"/>
      <c r="AC98" s="145"/>
      <c r="AD98" s="145"/>
      <c r="AE98" s="145"/>
      <c r="AF98" s="145"/>
      <c r="AG98" s="148"/>
      <c r="AH98" s="148"/>
      <c r="AI98" s="144"/>
      <c r="AJ98" s="145"/>
      <c r="AK98" s="145"/>
      <c r="AL98" s="145"/>
      <c r="AM98" s="145"/>
      <c r="AN98" s="145"/>
      <c r="AO98" s="145"/>
      <c r="AP98" s="145"/>
      <c r="AQ98" s="145"/>
    </row>
    <row r="99" ht="15.6" spans="2:43">
      <c r="B99" s="147" t="s">
        <v>18</v>
      </c>
      <c r="C99" s="147" t="s">
        <v>104</v>
      </c>
      <c r="D99" s="107">
        <v>0.896834285290136</v>
      </c>
      <c r="E99" s="107">
        <v>0.84540667691092</v>
      </c>
      <c r="F99" s="107">
        <v>1.01833128122919</v>
      </c>
      <c r="G99" s="107">
        <v>0.847250640071678</v>
      </c>
      <c r="H99" s="107">
        <v>0.754112925393532</v>
      </c>
      <c r="I99" s="107">
        <v>0.750598882256723</v>
      </c>
      <c r="J99" s="107">
        <v>0.821203179049116</v>
      </c>
      <c r="K99" s="107">
        <v>0.733501468179022</v>
      </c>
      <c r="M99" s="147" t="s">
        <v>18</v>
      </c>
      <c r="N99" s="147" t="s">
        <v>104</v>
      </c>
      <c r="O99" s="107">
        <v>0.137401104897923</v>
      </c>
      <c r="P99" s="107">
        <v>0.0720453751879837</v>
      </c>
      <c r="Q99" s="107">
        <v>-0.254790642130755</v>
      </c>
      <c r="R99" s="107">
        <v>-1.21828052776055</v>
      </c>
      <c r="S99" s="107">
        <v>-0.817599664929603</v>
      </c>
      <c r="T99" s="107">
        <v>-0.959934934272958</v>
      </c>
      <c r="U99" s="107">
        <v>-0.656409684437932</v>
      </c>
      <c r="V99" s="107">
        <v>0.270011221146692</v>
      </c>
      <c r="X99" s="144"/>
      <c r="Y99" s="145"/>
      <c r="Z99" s="145"/>
      <c r="AA99" s="145"/>
      <c r="AB99" s="145"/>
      <c r="AC99" s="145"/>
      <c r="AD99" s="145"/>
      <c r="AE99" s="145"/>
      <c r="AF99" s="145"/>
      <c r="AG99" s="148"/>
      <c r="AH99" s="148"/>
      <c r="AI99" s="144"/>
      <c r="AJ99" s="145"/>
      <c r="AK99" s="145"/>
      <c r="AL99" s="145"/>
      <c r="AM99" s="145"/>
      <c r="AN99" s="145"/>
      <c r="AO99" s="145"/>
      <c r="AP99" s="145"/>
      <c r="AQ99" s="145"/>
    </row>
    <row r="100" ht="15.6" spans="2:43">
      <c r="B100" s="147" t="s">
        <v>18</v>
      </c>
      <c r="C100" s="147" t="s">
        <v>106</v>
      </c>
      <c r="D100" s="107">
        <v>0.704040995221032</v>
      </c>
      <c r="E100" s="107">
        <v>1.0586669896526</v>
      </c>
      <c r="F100" s="107">
        <v>0.493161620078021</v>
      </c>
      <c r="G100" s="107">
        <v>0.0267758296211675</v>
      </c>
      <c r="H100" s="107">
        <v>0.256129969745328</v>
      </c>
      <c r="I100" s="107">
        <v>0.68210163060711</v>
      </c>
      <c r="J100" s="107">
        <v>0.539838958127292</v>
      </c>
      <c r="K100" s="107">
        <v>1.03827318802169</v>
      </c>
      <c r="M100" s="147" t="s">
        <v>18</v>
      </c>
      <c r="N100" s="147" t="s">
        <v>106</v>
      </c>
      <c r="O100" s="107">
        <v>4.74760808752018</v>
      </c>
      <c r="P100" s="107">
        <v>5.58502532468457</v>
      </c>
      <c r="Q100" s="107">
        <v>1.66099251984236</v>
      </c>
      <c r="R100" s="107">
        <v>-0.831984462401107</v>
      </c>
      <c r="S100" s="107">
        <v>-0.49071090548762</v>
      </c>
      <c r="T100" s="107">
        <v>-1.60213198973604</v>
      </c>
      <c r="U100" s="107">
        <v>0.480527936931832</v>
      </c>
      <c r="V100" s="107">
        <v>5.81861803554747</v>
      </c>
      <c r="X100" s="144"/>
      <c r="Y100" s="145"/>
      <c r="Z100" s="145"/>
      <c r="AA100" s="145"/>
      <c r="AB100" s="145"/>
      <c r="AC100" s="145"/>
      <c r="AD100" s="145"/>
      <c r="AE100" s="145"/>
      <c r="AF100" s="145"/>
      <c r="AG100" s="148"/>
      <c r="AH100" s="148"/>
      <c r="AI100" s="144"/>
      <c r="AJ100" s="145"/>
      <c r="AK100" s="145"/>
      <c r="AL100" s="145"/>
      <c r="AM100" s="145"/>
      <c r="AN100" s="145"/>
      <c r="AO100" s="145"/>
      <c r="AP100" s="145"/>
      <c r="AQ100" s="145"/>
    </row>
    <row r="101" ht="15.6" spans="2:43">
      <c r="B101" s="147" t="s">
        <v>18</v>
      </c>
      <c r="C101" s="147" t="s">
        <v>126</v>
      </c>
      <c r="D101" s="107">
        <v>1.62190546750137</v>
      </c>
      <c r="E101" s="107">
        <v>1.44414054058776</v>
      </c>
      <c r="F101" s="107">
        <v>1.60402909052799</v>
      </c>
      <c r="G101" s="107">
        <v>0.900469779698604</v>
      </c>
      <c r="H101" s="107">
        <v>1.10875062710379</v>
      </c>
      <c r="I101" s="107">
        <v>1.48228680651372</v>
      </c>
      <c r="J101" s="107">
        <v>1.15811965238857</v>
      </c>
      <c r="K101" s="107">
        <v>1.19403083886648</v>
      </c>
      <c r="M101" s="147" t="s">
        <v>18</v>
      </c>
      <c r="N101" s="147" t="s">
        <v>126</v>
      </c>
      <c r="O101" s="107">
        <v>-0.450246087481057</v>
      </c>
      <c r="P101" s="107">
        <v>-0.529971387728946</v>
      </c>
      <c r="Q101" s="107">
        <v>-0.0708910843090084</v>
      </c>
      <c r="R101" s="107">
        <v>-1.72251345256209</v>
      </c>
      <c r="S101" s="107">
        <v>-1.25339881636155</v>
      </c>
      <c r="T101" s="107">
        <v>-1.82710066166467</v>
      </c>
      <c r="U101" s="107">
        <v>-0.950144107899952</v>
      </c>
      <c r="V101" s="107">
        <v>-0.311351034146017</v>
      </c>
      <c r="X101" s="144"/>
      <c r="Y101" s="145"/>
      <c r="Z101" s="145"/>
      <c r="AA101" s="145"/>
      <c r="AB101" s="145"/>
      <c r="AC101" s="145"/>
      <c r="AD101" s="145"/>
      <c r="AE101" s="145"/>
      <c r="AF101" s="145"/>
      <c r="AG101" s="148"/>
      <c r="AH101" s="148"/>
      <c r="AI101" s="144"/>
      <c r="AJ101" s="145"/>
      <c r="AK101" s="145"/>
      <c r="AL101" s="145"/>
      <c r="AM101" s="145"/>
      <c r="AN101" s="145"/>
      <c r="AO101" s="145"/>
      <c r="AP101" s="145"/>
      <c r="AQ101" s="145"/>
    </row>
    <row r="102" ht="15.6" spans="2:43">
      <c r="B102" s="143" t="str">
        <f>X102</f>
        <v>D05</v>
      </c>
      <c r="C102" s="143"/>
      <c r="D102" s="103">
        <f>Y102</f>
        <v>1.67161422114897</v>
      </c>
      <c r="E102" s="103">
        <f t="shared" ref="E102" si="393">Z102</f>
        <v>1.60278385375238</v>
      </c>
      <c r="F102" s="103">
        <f t="shared" ref="F102" si="394">AA102</f>
        <v>1.93667868098651</v>
      </c>
      <c r="G102" s="103">
        <f t="shared" ref="G102" si="395">AB102</f>
        <v>1.81448953801734</v>
      </c>
      <c r="H102" s="103">
        <f t="shared" ref="H102" si="396">AC102</f>
        <v>1.28064370484467</v>
      </c>
      <c r="I102" s="103">
        <f t="shared" ref="I102" si="397">AD102</f>
        <v>1.23706809990595</v>
      </c>
      <c r="J102" s="103">
        <f t="shared" ref="J102" si="398">AE102</f>
        <v>1.59306877939265</v>
      </c>
      <c r="K102" s="103">
        <f t="shared" ref="K102" si="399">AF102</f>
        <v>1.16977221097383</v>
      </c>
      <c r="L102" s="143"/>
      <c r="M102" s="143" t="str">
        <f t="shared" ref="M102" si="400">AI102</f>
        <v>D05</v>
      </c>
      <c r="N102" s="143"/>
      <c r="O102" s="103">
        <f>AJ102</f>
        <v>-1.76692559373027</v>
      </c>
      <c r="P102" s="103">
        <f t="shared" ref="P102" si="401">AK102</f>
        <v>-1.62948037815426</v>
      </c>
      <c r="Q102" s="103">
        <f t="shared" ref="Q102" si="402">AL102</f>
        <v>-2.94163287410403</v>
      </c>
      <c r="R102" s="103">
        <f t="shared" ref="R102" si="403">AM102</f>
        <v>-2.3267504294539</v>
      </c>
      <c r="S102" s="103">
        <f t="shared" ref="S102" si="404">AN102</f>
        <v>-2.12186879533442</v>
      </c>
      <c r="T102" s="103">
        <f t="shared" ref="T102" si="405">AO102</f>
        <v>-1.85572821018609</v>
      </c>
      <c r="U102" s="103">
        <f t="shared" ref="U102" si="406">AP102</f>
        <v>-2.03852842524086</v>
      </c>
      <c r="V102" s="103">
        <f t="shared" ref="V102" si="407">AQ102</f>
        <v>-0.984717831430099</v>
      </c>
      <c r="X102" s="144" t="s">
        <v>19</v>
      </c>
      <c r="Y102" s="145">
        <v>1.67161422114897</v>
      </c>
      <c r="Z102" s="145">
        <v>1.60278385375238</v>
      </c>
      <c r="AA102" s="145">
        <v>1.93667868098651</v>
      </c>
      <c r="AB102" s="145">
        <v>1.81448953801734</v>
      </c>
      <c r="AC102" s="145">
        <v>1.28064370484467</v>
      </c>
      <c r="AD102" s="145">
        <v>1.23706809990595</v>
      </c>
      <c r="AE102" s="145">
        <v>1.59306877939265</v>
      </c>
      <c r="AF102" s="145">
        <v>1.16977221097383</v>
      </c>
      <c r="AG102" s="148"/>
      <c r="AH102" s="148"/>
      <c r="AI102" s="144" t="s">
        <v>19</v>
      </c>
      <c r="AJ102" s="145">
        <v>-1.76692559373027</v>
      </c>
      <c r="AK102" s="145">
        <v>-1.62948037815426</v>
      </c>
      <c r="AL102" s="145">
        <v>-2.94163287410403</v>
      </c>
      <c r="AM102" s="145">
        <v>-2.3267504294539</v>
      </c>
      <c r="AN102" s="145">
        <v>-2.12186879533442</v>
      </c>
      <c r="AO102" s="145">
        <v>-1.85572821018609</v>
      </c>
      <c r="AP102" s="145">
        <v>-2.03852842524086</v>
      </c>
      <c r="AQ102" s="145">
        <v>-0.984717831430099</v>
      </c>
    </row>
    <row r="103" ht="15.6" spans="2:43">
      <c r="B103" s="147" t="s">
        <v>19</v>
      </c>
      <c r="C103" s="147" t="s">
        <v>100</v>
      </c>
      <c r="D103" s="107">
        <v>1.43289101284321</v>
      </c>
      <c r="E103" s="107">
        <v>1.33456297673667</v>
      </c>
      <c r="F103" s="107">
        <v>2.07297113572082</v>
      </c>
      <c r="G103" s="107">
        <v>1.65185484266432</v>
      </c>
      <c r="H103" s="107">
        <v>1.34741300163437</v>
      </c>
      <c r="I103" s="107">
        <v>1.65103944860256</v>
      </c>
      <c r="J103" s="107">
        <v>1.58708580782011</v>
      </c>
      <c r="K103" s="107">
        <v>0.981369278936206</v>
      </c>
      <c r="M103" s="147" t="s">
        <v>19</v>
      </c>
      <c r="N103" s="147" t="s">
        <v>100</v>
      </c>
      <c r="O103" s="107">
        <v>-0.795567465726928</v>
      </c>
      <c r="P103" s="107">
        <v>-0.771169071179381</v>
      </c>
      <c r="Q103" s="107">
        <v>-1.58646060591604</v>
      </c>
      <c r="R103" s="107">
        <v>-2.09865911726062</v>
      </c>
      <c r="S103" s="107">
        <v>-1.41759787794902</v>
      </c>
      <c r="T103" s="107">
        <v>-1.81856113341219</v>
      </c>
      <c r="U103" s="107">
        <v>-1.47302610469872</v>
      </c>
      <c r="V103" s="107">
        <v>-0.487726549498484</v>
      </c>
      <c r="X103" s="144"/>
      <c r="Y103" s="145"/>
      <c r="Z103" s="145"/>
      <c r="AA103" s="145"/>
      <c r="AB103" s="145"/>
      <c r="AC103" s="145"/>
      <c r="AD103" s="145"/>
      <c r="AE103" s="145"/>
      <c r="AF103" s="145"/>
      <c r="AG103" s="148"/>
      <c r="AH103" s="148"/>
      <c r="AI103" s="144"/>
      <c r="AJ103" s="145"/>
      <c r="AK103" s="145"/>
      <c r="AL103" s="145"/>
      <c r="AM103" s="145"/>
      <c r="AN103" s="145"/>
      <c r="AO103" s="145"/>
      <c r="AP103" s="145"/>
      <c r="AQ103" s="145"/>
    </row>
    <row r="104" ht="15.6" spans="2:43">
      <c r="B104" s="147" t="s">
        <v>19</v>
      </c>
      <c r="C104" s="147" t="s">
        <v>110</v>
      </c>
      <c r="D104" s="107">
        <v>0.609689248270689</v>
      </c>
      <c r="E104" s="107">
        <v>0.597764985816433</v>
      </c>
      <c r="F104" s="107">
        <v>0.918591801191355</v>
      </c>
      <c r="G104" s="107">
        <v>1.06329377469646</v>
      </c>
      <c r="H104" s="107">
        <v>1.08308795416213</v>
      </c>
      <c r="I104" s="107">
        <v>1.05588977315966</v>
      </c>
      <c r="J104" s="107">
        <v>0.938573900586868</v>
      </c>
      <c r="K104" s="107">
        <v>0.569736122370851</v>
      </c>
      <c r="M104" s="147" t="s">
        <v>19</v>
      </c>
      <c r="N104" s="147" t="s">
        <v>110</v>
      </c>
      <c r="O104" s="107">
        <v>-0.113075152882077</v>
      </c>
      <c r="P104" s="107">
        <v>-0.10494168675856</v>
      </c>
      <c r="Q104" s="107">
        <v>-0.645207100248255</v>
      </c>
      <c r="R104" s="107">
        <v>-1.17773395568542</v>
      </c>
      <c r="S104" s="107">
        <v>-1.1053972462718</v>
      </c>
      <c r="T104" s="107">
        <v>-1.13884958496309</v>
      </c>
      <c r="U104" s="107">
        <v>-0.865905315982735</v>
      </c>
      <c r="V104" s="107">
        <v>0.0340360031736429</v>
      </c>
      <c r="X104" s="144"/>
      <c r="Y104" s="145"/>
      <c r="Z104" s="145"/>
      <c r="AA104" s="145"/>
      <c r="AB104" s="145"/>
      <c r="AC104" s="145"/>
      <c r="AD104" s="145"/>
      <c r="AE104" s="145"/>
      <c r="AF104" s="145"/>
      <c r="AG104" s="148"/>
      <c r="AH104" s="148"/>
      <c r="AI104" s="144"/>
      <c r="AJ104" s="145"/>
      <c r="AK104" s="145"/>
      <c r="AL104" s="145"/>
      <c r="AM104" s="145"/>
      <c r="AN104" s="145"/>
      <c r="AO104" s="145"/>
      <c r="AP104" s="145"/>
      <c r="AQ104" s="145"/>
    </row>
    <row r="105" ht="15.6" spans="2:43">
      <c r="B105" s="143" t="str">
        <f>X105</f>
        <v>D23</v>
      </c>
      <c r="C105" s="143"/>
      <c r="D105" s="103">
        <f>Y105</f>
        <v>1.12364654431306</v>
      </c>
      <c r="E105" s="103">
        <f t="shared" ref="E105:E106" si="408">Z105</f>
        <v>1.14924431855877</v>
      </c>
      <c r="F105" s="103">
        <f t="shared" ref="F105:F106" si="409">AA105</f>
        <v>1.22538022622265</v>
      </c>
      <c r="G105" s="103">
        <f t="shared" ref="G105:G106" si="410">AB105</f>
        <v>0.795899196474852</v>
      </c>
      <c r="H105" s="103">
        <f t="shared" ref="H105:H106" si="411">AC105</f>
        <v>1.10134548342468</v>
      </c>
      <c r="I105" s="103">
        <f t="shared" ref="I105:I106" si="412">AD105</f>
        <v>1.23722410064592</v>
      </c>
      <c r="J105" s="103">
        <f t="shared" ref="J105:J106" si="413">AE105</f>
        <v>1.39145315592485</v>
      </c>
      <c r="K105" s="103">
        <f t="shared" ref="K105:K106" si="414">AF105</f>
        <v>1.01196001356732</v>
      </c>
      <c r="L105" s="143"/>
      <c r="M105" s="143" t="str">
        <f t="shared" ref="M105:M106" si="415">AI105</f>
        <v>D23</v>
      </c>
      <c r="N105" s="143"/>
      <c r="O105" s="103">
        <f>AJ105</f>
        <v>-1.14766297453514</v>
      </c>
      <c r="P105" s="103">
        <f t="shared" ref="P105:P106" si="416">AK105</f>
        <v>-1.15419209529388</v>
      </c>
      <c r="Q105" s="103">
        <f t="shared" ref="Q105:Q106" si="417">AL105</f>
        <v>-1.42992887343135</v>
      </c>
      <c r="R105" s="103">
        <f t="shared" ref="R105:R106" si="418">AM105</f>
        <v>-0.864699768391256</v>
      </c>
      <c r="S105" s="103">
        <f t="shared" ref="S105:S106" si="419">AN105</f>
        <v>-1.23792546360854</v>
      </c>
      <c r="T105" s="103">
        <f t="shared" ref="T105:T106" si="420">AO105</f>
        <v>-1.36311717184453</v>
      </c>
      <c r="U105" s="103">
        <f t="shared" ref="U105:U106" si="421">AP105</f>
        <v>-1.4981911018251</v>
      </c>
      <c r="V105" s="103">
        <f t="shared" ref="V105:V106" si="422">AQ105</f>
        <v>-0.945612099943004</v>
      </c>
      <c r="X105" s="144" t="s">
        <v>20</v>
      </c>
      <c r="Y105" s="145">
        <v>1.12364654431306</v>
      </c>
      <c r="Z105" s="145">
        <v>1.14924431855877</v>
      </c>
      <c r="AA105" s="145">
        <v>1.22538022622265</v>
      </c>
      <c r="AB105" s="145">
        <v>0.795899196474852</v>
      </c>
      <c r="AC105" s="145">
        <v>1.10134548342468</v>
      </c>
      <c r="AD105" s="145">
        <v>1.23722410064592</v>
      </c>
      <c r="AE105" s="145">
        <v>1.39145315592485</v>
      </c>
      <c r="AF105" s="145">
        <v>1.01196001356732</v>
      </c>
      <c r="AG105" s="148"/>
      <c r="AH105" s="148"/>
      <c r="AI105" s="144" t="s">
        <v>20</v>
      </c>
      <c r="AJ105" s="145">
        <v>-1.14766297453514</v>
      </c>
      <c r="AK105" s="145">
        <v>-1.15419209529388</v>
      </c>
      <c r="AL105" s="145">
        <v>-1.42992887343135</v>
      </c>
      <c r="AM105" s="145">
        <v>-0.864699768391256</v>
      </c>
      <c r="AN105" s="145">
        <v>-1.23792546360854</v>
      </c>
      <c r="AO105" s="145">
        <v>-1.36311717184453</v>
      </c>
      <c r="AP105" s="145">
        <v>-1.4981911018251</v>
      </c>
      <c r="AQ105" s="145">
        <v>-0.945612099943004</v>
      </c>
    </row>
    <row r="106" ht="15.6" spans="2:43">
      <c r="B106" s="143" t="str">
        <f>X106</f>
        <v>E00</v>
      </c>
      <c r="C106" s="143"/>
      <c r="D106" s="103">
        <f>Y106</f>
        <v>0.405572073703879</v>
      </c>
      <c r="E106" s="103">
        <f t="shared" si="408"/>
        <v>0.339358493818827</v>
      </c>
      <c r="F106" s="103">
        <f t="shared" si="409"/>
        <v>0.409110009666946</v>
      </c>
      <c r="G106" s="103">
        <f t="shared" si="410"/>
        <v>0.564190927720203</v>
      </c>
      <c r="H106" s="103">
        <f t="shared" si="411"/>
        <v>0.556778949796371</v>
      </c>
      <c r="I106" s="103">
        <f t="shared" si="412"/>
        <v>0.627167705221786</v>
      </c>
      <c r="J106" s="103">
        <f t="shared" si="413"/>
        <v>0.516647140089077</v>
      </c>
      <c r="K106" s="103">
        <f t="shared" si="414"/>
        <v>0.435266392164185</v>
      </c>
      <c r="L106" s="143"/>
      <c r="M106" s="143" t="str">
        <f t="shared" si="415"/>
        <v>E00</v>
      </c>
      <c r="N106" s="143"/>
      <c r="O106" s="103">
        <f>AJ106</f>
        <v>-0.442131242887866</v>
      </c>
      <c r="P106" s="103">
        <f t="shared" si="416"/>
        <v>-0.357943833540498</v>
      </c>
      <c r="Q106" s="103">
        <f t="shared" si="417"/>
        <v>-0.66841785188867</v>
      </c>
      <c r="R106" s="103">
        <f t="shared" si="418"/>
        <v>-0.621057269284116</v>
      </c>
      <c r="S106" s="103">
        <f t="shared" si="419"/>
        <v>-0.664597434156645</v>
      </c>
      <c r="T106" s="103">
        <f t="shared" si="420"/>
        <v>-0.733418250305377</v>
      </c>
      <c r="U106" s="103">
        <f t="shared" si="421"/>
        <v>-0.638440293329585</v>
      </c>
      <c r="V106" s="103">
        <f t="shared" si="422"/>
        <v>-0.347872856129477</v>
      </c>
      <c r="X106" s="144" t="s">
        <v>21</v>
      </c>
      <c r="Y106" s="145">
        <v>0.405572073703879</v>
      </c>
      <c r="Z106" s="145">
        <v>0.339358493818827</v>
      </c>
      <c r="AA106" s="145">
        <v>0.409110009666946</v>
      </c>
      <c r="AB106" s="145">
        <v>0.564190927720203</v>
      </c>
      <c r="AC106" s="145">
        <v>0.556778949796371</v>
      </c>
      <c r="AD106" s="145">
        <v>0.627167705221786</v>
      </c>
      <c r="AE106" s="145">
        <v>0.516647140089077</v>
      </c>
      <c r="AF106" s="145">
        <v>0.435266392164185</v>
      </c>
      <c r="AG106" s="148"/>
      <c r="AH106" s="148"/>
      <c r="AI106" s="144" t="s">
        <v>21</v>
      </c>
      <c r="AJ106" s="145">
        <v>-0.442131242887866</v>
      </c>
      <c r="AK106" s="145">
        <v>-0.357943833540498</v>
      </c>
      <c r="AL106" s="145">
        <v>-0.66841785188867</v>
      </c>
      <c r="AM106" s="145">
        <v>-0.621057269284116</v>
      </c>
      <c r="AN106" s="145">
        <v>-0.664597434156645</v>
      </c>
      <c r="AO106" s="145">
        <v>-0.733418250305377</v>
      </c>
      <c r="AP106" s="145">
        <v>-0.638440293329585</v>
      </c>
      <c r="AQ106" s="145">
        <v>-0.347872856129477</v>
      </c>
    </row>
    <row r="107" ht="15.6" spans="2:43">
      <c r="B107" s="147" t="s">
        <v>21</v>
      </c>
      <c r="C107" s="147" t="s">
        <v>96</v>
      </c>
      <c r="D107" s="107">
        <v>0.282769880054513</v>
      </c>
      <c r="E107" s="107">
        <v>0.289158225069576</v>
      </c>
      <c r="F107" s="107">
        <v>0.377549755236522</v>
      </c>
      <c r="G107" s="107">
        <v>0.539401732012554</v>
      </c>
      <c r="H107" s="107">
        <v>0.63092648185809</v>
      </c>
      <c r="I107" s="107">
        <v>0.614462617817971</v>
      </c>
      <c r="J107" s="107">
        <v>0.546419902321566</v>
      </c>
      <c r="K107" s="107">
        <v>0.352148804018844</v>
      </c>
      <c r="M107" s="147" t="s">
        <v>21</v>
      </c>
      <c r="N107" s="147" t="s">
        <v>96</v>
      </c>
      <c r="O107" s="107">
        <v>-0.207152666384111</v>
      </c>
      <c r="P107" s="107">
        <v>-0.210933346033496</v>
      </c>
      <c r="Q107" s="107">
        <v>-0.350719368051238</v>
      </c>
      <c r="R107" s="107">
        <v>-0.581069442334976</v>
      </c>
      <c r="S107" s="107">
        <v>-0.655640605585785</v>
      </c>
      <c r="T107" s="107">
        <v>-0.646115919136059</v>
      </c>
      <c r="U107" s="107">
        <v>-0.550343733491218</v>
      </c>
      <c r="V107" s="107">
        <v>-0.225088655346553</v>
      </c>
      <c r="X107" s="144"/>
      <c r="Y107" s="145"/>
      <c r="Z107" s="145"/>
      <c r="AA107" s="145"/>
      <c r="AB107" s="145"/>
      <c r="AC107" s="145"/>
      <c r="AD107" s="145"/>
      <c r="AE107" s="145"/>
      <c r="AF107" s="145"/>
      <c r="AG107" s="148"/>
      <c r="AH107" s="148"/>
      <c r="AI107" s="144"/>
      <c r="AJ107" s="145"/>
      <c r="AK107" s="145"/>
      <c r="AL107" s="145"/>
      <c r="AM107" s="145"/>
      <c r="AN107" s="145"/>
      <c r="AO107" s="145"/>
      <c r="AP107" s="145"/>
      <c r="AQ107" s="145"/>
    </row>
    <row r="108" ht="15.6" spans="2:43">
      <c r="B108" s="143" t="str">
        <f>X108</f>
        <v>F45</v>
      </c>
      <c r="C108" s="143"/>
      <c r="D108" s="103">
        <f>Y108</f>
        <v>1.30381303701509</v>
      </c>
      <c r="E108" s="103">
        <f t="shared" ref="E108:E109" si="423">Z108</f>
        <v>1.29386454544464</v>
      </c>
      <c r="F108" s="103">
        <f t="shared" ref="F108:F109" si="424">AA108</f>
        <v>2.17748501921423</v>
      </c>
      <c r="G108" s="103">
        <f t="shared" ref="G108:G109" si="425">AB108</f>
        <v>1.9294529863772</v>
      </c>
      <c r="H108" s="103">
        <f t="shared" ref="H108:H109" si="426">AC108</f>
        <v>1.95404408929338</v>
      </c>
      <c r="I108" s="103">
        <f t="shared" ref="I108:I109" si="427">AD108</f>
        <v>1.90359688438783</v>
      </c>
      <c r="J108" s="103">
        <f t="shared" ref="J108:J109" si="428">AE108</f>
        <v>1.59961442433157</v>
      </c>
      <c r="K108" s="103">
        <f t="shared" ref="K108:K109" si="429">AF108</f>
        <v>0.862650252686231</v>
      </c>
      <c r="L108" s="143"/>
      <c r="M108" s="143" t="str">
        <f t="shared" ref="M108:M109" si="430">AI108</f>
        <v>F45</v>
      </c>
      <c r="N108" s="143"/>
      <c r="O108" s="103">
        <f>AJ108</f>
        <v>-1.34125516138655</v>
      </c>
      <c r="P108" s="103">
        <f t="shared" ref="P108:P109" si="431">AK108</f>
        <v>-1.3053063370508</v>
      </c>
      <c r="Q108" s="103">
        <f t="shared" ref="Q108:Q109" si="432">AL108</f>
        <v>-2.37760502670418</v>
      </c>
      <c r="R108" s="103">
        <f t="shared" ref="R108:R109" si="433">AM108</f>
        <v>-2.12323277886074</v>
      </c>
      <c r="S108" s="103">
        <f t="shared" ref="S108:S109" si="434">AN108</f>
        <v>-2.22079429521755</v>
      </c>
      <c r="T108" s="103">
        <f t="shared" ref="T108:T109" si="435">AO108</f>
        <v>-2.07832260264534</v>
      </c>
      <c r="U108" s="103">
        <f t="shared" ref="U108:U109" si="436">AP108</f>
        <v>-1.75348529809327</v>
      </c>
      <c r="V108" s="103">
        <f t="shared" ref="V108:V109" si="437">AQ108</f>
        <v>-0.773172397299844</v>
      </c>
      <c r="X108" s="144" t="s">
        <v>22</v>
      </c>
      <c r="Y108" s="145">
        <v>1.30381303701509</v>
      </c>
      <c r="Z108" s="145">
        <v>1.29386454544464</v>
      </c>
      <c r="AA108" s="145">
        <v>2.17748501921423</v>
      </c>
      <c r="AB108" s="145">
        <v>1.9294529863772</v>
      </c>
      <c r="AC108" s="145">
        <v>1.95404408929338</v>
      </c>
      <c r="AD108" s="145">
        <v>1.90359688438783</v>
      </c>
      <c r="AE108" s="145">
        <v>1.59961442433157</v>
      </c>
      <c r="AF108" s="145">
        <v>0.862650252686231</v>
      </c>
      <c r="AG108" s="148"/>
      <c r="AH108" s="148"/>
      <c r="AI108" s="144" t="s">
        <v>22</v>
      </c>
      <c r="AJ108" s="145">
        <v>-1.34125516138655</v>
      </c>
      <c r="AK108" s="145">
        <v>-1.3053063370508</v>
      </c>
      <c r="AL108" s="145">
        <v>-2.37760502670418</v>
      </c>
      <c r="AM108" s="145">
        <v>-2.12323277886074</v>
      </c>
      <c r="AN108" s="145">
        <v>-2.22079429521755</v>
      </c>
      <c r="AO108" s="145">
        <v>-2.07832260264534</v>
      </c>
      <c r="AP108" s="145">
        <v>-1.75348529809327</v>
      </c>
      <c r="AQ108" s="145">
        <v>-0.773172397299844</v>
      </c>
    </row>
    <row r="109" ht="15.6" spans="2:43">
      <c r="B109" s="143" t="str">
        <f>X109</f>
        <v>G00</v>
      </c>
      <c r="C109" s="143"/>
      <c r="D109" s="103">
        <f>Y109</f>
        <v>1.87007308222215</v>
      </c>
      <c r="E109" s="103">
        <f t="shared" si="423"/>
        <v>1.7969773835689</v>
      </c>
      <c r="F109" s="103">
        <f t="shared" si="424"/>
        <v>2.55754217791877</v>
      </c>
      <c r="G109" s="103">
        <f t="shared" si="425"/>
        <v>2.62532026410103</v>
      </c>
      <c r="H109" s="103">
        <f t="shared" si="426"/>
        <v>2.52521702344234</v>
      </c>
      <c r="I109" s="103">
        <f t="shared" si="427"/>
        <v>2.72994199891913</v>
      </c>
      <c r="J109" s="103">
        <f t="shared" si="428"/>
        <v>2.45498279116214</v>
      </c>
      <c r="K109" s="103">
        <f t="shared" si="429"/>
        <v>1.1079869125713</v>
      </c>
      <c r="L109" s="143"/>
      <c r="M109" s="143" t="str">
        <f t="shared" si="430"/>
        <v>G00</v>
      </c>
      <c r="N109" s="143"/>
      <c r="O109" s="103">
        <f>AJ109</f>
        <v>-1.93596253042889</v>
      </c>
      <c r="P109" s="103">
        <f t="shared" si="431"/>
        <v>-1.80974630780724</v>
      </c>
      <c r="Q109" s="103">
        <f t="shared" si="432"/>
        <v>-3.24546992273434</v>
      </c>
      <c r="R109" s="103">
        <f t="shared" si="433"/>
        <v>-3.19741842185564</v>
      </c>
      <c r="S109" s="103">
        <f t="shared" si="434"/>
        <v>-3.47041821662771</v>
      </c>
      <c r="T109" s="103">
        <f t="shared" si="435"/>
        <v>-3.28850672867787</v>
      </c>
      <c r="U109" s="103">
        <f t="shared" si="436"/>
        <v>-2.73663043325365</v>
      </c>
      <c r="V109" s="103">
        <f t="shared" si="437"/>
        <v>-0.967476607698868</v>
      </c>
      <c r="X109" s="144" t="s">
        <v>23</v>
      </c>
      <c r="Y109" s="145">
        <v>1.87007308222215</v>
      </c>
      <c r="Z109" s="145">
        <v>1.7969773835689</v>
      </c>
      <c r="AA109" s="145">
        <v>2.55754217791877</v>
      </c>
      <c r="AB109" s="145">
        <v>2.62532026410103</v>
      </c>
      <c r="AC109" s="145">
        <v>2.52521702344234</v>
      </c>
      <c r="AD109" s="145">
        <v>2.72994199891913</v>
      </c>
      <c r="AE109" s="145">
        <v>2.45498279116214</v>
      </c>
      <c r="AF109" s="145">
        <v>1.1079869125713</v>
      </c>
      <c r="AG109" s="148"/>
      <c r="AH109" s="148"/>
      <c r="AI109" s="144" t="s">
        <v>23</v>
      </c>
      <c r="AJ109" s="145">
        <v>-1.93596253042889</v>
      </c>
      <c r="AK109" s="145">
        <v>-1.80974630780724</v>
      </c>
      <c r="AL109" s="145">
        <v>-3.24546992273434</v>
      </c>
      <c r="AM109" s="145">
        <v>-3.19741842185564</v>
      </c>
      <c r="AN109" s="145">
        <v>-3.47041821662771</v>
      </c>
      <c r="AO109" s="145">
        <v>-3.28850672867787</v>
      </c>
      <c r="AP109" s="145">
        <v>-2.73663043325365</v>
      </c>
      <c r="AQ109" s="145">
        <v>-0.967476607698868</v>
      </c>
    </row>
    <row r="110" ht="15.6" spans="2:43">
      <c r="B110" s="147" t="s">
        <v>23</v>
      </c>
      <c r="C110" s="147" t="s">
        <v>94</v>
      </c>
      <c r="D110" s="107">
        <v>1.3038133726378</v>
      </c>
      <c r="E110" s="107">
        <v>1.29386454544465</v>
      </c>
      <c r="F110" s="107">
        <v>2.17748501921423</v>
      </c>
      <c r="G110" s="107">
        <v>1.56444211499822</v>
      </c>
      <c r="H110" s="107">
        <v>2.01529249428286</v>
      </c>
      <c r="I110" s="107">
        <v>2.0466601459853</v>
      </c>
      <c r="J110" s="107">
        <v>1.69420653309802</v>
      </c>
      <c r="K110" s="107">
        <v>0.951372190440668</v>
      </c>
      <c r="M110" s="147" t="s">
        <v>23</v>
      </c>
      <c r="N110" s="147" t="s">
        <v>94</v>
      </c>
      <c r="O110" s="107">
        <v>-1.04803403045546</v>
      </c>
      <c r="P110" s="107">
        <v>-1.03212343274724</v>
      </c>
      <c r="Q110" s="107">
        <v>-1.97923627070398</v>
      </c>
      <c r="R110" s="107">
        <v>-1.7287455108894</v>
      </c>
      <c r="S110" s="107">
        <v>-2.00662893170799</v>
      </c>
      <c r="T110" s="107">
        <v>-2.06296067804812</v>
      </c>
      <c r="U110" s="107">
        <v>-1.62971090691207</v>
      </c>
      <c r="V110" s="107">
        <v>-0.739509742716399</v>
      </c>
      <c r="X110" s="144"/>
      <c r="Y110" s="145"/>
      <c r="Z110" s="145"/>
      <c r="AA110" s="145"/>
      <c r="AB110" s="145"/>
      <c r="AC110" s="145"/>
      <c r="AD110" s="145"/>
      <c r="AE110" s="145"/>
      <c r="AF110" s="145"/>
      <c r="AG110" s="148"/>
      <c r="AH110" s="148"/>
      <c r="AI110" s="144"/>
      <c r="AJ110" s="145"/>
      <c r="AK110" s="145"/>
      <c r="AL110" s="145"/>
      <c r="AM110" s="145"/>
      <c r="AN110" s="145"/>
      <c r="AO110" s="145"/>
      <c r="AP110" s="145"/>
      <c r="AQ110" s="145"/>
    </row>
    <row r="111" ht="15.6" spans="2:43">
      <c r="B111" s="143" t="str">
        <f>X111</f>
        <v>H55</v>
      </c>
      <c r="C111" s="143"/>
      <c r="D111" s="103">
        <f>Y111</f>
        <v>1.41086422720429</v>
      </c>
      <c r="E111" s="103">
        <f t="shared" ref="E111" si="438">Z111</f>
        <v>1.40934495276323</v>
      </c>
      <c r="F111" s="103">
        <f t="shared" ref="F111" si="439">AA111</f>
        <v>1.69753237099063</v>
      </c>
      <c r="G111" s="103">
        <f t="shared" ref="G111" si="440">AB111</f>
        <v>1.71211987253024</v>
      </c>
      <c r="H111" s="103">
        <f t="shared" ref="H111" si="441">AC111</f>
        <v>1.92513075035769</v>
      </c>
      <c r="I111" s="103">
        <f t="shared" ref="I111" si="442">AD111</f>
        <v>1.61988182580532</v>
      </c>
      <c r="J111" s="103">
        <f t="shared" ref="J111" si="443">AE111</f>
        <v>1.48574468280489</v>
      </c>
      <c r="K111" s="103">
        <f t="shared" ref="K111" si="444">AF111</f>
        <v>1.08278121326196</v>
      </c>
      <c r="L111" s="143"/>
      <c r="M111" s="143" t="str">
        <f t="shared" ref="M111" si="445">AI111</f>
        <v>H55</v>
      </c>
      <c r="N111" s="143"/>
      <c r="O111" s="103">
        <f>AJ111</f>
        <v>-1.4084701383241</v>
      </c>
      <c r="P111" s="103">
        <f t="shared" ref="P111" si="446">AK111</f>
        <v>-1.39289924999273</v>
      </c>
      <c r="Q111" s="103">
        <f t="shared" ref="Q111" si="447">AL111</f>
        <v>-1.82061496319015</v>
      </c>
      <c r="R111" s="103">
        <f t="shared" ref="R111" si="448">AM111</f>
        <v>-1.76960092821304</v>
      </c>
      <c r="S111" s="103">
        <f t="shared" ref="S111" si="449">AN111</f>
        <v>-1.99636783540541</v>
      </c>
      <c r="T111" s="103">
        <f t="shared" ref="T111" si="450">AO111</f>
        <v>-1.69064503469326</v>
      </c>
      <c r="U111" s="103">
        <f t="shared" ref="U111" si="451">AP111</f>
        <v>-1.54938658757874</v>
      </c>
      <c r="V111" s="103">
        <f t="shared" ref="V111" si="452">AQ111</f>
        <v>-1.03231316417485</v>
      </c>
      <c r="X111" s="144" t="s">
        <v>24</v>
      </c>
      <c r="Y111" s="145">
        <v>1.41086422720429</v>
      </c>
      <c r="Z111" s="145">
        <v>1.40934495276323</v>
      </c>
      <c r="AA111" s="145">
        <v>1.69753237099063</v>
      </c>
      <c r="AB111" s="145">
        <v>1.71211987253024</v>
      </c>
      <c r="AC111" s="145">
        <v>1.92513075035769</v>
      </c>
      <c r="AD111" s="145">
        <v>1.61988182580532</v>
      </c>
      <c r="AE111" s="145">
        <v>1.48574468280489</v>
      </c>
      <c r="AF111" s="145">
        <v>1.08278121326196</v>
      </c>
      <c r="AG111" s="148"/>
      <c r="AH111" s="148"/>
      <c r="AI111" s="144" t="s">
        <v>24</v>
      </c>
      <c r="AJ111" s="145">
        <v>-1.4084701383241</v>
      </c>
      <c r="AK111" s="145">
        <v>-1.39289924999273</v>
      </c>
      <c r="AL111" s="145">
        <v>-1.82061496319015</v>
      </c>
      <c r="AM111" s="145">
        <v>-1.76960092821304</v>
      </c>
      <c r="AN111" s="145">
        <v>-1.99636783540541</v>
      </c>
      <c r="AO111" s="145">
        <v>-1.69064503469326</v>
      </c>
      <c r="AP111" s="145">
        <v>-1.54938658757874</v>
      </c>
      <c r="AQ111" s="145">
        <v>-1.03231316417485</v>
      </c>
    </row>
    <row r="112" ht="15.6" spans="2:43">
      <c r="B112" s="147" t="s">
        <v>24</v>
      </c>
      <c r="C112" s="147" t="s">
        <v>70</v>
      </c>
      <c r="D112" s="107">
        <v>1.09662139831363</v>
      </c>
      <c r="E112" s="107">
        <v>1.05712329084614</v>
      </c>
      <c r="F112" s="107">
        <v>1.15101645502857</v>
      </c>
      <c r="G112" s="107">
        <v>1.52030202186707</v>
      </c>
      <c r="H112" s="107">
        <v>1.47223936638124</v>
      </c>
      <c r="I112" s="107">
        <v>1.29249397713029</v>
      </c>
      <c r="J112" s="107">
        <v>1.22084748988729</v>
      </c>
      <c r="K112" s="107">
        <v>0.913014674484721</v>
      </c>
      <c r="M112" s="147" t="s">
        <v>24</v>
      </c>
      <c r="N112" s="147" t="s">
        <v>70</v>
      </c>
      <c r="O112" s="107">
        <v>-0.859826630490978</v>
      </c>
      <c r="P112" s="107">
        <v>-0.848806317124891</v>
      </c>
      <c r="Q112" s="107">
        <v>-0.971327613255487</v>
      </c>
      <c r="R112" s="107">
        <v>-1.60880084646957</v>
      </c>
      <c r="S112" s="107">
        <v>-1.47622934761601</v>
      </c>
      <c r="T112" s="107">
        <v>-1.32905673672447</v>
      </c>
      <c r="U112" s="107">
        <v>-1.17869277330684</v>
      </c>
      <c r="V112" s="107">
        <v>-0.692289746633747</v>
      </c>
      <c r="X112" s="144"/>
      <c r="Y112" s="145"/>
      <c r="Z112" s="145"/>
      <c r="AA112" s="145"/>
      <c r="AB112" s="145"/>
      <c r="AC112" s="145"/>
      <c r="AD112" s="145"/>
      <c r="AE112" s="145"/>
      <c r="AF112" s="145"/>
      <c r="AG112" s="148"/>
      <c r="AH112" s="148"/>
      <c r="AI112" s="144"/>
      <c r="AJ112" s="145"/>
      <c r="AK112" s="145"/>
      <c r="AL112" s="145"/>
      <c r="AM112" s="145"/>
      <c r="AN112" s="145"/>
      <c r="AO112" s="145"/>
      <c r="AP112" s="145"/>
      <c r="AQ112" s="145"/>
    </row>
    <row r="113" ht="15.6" spans="1:1024 1025:16384">
      <c r="B113" s="143" t="str">
        <f>X113</f>
        <v>I01</v>
      </c>
      <c r="C113" s="143"/>
      <c r="D113" s="103">
        <f>Y113</f>
        <v>1.11696894800404</v>
      </c>
      <c r="E113" s="103">
        <f t="shared" ref="E113" si="453">Z113</f>
        <v>1.17995321627048</v>
      </c>
      <c r="F113" s="103">
        <f t="shared" ref="F113" si="454">AA113</f>
        <v>0.899211750810724</v>
      </c>
      <c r="G113" s="103">
        <f t="shared" ref="G113" si="455">AB113</f>
        <v>1.33666593885455</v>
      </c>
      <c r="H113" s="103">
        <f t="shared" ref="H113" si="456">AC113</f>
        <v>1.18253269241749</v>
      </c>
      <c r="I113" s="103">
        <f t="shared" ref="I113" si="457">AD113</f>
        <v>0.968056512300013</v>
      </c>
      <c r="J113" s="103">
        <f t="shared" ref="J113" si="458">AE113</f>
        <v>0.871758100090123</v>
      </c>
      <c r="K113" s="103">
        <f t="shared" ref="K113" si="459">AF113</f>
        <v>1.20241226459202</v>
      </c>
      <c r="L113" s="143"/>
      <c r="M113" s="143" t="str">
        <f t="shared" ref="M113" si="460">AI113</f>
        <v>I01</v>
      </c>
      <c r="N113" s="143"/>
      <c r="O113" s="103">
        <f>AJ113</f>
        <v>-1.15750424101635</v>
      </c>
      <c r="P113" s="103">
        <f t="shared" ref="P113" si="461">AK113</f>
        <v>-1.19116878269748</v>
      </c>
      <c r="Q113" s="103">
        <f t="shared" ref="Q113" si="462">AL113</f>
        <v>-1.23886403596233</v>
      </c>
      <c r="R113" s="103">
        <f t="shared" ref="R113" si="463">AM113</f>
        <v>-1.43017639875886</v>
      </c>
      <c r="S113" s="103">
        <f t="shared" ref="S113" si="464">AN113</f>
        <v>-1.3701883181044</v>
      </c>
      <c r="T113" s="103">
        <f t="shared" ref="T113" si="465">AO113</f>
        <v>-1.14670150824508</v>
      </c>
      <c r="U113" s="103">
        <f t="shared" ref="U113" si="466">AP113</f>
        <v>-1.06387880474049</v>
      </c>
      <c r="V113" s="103">
        <f t="shared" ref="V113" si="467">AQ113</f>
        <v>-1.0906570079454</v>
      </c>
      <c r="X113" s="144" t="s">
        <v>25</v>
      </c>
      <c r="Y113" s="145">
        <v>1.11696894800404</v>
      </c>
      <c r="Z113" s="145">
        <v>1.17995321627048</v>
      </c>
      <c r="AA113" s="145">
        <v>0.899211750810724</v>
      </c>
      <c r="AB113" s="145">
        <v>1.33666593885455</v>
      </c>
      <c r="AC113" s="145">
        <v>1.18253269241749</v>
      </c>
      <c r="AD113" s="145">
        <v>0.968056512300013</v>
      </c>
      <c r="AE113" s="145">
        <v>0.871758100090123</v>
      </c>
      <c r="AF113" s="145">
        <v>1.20241226459202</v>
      </c>
      <c r="AG113" s="148"/>
      <c r="AH113" s="148"/>
      <c r="AI113" s="144" t="s">
        <v>25</v>
      </c>
      <c r="AJ113" s="145">
        <v>-1.15750424101635</v>
      </c>
      <c r="AK113" s="145">
        <v>-1.19116878269748</v>
      </c>
      <c r="AL113" s="145">
        <v>-1.23886403596233</v>
      </c>
      <c r="AM113" s="145">
        <v>-1.43017639875886</v>
      </c>
      <c r="AN113" s="145">
        <v>-1.3701883181044</v>
      </c>
      <c r="AO113" s="145">
        <v>-1.14670150824508</v>
      </c>
      <c r="AP113" s="145">
        <v>-1.06387880474049</v>
      </c>
      <c r="AQ113" s="145">
        <v>-1.0906570079454</v>
      </c>
    </row>
    <row r="114" ht="15.6" spans="1:1024 1025:16384">
      <c r="B114" s="147" t="s">
        <v>25</v>
      </c>
      <c r="C114" s="147" t="s">
        <v>120</v>
      </c>
      <c r="D114" s="107">
        <v>2.61976740501884</v>
      </c>
      <c r="E114" s="107">
        <v>2.54565708446099</v>
      </c>
      <c r="F114" s="107">
        <v>2.95216078974683</v>
      </c>
      <c r="G114" s="107">
        <v>2.37673568434062</v>
      </c>
      <c r="H114" s="107">
        <v>3.42030503743889</v>
      </c>
      <c r="I114" s="107">
        <v>2.7655934338115</v>
      </c>
      <c r="J114" s="107">
        <v>2.93486440592952</v>
      </c>
      <c r="K114" s="107">
        <v>1.88790836961903</v>
      </c>
      <c r="M114" s="147" t="s">
        <v>25</v>
      </c>
      <c r="N114" s="147" t="s">
        <v>120</v>
      </c>
      <c r="O114" s="107">
        <v>-2.30689950678312</v>
      </c>
      <c r="P114" s="107">
        <v>-2.24941487697445</v>
      </c>
      <c r="Q114" s="107">
        <v>-2.63356988309679</v>
      </c>
      <c r="R114" s="107">
        <v>-2.48624594680406</v>
      </c>
      <c r="S114" s="107">
        <v>-3.28927213579297</v>
      </c>
      <c r="T114" s="107">
        <v>-2.69473126707847</v>
      </c>
      <c r="U114" s="107">
        <v>-2.72408738714691</v>
      </c>
      <c r="V114" s="107">
        <v>-1.69062358387397</v>
      </c>
      <c r="X114" s="144"/>
      <c r="Y114" s="145"/>
      <c r="Z114" s="145"/>
      <c r="AA114" s="145"/>
      <c r="AB114" s="145"/>
      <c r="AC114" s="145"/>
      <c r="AD114" s="145"/>
      <c r="AE114" s="145"/>
      <c r="AF114" s="145"/>
      <c r="AG114" s="148"/>
      <c r="AH114" s="148"/>
      <c r="AI114" s="144"/>
      <c r="AJ114" s="145"/>
      <c r="AK114" s="145"/>
      <c r="AL114" s="145"/>
      <c r="AM114" s="145"/>
      <c r="AN114" s="145"/>
      <c r="AO114" s="145"/>
      <c r="AP114" s="145"/>
      <c r="AQ114" s="145"/>
    </row>
    <row r="115" ht="15.6" spans="1:1024 1025:16384">
      <c r="B115" s="147" t="s">
        <v>25</v>
      </c>
      <c r="C115" s="147" t="s">
        <v>122</v>
      </c>
      <c r="D115" s="107">
        <v>0.445441507147527</v>
      </c>
      <c r="E115" s="107">
        <v>0.41501253051714</v>
      </c>
      <c r="F115" s="107">
        <v>0.798404437965162</v>
      </c>
      <c r="G115" s="107">
        <v>1.1558475586695</v>
      </c>
      <c r="H115" s="107">
        <v>1.2684816838082</v>
      </c>
      <c r="I115" s="107">
        <v>0.985518451049952</v>
      </c>
      <c r="J115" s="107">
        <v>0.946722807345851</v>
      </c>
      <c r="K115" s="107">
        <v>0.317216559240381</v>
      </c>
      <c r="M115" s="147" t="s">
        <v>25</v>
      </c>
      <c r="N115" s="147" t="s">
        <v>122</v>
      </c>
      <c r="O115" s="107">
        <v>-0.142948283104102</v>
      </c>
      <c r="P115" s="107">
        <v>-0.109432785168529</v>
      </c>
      <c r="Q115" s="107">
        <v>-0.639627482608415</v>
      </c>
      <c r="R115" s="107">
        <v>-1.23049402845947</v>
      </c>
      <c r="S115" s="107">
        <v>-1.27485789089938</v>
      </c>
      <c r="T115" s="107">
        <v>-1.03077791996571</v>
      </c>
      <c r="U115" s="107">
        <v>-0.906054330894774</v>
      </c>
      <c r="V115" s="107">
        <v>0.085248748751114</v>
      </c>
      <c r="X115" s="144"/>
      <c r="Y115" s="145"/>
      <c r="Z115" s="145"/>
      <c r="AA115" s="145"/>
      <c r="AB115" s="145"/>
      <c r="AC115" s="145"/>
      <c r="AD115" s="145"/>
      <c r="AE115" s="145"/>
      <c r="AF115" s="145"/>
      <c r="AG115" s="148"/>
      <c r="AH115" s="148"/>
      <c r="AI115" s="144"/>
      <c r="AJ115" s="145"/>
      <c r="AK115" s="145"/>
      <c r="AL115" s="145"/>
      <c r="AM115" s="145"/>
      <c r="AN115" s="145"/>
      <c r="AO115" s="145"/>
      <c r="AP115" s="145"/>
      <c r="AQ115" s="145"/>
    </row>
    <row r="116" ht="15.6" spans="1:1024 1025:16384">
      <c r="B116" s="143" t="str">
        <f>X116</f>
        <v>I02</v>
      </c>
      <c r="C116" s="143"/>
      <c r="D116" s="103">
        <f>Y116</f>
        <v>1.23336893183315</v>
      </c>
      <c r="E116" s="103">
        <f t="shared" ref="E116" si="468">Z116</f>
        <v>1.11559034995416</v>
      </c>
      <c r="F116" s="103">
        <f t="shared" ref="F116" si="469">AA116</f>
        <v>1.27119365420114</v>
      </c>
      <c r="G116" s="103">
        <f t="shared" ref="G116" si="470">AB116</f>
        <v>1.50810438168069</v>
      </c>
      <c r="H116" s="103">
        <f t="shared" ref="H116" si="471">AC116</f>
        <v>1.43455833054347</v>
      </c>
      <c r="I116" s="103">
        <f t="shared" ref="I116" si="472">AD116</f>
        <v>1.27758010464011</v>
      </c>
      <c r="J116" s="103">
        <f t="shared" ref="J116" si="473">AE116</f>
        <v>1.30288766879416</v>
      </c>
      <c r="K116" s="103">
        <f t="shared" ref="K116" si="474">AF116</f>
        <v>0.957066398268372</v>
      </c>
      <c r="L116" s="143"/>
      <c r="M116" s="143" t="str">
        <f t="shared" ref="M116" si="475">AI116</f>
        <v>I02</v>
      </c>
      <c r="N116" s="143"/>
      <c r="O116" s="103">
        <f>AJ116</f>
        <v>-1.28000098534158</v>
      </c>
      <c r="P116" s="103">
        <f t="shared" ref="P116" si="476">AK116</f>
        <v>-1.12983457894172</v>
      </c>
      <c r="Q116" s="103">
        <f t="shared" ref="Q116" si="477">AL116</f>
        <v>-1.63110084721175</v>
      </c>
      <c r="R116" s="103">
        <f t="shared" ref="R116" si="478">AM116</f>
        <v>-1.67449913702314</v>
      </c>
      <c r="S116" s="103">
        <f t="shared" ref="S116" si="479">AN116</f>
        <v>-1.71124735324861</v>
      </c>
      <c r="T116" s="103">
        <f t="shared" ref="T116" si="480">AO116</f>
        <v>-1.50820588206631</v>
      </c>
      <c r="U116" s="103">
        <f t="shared" ref="U116" si="481">AP116</f>
        <v>-1.51246080201112</v>
      </c>
      <c r="V116" s="103">
        <f t="shared" ref="V116" si="482">AQ116</f>
        <v>-0.848965605090933</v>
      </c>
      <c r="X116" s="144" t="s">
        <v>26</v>
      </c>
      <c r="Y116" s="145">
        <v>1.23336893183315</v>
      </c>
      <c r="Z116" s="145">
        <v>1.11559034995416</v>
      </c>
      <c r="AA116" s="145">
        <v>1.27119365420114</v>
      </c>
      <c r="AB116" s="145">
        <v>1.50810438168069</v>
      </c>
      <c r="AC116" s="145">
        <v>1.43455833054347</v>
      </c>
      <c r="AD116" s="145">
        <v>1.27758010464011</v>
      </c>
      <c r="AE116" s="145">
        <v>1.30288766879416</v>
      </c>
      <c r="AF116" s="145">
        <v>0.957066398268372</v>
      </c>
      <c r="AG116" s="148"/>
      <c r="AH116" s="148"/>
      <c r="AI116" s="144" t="s">
        <v>26</v>
      </c>
      <c r="AJ116" s="145">
        <v>-1.28000098534158</v>
      </c>
      <c r="AK116" s="145">
        <v>-1.12983457894172</v>
      </c>
      <c r="AL116" s="145">
        <v>-1.63110084721175</v>
      </c>
      <c r="AM116" s="145">
        <v>-1.67449913702314</v>
      </c>
      <c r="AN116" s="145">
        <v>-1.71124735324861</v>
      </c>
      <c r="AO116" s="145">
        <v>-1.50820588206631</v>
      </c>
      <c r="AP116" s="145">
        <v>-1.51246080201112</v>
      </c>
      <c r="AQ116" s="145">
        <v>-0.848965605090933</v>
      </c>
    </row>
    <row r="117" ht="15.6" spans="1:1024 1025:16384">
      <c r="B117" s="147" t="s">
        <v>26</v>
      </c>
      <c r="C117" s="147" t="s">
        <v>124</v>
      </c>
      <c r="D117" s="107">
        <v>1.23981920758097</v>
      </c>
      <c r="E117" s="107">
        <v>1.12354851621982</v>
      </c>
      <c r="F117" s="107">
        <v>1.25724615690893</v>
      </c>
      <c r="G117" s="107">
        <v>1.36022266757349</v>
      </c>
      <c r="H117" s="107">
        <v>1.54201207283227</v>
      </c>
      <c r="I117" s="107">
        <v>1.31887645909898</v>
      </c>
      <c r="J117" s="107">
        <v>1.24173505636718</v>
      </c>
      <c r="K117" s="107">
        <v>1.01394476737145</v>
      </c>
      <c r="M117" s="147" t="s">
        <v>26</v>
      </c>
      <c r="N117" s="147" t="s">
        <v>124</v>
      </c>
      <c r="O117" s="107">
        <v>-0.983734685575697</v>
      </c>
      <c r="P117" s="107">
        <v>-0.915957099788283</v>
      </c>
      <c r="Q117" s="107">
        <v>-0.998835330559544</v>
      </c>
      <c r="R117" s="107">
        <v>-1.46611085337052</v>
      </c>
      <c r="S117" s="107">
        <v>-1.54646322537606</v>
      </c>
      <c r="T117" s="107">
        <v>-1.36613670310287</v>
      </c>
      <c r="U117" s="107">
        <v>-1.19500723245486</v>
      </c>
      <c r="V117" s="107">
        <v>-0.791024839933426</v>
      </c>
      <c r="X117" s="144"/>
      <c r="Y117" s="145"/>
      <c r="Z117" s="145"/>
      <c r="AA117" s="145"/>
      <c r="AB117" s="145"/>
      <c r="AC117" s="145"/>
      <c r="AD117" s="145"/>
      <c r="AE117" s="145"/>
      <c r="AF117" s="145"/>
      <c r="AG117" s="148"/>
      <c r="AH117" s="148"/>
      <c r="AI117" s="144"/>
      <c r="AJ117" s="145"/>
      <c r="AK117" s="145"/>
      <c r="AL117" s="145"/>
      <c r="AM117" s="145"/>
      <c r="AN117" s="145"/>
      <c r="AO117" s="145"/>
      <c r="AP117" s="145"/>
      <c r="AQ117" s="145"/>
    </row>
    <row r="118" ht="15.6" spans="1:1024 1025:16384">
      <c r="B118" s="143" t="str">
        <f>X118</f>
        <v>J00</v>
      </c>
      <c r="C118" s="143"/>
      <c r="D118" s="103">
        <f>Y118</f>
        <v>1.71479992371488</v>
      </c>
      <c r="E118" s="103">
        <f t="shared" ref="E118:E119" si="483">Z118</f>
        <v>1.50018960429573</v>
      </c>
      <c r="F118" s="103">
        <f t="shared" ref="F118:F119" si="484">AA118</f>
        <v>1.79358017446563</v>
      </c>
      <c r="G118" s="103">
        <f t="shared" ref="G118:G119" si="485">AB118</f>
        <v>1.58813686693717</v>
      </c>
      <c r="H118" s="103">
        <f t="shared" ref="H118:H119" si="486">AC118</f>
        <v>1.72128662075112</v>
      </c>
      <c r="I118" s="103">
        <f t="shared" ref="I118:I119" si="487">AD118</f>
        <v>1.74780955425726</v>
      </c>
      <c r="J118" s="103">
        <f t="shared" ref="J118:J119" si="488">AE118</f>
        <v>1.50309481132467</v>
      </c>
      <c r="K118" s="103">
        <f t="shared" ref="K118:K119" si="489">AF118</f>
        <v>1.10348400391607</v>
      </c>
      <c r="L118" s="143"/>
      <c r="M118" s="143" t="str">
        <f t="shared" ref="M118:M119" si="490">AI118</f>
        <v>J00</v>
      </c>
      <c r="N118" s="143"/>
      <c r="O118" s="103">
        <f>AJ118</f>
        <v>-1.7277171350295</v>
      </c>
      <c r="P118" s="103">
        <f t="shared" ref="P118:P119" si="491">AK118</f>
        <v>-1.49147286478951</v>
      </c>
      <c r="Q118" s="103">
        <f t="shared" ref="Q118:Q119" si="492">AL118</f>
        <v>-2.56858429557546</v>
      </c>
      <c r="R118" s="103">
        <f t="shared" ref="R118:R119" si="493">AM118</f>
        <v>-1.89534764592424</v>
      </c>
      <c r="S118" s="103">
        <f t="shared" ref="S118:S119" si="494">AN118</f>
        <v>-2.09447454714762</v>
      </c>
      <c r="T118" s="103">
        <f t="shared" ref="T118:T119" si="495">AO118</f>
        <v>-1.97811394556044</v>
      </c>
      <c r="U118" s="103">
        <f t="shared" ref="U118:U119" si="496">AP118</f>
        <v>-1.66619901792273</v>
      </c>
      <c r="V118" s="103">
        <f t="shared" ref="V118:V119" si="497">AQ118</f>
        <v>-1.02971283388508</v>
      </c>
      <c r="X118" s="144" t="s">
        <v>27</v>
      </c>
      <c r="Y118" s="145">
        <v>1.71479992371488</v>
      </c>
      <c r="Z118" s="145">
        <v>1.50018960429573</v>
      </c>
      <c r="AA118" s="145">
        <v>1.79358017446563</v>
      </c>
      <c r="AB118" s="145">
        <v>1.58813686693717</v>
      </c>
      <c r="AC118" s="145">
        <v>1.72128662075112</v>
      </c>
      <c r="AD118" s="145">
        <v>1.74780955425726</v>
      </c>
      <c r="AE118" s="145">
        <v>1.50309481132467</v>
      </c>
      <c r="AF118" s="145">
        <v>1.10348400391607</v>
      </c>
      <c r="AG118" s="148"/>
      <c r="AH118" s="148"/>
      <c r="AI118" s="144" t="s">
        <v>27</v>
      </c>
      <c r="AJ118" s="145">
        <v>-1.7277171350295</v>
      </c>
      <c r="AK118" s="145">
        <v>-1.49147286478951</v>
      </c>
      <c r="AL118" s="145">
        <v>-2.56858429557546</v>
      </c>
      <c r="AM118" s="145">
        <v>-1.89534764592424</v>
      </c>
      <c r="AN118" s="145">
        <v>-2.09447454714762</v>
      </c>
      <c r="AO118" s="145">
        <v>-1.97811394556044</v>
      </c>
      <c r="AP118" s="145">
        <v>-1.66619901792273</v>
      </c>
      <c r="AQ118" s="145">
        <v>-1.02971283388508</v>
      </c>
    </row>
    <row r="119" ht="15.6" spans="1:1024 1025:16384">
      <c r="B119" s="143" t="str">
        <f>X119</f>
        <v>K00</v>
      </c>
      <c r="C119" s="143"/>
      <c r="D119" s="103">
        <f>Y119</f>
        <v>0.906871258632298</v>
      </c>
      <c r="E119" s="103">
        <f t="shared" si="483"/>
        <v>0.796300740407712</v>
      </c>
      <c r="F119" s="103">
        <f t="shared" si="484"/>
        <v>0.686665860116334</v>
      </c>
      <c r="G119" s="103">
        <f t="shared" si="485"/>
        <v>0.443778437111582</v>
      </c>
      <c r="H119" s="103">
        <f t="shared" si="486"/>
        <v>0.450487372586129</v>
      </c>
      <c r="I119" s="103">
        <f t="shared" si="487"/>
        <v>0.478061421434978</v>
      </c>
      <c r="J119" s="103">
        <f t="shared" si="488"/>
        <v>0.503200760493545</v>
      </c>
      <c r="K119" s="103">
        <f t="shared" si="489"/>
        <v>0.883872131065642</v>
      </c>
      <c r="L119" s="143"/>
      <c r="M119" s="143" t="str">
        <f t="shared" si="490"/>
        <v>K00</v>
      </c>
      <c r="N119" s="143"/>
      <c r="O119" s="103">
        <f>AJ119</f>
        <v>-0.925628180091058</v>
      </c>
      <c r="P119" s="103">
        <f t="shared" si="491"/>
        <v>-0.825510080276855</v>
      </c>
      <c r="Q119" s="103">
        <f t="shared" si="492"/>
        <v>-0.795065220569857</v>
      </c>
      <c r="R119" s="103">
        <f t="shared" si="493"/>
        <v>-0.494035443446836</v>
      </c>
      <c r="S119" s="103">
        <f t="shared" si="494"/>
        <v>-0.517420369587628</v>
      </c>
      <c r="T119" s="103">
        <f t="shared" si="495"/>
        <v>-0.542901056576915</v>
      </c>
      <c r="U119" s="103">
        <f t="shared" si="496"/>
        <v>-0.568340393250123</v>
      </c>
      <c r="V119" s="103">
        <f t="shared" si="497"/>
        <v>-0.884807654940918</v>
      </c>
      <c r="X119" s="144" t="s">
        <v>28</v>
      </c>
      <c r="Y119" s="145">
        <v>0.906871258632298</v>
      </c>
      <c r="Z119" s="145">
        <v>0.796300740407712</v>
      </c>
      <c r="AA119" s="145">
        <v>0.686665860116334</v>
      </c>
      <c r="AB119" s="145">
        <v>0.443778437111582</v>
      </c>
      <c r="AC119" s="145">
        <v>0.450487372586129</v>
      </c>
      <c r="AD119" s="145">
        <v>0.478061421434978</v>
      </c>
      <c r="AE119" s="145">
        <v>0.503200760493545</v>
      </c>
      <c r="AF119" s="145">
        <v>0.883872131065642</v>
      </c>
      <c r="AG119" s="148"/>
      <c r="AH119" s="148"/>
      <c r="AI119" s="144" t="s">
        <v>28</v>
      </c>
      <c r="AJ119" s="145">
        <v>-0.925628180091058</v>
      </c>
      <c r="AK119" s="145">
        <v>-0.825510080276855</v>
      </c>
      <c r="AL119" s="145">
        <v>-0.795065220569857</v>
      </c>
      <c r="AM119" s="145">
        <v>-0.494035443446836</v>
      </c>
      <c r="AN119" s="145">
        <v>-0.517420369587628</v>
      </c>
      <c r="AO119" s="145">
        <v>-0.542901056576915</v>
      </c>
      <c r="AP119" s="145">
        <v>-0.568340393250123</v>
      </c>
      <c r="AQ119" s="145">
        <v>-0.884807654940918</v>
      </c>
    </row>
    <row r="120" ht="15.6" spans="1:1024 1025:16384">
      <c r="B120" s="147" t="s">
        <v>28</v>
      </c>
      <c r="C120" s="147" t="s">
        <v>92</v>
      </c>
      <c r="D120" s="107">
        <v>0.873890134044212</v>
      </c>
      <c r="E120" s="107">
        <v>0.765162834735127</v>
      </c>
      <c r="F120" s="107">
        <v>0.620597628418775</v>
      </c>
      <c r="G120" s="107">
        <v>0.46182747083872</v>
      </c>
      <c r="H120" s="107">
        <v>0.347022650154606</v>
      </c>
      <c r="I120" s="107">
        <v>0.4446658440014</v>
      </c>
      <c r="J120" s="107">
        <v>0.442838814561491</v>
      </c>
      <c r="K120" s="107">
        <v>0.854890340942187</v>
      </c>
      <c r="M120" s="147" t="s">
        <v>28</v>
      </c>
      <c r="N120" s="147" t="s">
        <v>92</v>
      </c>
      <c r="O120" s="107">
        <v>-0.855420563223285</v>
      </c>
      <c r="P120" s="107">
        <v>-0.766993135870193</v>
      </c>
      <c r="Q120" s="107">
        <v>-0.600620780850266</v>
      </c>
      <c r="R120" s="107">
        <v>-0.507303801545205</v>
      </c>
      <c r="S120" s="107">
        <v>-0.380605228707132</v>
      </c>
      <c r="T120" s="107">
        <v>-0.487347063000226</v>
      </c>
      <c r="U120" s="107">
        <v>-0.473011147689648</v>
      </c>
      <c r="V120" s="107">
        <v>-0.837860166031653</v>
      </c>
      <c r="X120" s="144"/>
      <c r="Y120" s="145"/>
      <c r="Z120" s="145"/>
      <c r="AA120" s="145"/>
      <c r="AB120" s="145"/>
      <c r="AC120" s="145"/>
      <c r="AD120" s="145"/>
      <c r="AE120" s="145"/>
      <c r="AF120" s="145"/>
      <c r="AG120" s="148"/>
      <c r="AH120" s="148"/>
      <c r="AI120" s="144"/>
      <c r="AJ120" s="145"/>
      <c r="AK120" s="145"/>
      <c r="AL120" s="145"/>
      <c r="AM120" s="145"/>
      <c r="AN120" s="145"/>
      <c r="AO120" s="145"/>
      <c r="AP120" s="145"/>
      <c r="AQ120" s="145"/>
    </row>
    <row r="121" ht="15.6" spans="1:1024 1025:16384">
      <c r="B121" s="147" t="s">
        <v>28</v>
      </c>
      <c r="C121" s="147" t="s">
        <v>128</v>
      </c>
      <c r="D121" s="107">
        <v>1.32847078873572</v>
      </c>
      <c r="E121" s="107">
        <v>1.60663380366574</v>
      </c>
      <c r="F121" s="107">
        <v>1.41606175651571</v>
      </c>
      <c r="G121" s="107">
        <v>2.05403994627996</v>
      </c>
      <c r="H121" s="107">
        <v>2.03686775766776</v>
      </c>
      <c r="I121" s="107">
        <v>1.14983277914707</v>
      </c>
      <c r="J121" s="107">
        <v>1.59977736989467</v>
      </c>
      <c r="K121" s="107">
        <v>1.23360501359462</v>
      </c>
      <c r="M121" s="147" t="s">
        <v>28</v>
      </c>
      <c r="N121" s="147" t="s">
        <v>128</v>
      </c>
      <c r="O121" s="107">
        <v>3.56716904236272</v>
      </c>
      <c r="P121" s="107">
        <v>3.82535673784587</v>
      </c>
      <c r="Q121" s="107">
        <v>0.787585779337041</v>
      </c>
      <c r="R121" s="107">
        <v>-4.43745395754091</v>
      </c>
      <c r="S121" s="107">
        <v>-2.33632234499488</v>
      </c>
      <c r="T121" s="107">
        <v>-2.17013988609136</v>
      </c>
      <c r="U121" s="107">
        <v>-0.852612241862605</v>
      </c>
      <c r="V121" s="107">
        <v>3.41301134023945</v>
      </c>
      <c r="X121" s="144"/>
      <c r="Y121" s="145"/>
      <c r="Z121" s="145"/>
      <c r="AA121" s="145"/>
      <c r="AB121" s="145"/>
      <c r="AC121" s="145"/>
      <c r="AD121" s="145"/>
      <c r="AE121" s="145"/>
      <c r="AF121" s="145"/>
      <c r="AG121" s="148"/>
      <c r="AH121" s="148"/>
      <c r="AI121" s="144"/>
      <c r="AJ121" s="145"/>
      <c r="AK121" s="145"/>
      <c r="AL121" s="145"/>
      <c r="AM121" s="145"/>
      <c r="AN121" s="145"/>
      <c r="AO121" s="145"/>
      <c r="AP121" s="145"/>
      <c r="AQ121" s="145"/>
    </row>
    <row r="122" ht="15.6" spans="1:1024 1025:16384">
      <c r="B122" s="143" t="str">
        <f>X122</f>
        <v>L75</v>
      </c>
      <c r="C122" s="143"/>
      <c r="D122" s="103">
        <f>Y122</f>
        <v>2.10694209240997</v>
      </c>
      <c r="E122" s="103">
        <f t="shared" ref="E122:E123" si="498">Z122</f>
        <v>1.78150456669313</v>
      </c>
      <c r="F122" s="103">
        <f t="shared" ref="F122:F123" si="499">AA122</f>
        <v>2.86543093577761</v>
      </c>
      <c r="G122" s="103">
        <f t="shared" ref="G122:G123" si="500">AB122</f>
        <v>1.47190319029401</v>
      </c>
      <c r="H122" s="103">
        <f t="shared" ref="H122:H123" si="501">AC122</f>
        <v>1.50644472156396</v>
      </c>
      <c r="I122" s="103">
        <f t="shared" ref="I122:I123" si="502">AD122</f>
        <v>1.36019405364204</v>
      </c>
      <c r="J122" s="103">
        <f t="shared" ref="J122:J123" si="503">AE122</f>
        <v>1.70495021236913</v>
      </c>
      <c r="K122" s="103">
        <f t="shared" ref="K122:K123" si="504">AF122</f>
        <v>1.41851387107982</v>
      </c>
      <c r="L122" s="143"/>
      <c r="M122" s="143" t="str">
        <f t="shared" ref="M122:M123" si="505">AI122</f>
        <v>L75</v>
      </c>
      <c r="N122" s="143"/>
      <c r="O122" s="103">
        <f>AJ122</f>
        <v>-2.17409696045578</v>
      </c>
      <c r="P122" s="103">
        <f t="shared" ref="P122:P123" si="506">AK122</f>
        <v>-1.78891833196458</v>
      </c>
      <c r="Q122" s="103">
        <f t="shared" ref="Q122:Q123" si="507">AL122</f>
        <v>-5.67714408318119</v>
      </c>
      <c r="R122" s="103">
        <f t="shared" ref="R122:R123" si="508">AM122</f>
        <v>-2.30915397431625</v>
      </c>
      <c r="S122" s="103">
        <f t="shared" ref="S122:S123" si="509">AN122</f>
        <v>-2.5784902177579</v>
      </c>
      <c r="T122" s="103">
        <f t="shared" ref="T122:T123" si="510">AO122</f>
        <v>-1.94997627509415</v>
      </c>
      <c r="U122" s="103">
        <f t="shared" ref="U122:U123" si="511">AP122</f>
        <v>-2.13051227958867</v>
      </c>
      <c r="V122" s="103">
        <f t="shared" ref="V122:V123" si="512">AQ122</f>
        <v>-1.26736672836858</v>
      </c>
      <c r="X122" s="144" t="s">
        <v>29</v>
      </c>
      <c r="Y122" s="145">
        <v>2.10694209240997</v>
      </c>
      <c r="Z122" s="145">
        <v>1.78150456669313</v>
      </c>
      <c r="AA122" s="145">
        <v>2.86543093577761</v>
      </c>
      <c r="AB122" s="145">
        <v>1.47190319029401</v>
      </c>
      <c r="AC122" s="145">
        <v>1.50644472156396</v>
      </c>
      <c r="AD122" s="145">
        <v>1.36019405364204</v>
      </c>
      <c r="AE122" s="145">
        <v>1.70495021236913</v>
      </c>
      <c r="AF122" s="145">
        <v>1.41851387107982</v>
      </c>
      <c r="AG122" s="148"/>
      <c r="AH122" s="148"/>
      <c r="AI122" s="144" t="s">
        <v>29</v>
      </c>
      <c r="AJ122" s="145">
        <v>-2.17409696045578</v>
      </c>
      <c r="AK122" s="145">
        <v>-1.78891833196458</v>
      </c>
      <c r="AL122" s="145">
        <v>-5.67714408318119</v>
      </c>
      <c r="AM122" s="145">
        <v>-2.30915397431625</v>
      </c>
      <c r="AN122" s="145">
        <v>-2.5784902177579</v>
      </c>
      <c r="AO122" s="145">
        <v>-1.94997627509415</v>
      </c>
      <c r="AP122" s="145">
        <v>-2.13051227958867</v>
      </c>
      <c r="AQ122" s="145">
        <v>-1.26736672836858</v>
      </c>
    </row>
    <row r="123" ht="15.6" spans="1:1024 1025:16384">
      <c r="B123" s="143" t="str">
        <f>X123</f>
        <v>MN0</v>
      </c>
      <c r="C123" s="143"/>
      <c r="D123" s="103">
        <f>Y123</f>
        <v>1.6373482754278</v>
      </c>
      <c r="E123" s="103">
        <f t="shared" si="498"/>
        <v>1.55466568629184</v>
      </c>
      <c r="F123" s="103">
        <f t="shared" si="499"/>
        <v>1.37805796842435</v>
      </c>
      <c r="G123" s="103">
        <f t="shared" si="500"/>
        <v>1.44559977261102</v>
      </c>
      <c r="H123" s="103">
        <f t="shared" si="501"/>
        <v>1.39937810473202</v>
      </c>
      <c r="I123" s="103">
        <f t="shared" si="502"/>
        <v>1.51832438579369</v>
      </c>
      <c r="J123" s="103">
        <f t="shared" si="503"/>
        <v>1.46515459562126</v>
      </c>
      <c r="K123" s="103">
        <f t="shared" si="504"/>
        <v>1.4031902274572</v>
      </c>
      <c r="L123" s="143"/>
      <c r="M123" s="143" t="str">
        <f t="shared" si="505"/>
        <v>MN0</v>
      </c>
      <c r="N123" s="143"/>
      <c r="O123" s="103">
        <f>AJ123</f>
        <v>-1.57387557919017</v>
      </c>
      <c r="P123" s="103">
        <f t="shared" si="506"/>
        <v>-1.48902493474992</v>
      </c>
      <c r="Q123" s="103">
        <f t="shared" si="507"/>
        <v>-1.50982618190531</v>
      </c>
      <c r="R123" s="103">
        <f t="shared" si="508"/>
        <v>-1.46173374701925</v>
      </c>
      <c r="S123" s="103">
        <f t="shared" si="509"/>
        <v>-1.44967450203162</v>
      </c>
      <c r="T123" s="103">
        <f t="shared" si="510"/>
        <v>-1.53825715080296</v>
      </c>
      <c r="U123" s="103">
        <f t="shared" si="511"/>
        <v>-1.47334920000514</v>
      </c>
      <c r="V123" s="103">
        <f t="shared" si="512"/>
        <v>-1.32564504031321</v>
      </c>
      <c r="X123" s="144" t="s">
        <v>30</v>
      </c>
      <c r="Y123" s="145">
        <v>1.6373482754278</v>
      </c>
      <c r="Z123" s="145">
        <v>1.55466568629184</v>
      </c>
      <c r="AA123" s="145">
        <v>1.37805796842435</v>
      </c>
      <c r="AB123" s="145">
        <v>1.44559977261102</v>
      </c>
      <c r="AC123" s="145">
        <v>1.39937810473202</v>
      </c>
      <c r="AD123" s="145">
        <v>1.51832438579369</v>
      </c>
      <c r="AE123" s="145">
        <v>1.46515459562126</v>
      </c>
      <c r="AF123" s="145">
        <v>1.4031902274572</v>
      </c>
      <c r="AG123" s="148"/>
      <c r="AH123" s="148"/>
      <c r="AI123" s="144" t="s">
        <v>30</v>
      </c>
      <c r="AJ123" s="145">
        <v>-1.57387557919017</v>
      </c>
      <c r="AK123" s="145">
        <v>-1.48902493474992</v>
      </c>
      <c r="AL123" s="145">
        <v>-1.50982618190531</v>
      </c>
      <c r="AM123" s="145">
        <v>-1.46173374701925</v>
      </c>
      <c r="AN123" s="145">
        <v>-1.44967450203162</v>
      </c>
      <c r="AO123" s="145">
        <v>-1.53825715080296</v>
      </c>
      <c r="AP123" s="145">
        <v>-1.47334920000514</v>
      </c>
      <c r="AQ123" s="145">
        <v>-1.32564504031321</v>
      </c>
    </row>
    <row r="124" ht="15.6" spans="1:1024 1025:16384">
      <c r="B124" s="147" t="s">
        <v>30</v>
      </c>
      <c r="C124" s="147" t="s">
        <v>116</v>
      </c>
      <c r="D124" s="107">
        <v>1.21376939422637</v>
      </c>
      <c r="E124" s="107">
        <v>1.1672185921567</v>
      </c>
      <c r="F124" s="107">
        <v>1.39327323943335</v>
      </c>
      <c r="G124" s="107">
        <v>1.53248807075573</v>
      </c>
      <c r="H124" s="107">
        <v>1.56653899878803</v>
      </c>
      <c r="I124" s="107">
        <v>1.20708017205478</v>
      </c>
      <c r="J124" s="107">
        <v>1.2482870411127</v>
      </c>
      <c r="K124" s="107">
        <v>1.00084985920072</v>
      </c>
      <c r="M124" s="147" t="s">
        <v>30</v>
      </c>
      <c r="N124" s="147" t="s">
        <v>116</v>
      </c>
      <c r="O124" s="107">
        <v>-1.1134006154617</v>
      </c>
      <c r="P124" s="107">
        <v>-1.0800274860382</v>
      </c>
      <c r="Q124" s="107">
        <v>-1.29983902640676</v>
      </c>
      <c r="R124" s="107">
        <v>-1.53744134761456</v>
      </c>
      <c r="S124" s="107">
        <v>-1.52799912308911</v>
      </c>
      <c r="T124" s="107">
        <v>-1.21229199647576</v>
      </c>
      <c r="U124" s="107">
        <v>-1.21573731190404</v>
      </c>
      <c r="V124" s="107">
        <v>-0.924615509800393</v>
      </c>
      <c r="X124" s="144"/>
      <c r="Y124" s="145"/>
      <c r="Z124" s="145"/>
      <c r="AA124" s="145"/>
      <c r="AB124" s="145"/>
      <c r="AC124" s="145"/>
      <c r="AD124" s="145"/>
      <c r="AE124" s="145"/>
      <c r="AF124" s="145"/>
      <c r="AG124" s="148"/>
      <c r="AH124" s="148"/>
      <c r="AI124" s="144"/>
      <c r="AJ124" s="145"/>
      <c r="AK124" s="145"/>
      <c r="AL124" s="145"/>
      <c r="AM124" s="145"/>
      <c r="AN124" s="145"/>
      <c r="AO124" s="145"/>
      <c r="AP124" s="145"/>
      <c r="AQ124" s="145"/>
    </row>
    <row r="125" ht="15.6" spans="1:1024 1025:16384">
      <c r="B125" s="147" t="s">
        <v>30</v>
      </c>
      <c r="C125" s="147" t="s">
        <v>134</v>
      </c>
      <c r="D125" s="107">
        <v>1.95850281158035</v>
      </c>
      <c r="E125" s="107">
        <v>1.80559917377313</v>
      </c>
      <c r="F125" s="107">
        <v>1.07764344545864</v>
      </c>
      <c r="G125" s="107">
        <v>1.08684548112187</v>
      </c>
      <c r="H125" s="107">
        <v>1.07027458760249</v>
      </c>
      <c r="I125" s="107">
        <v>1.46326840071822</v>
      </c>
      <c r="J125" s="107">
        <v>1.62976883303248</v>
      </c>
      <c r="K125" s="107">
        <v>1.83309477228346</v>
      </c>
      <c r="M125" s="147" t="s">
        <v>30</v>
      </c>
      <c r="N125" s="147" t="s">
        <v>134</v>
      </c>
      <c r="O125" s="107">
        <v>-1.73476330479655</v>
      </c>
      <c r="P125" s="107">
        <v>-1.62467330276176</v>
      </c>
      <c r="Q125" s="107">
        <v>-0.837577750828091</v>
      </c>
      <c r="R125" s="107">
        <v>-1.15092912489334</v>
      </c>
      <c r="S125" s="107">
        <v>-1.08268141622394</v>
      </c>
      <c r="T125" s="107">
        <v>-1.48711890521502</v>
      </c>
      <c r="U125" s="107">
        <v>-1.5703240748503</v>
      </c>
      <c r="V125" s="107">
        <v>-1.63837984020624</v>
      </c>
      <c r="X125" s="144"/>
      <c r="Y125" s="145"/>
      <c r="Z125" s="145"/>
      <c r="AA125" s="145"/>
      <c r="AB125" s="145"/>
      <c r="AC125" s="145"/>
      <c r="AD125" s="145"/>
      <c r="AE125" s="145"/>
      <c r="AF125" s="145"/>
      <c r="AG125" s="148"/>
      <c r="AH125" s="148"/>
      <c r="AI125" s="144"/>
      <c r="AJ125" s="145"/>
      <c r="AK125" s="145"/>
      <c r="AL125" s="145"/>
      <c r="AM125" s="145"/>
      <c r="AN125" s="145"/>
      <c r="AO125" s="145"/>
      <c r="AP125" s="145"/>
      <c r="AQ125" s="145"/>
    </row>
    <row r="126" s="94" customFormat="1" ht="15.6" spans="1:1024 1025:16384">
      <c r="A126" s="96"/>
      <c r="B126" s="149" t="s">
        <v>30</v>
      </c>
      <c r="C126" s="147" t="s">
        <v>136</v>
      </c>
      <c r="D126" s="107">
        <v>1.32456907274653</v>
      </c>
      <c r="E126" s="107">
        <v>1.0878832598703</v>
      </c>
      <c r="F126" s="107">
        <v>0.886998646127221</v>
      </c>
      <c r="G126" s="107">
        <v>0.833850865861974</v>
      </c>
      <c r="H126" s="107">
        <v>1.06704454368577</v>
      </c>
      <c r="I126" s="107">
        <v>1.05772042656559</v>
      </c>
      <c r="J126" s="107">
        <v>1.59158928999011</v>
      </c>
      <c r="K126" s="107">
        <v>1.13347274872168</v>
      </c>
      <c r="M126" s="149" t="s">
        <v>30</v>
      </c>
      <c r="N126" s="147" t="s">
        <v>136</v>
      </c>
      <c r="O126" s="107">
        <v>2.26562989056184</v>
      </c>
      <c r="P126" s="107">
        <v>1.5122081140968</v>
      </c>
      <c r="Q126" s="107">
        <v>8.48509483695532</v>
      </c>
      <c r="R126" s="107">
        <v>-2.22974951690522</v>
      </c>
      <c r="S126" s="107">
        <v>-1.40987207200702</v>
      </c>
      <c r="T126" s="107">
        <v>-1.98776058295324</v>
      </c>
      <c r="U126" s="107">
        <v>-1.10132427642767</v>
      </c>
      <c r="V126" s="107">
        <v>2.11412037029139</v>
      </c>
      <c r="X126" s="144"/>
      <c r="Y126" s="145"/>
      <c r="Z126" s="145"/>
      <c r="AA126" s="145"/>
      <c r="AB126" s="145"/>
      <c r="AC126" s="145"/>
      <c r="AD126" s="145"/>
      <c r="AE126" s="145"/>
      <c r="AF126" s="145"/>
      <c r="AG126" s="148"/>
      <c r="AH126" s="148"/>
      <c r="AI126" s="144"/>
      <c r="AJ126" s="145"/>
      <c r="AK126" s="145"/>
      <c r="AL126" s="145"/>
      <c r="AM126" s="145"/>
      <c r="AN126" s="145"/>
      <c r="AO126" s="145"/>
      <c r="AP126" s="145"/>
      <c r="AQ126" s="145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  <c r="AMK126"/>
      <c r="AML126"/>
      <c r="AMM126"/>
      <c r="AMN126"/>
      <c r="AMO126"/>
      <c r="AMP126"/>
      <c r="AMQ126"/>
      <c r="AMR126"/>
      <c r="AMS126"/>
      <c r="AMT126"/>
      <c r="AMU126"/>
      <c r="AMV126"/>
      <c r="AMW126"/>
      <c r="AMX126"/>
      <c r="AMY126"/>
      <c r="AMZ126"/>
      <c r="ANA126"/>
      <c r="ANB126"/>
      <c r="ANC126"/>
      <c r="AND126"/>
      <c r="ANE126"/>
      <c r="ANF126"/>
      <c r="ANG126"/>
      <c r="ANH126"/>
      <c r="ANI126"/>
      <c r="ANJ126"/>
      <c r="ANK126"/>
      <c r="ANL126"/>
      <c r="ANM126"/>
      <c r="ANN126"/>
      <c r="ANO126"/>
      <c r="ANP126"/>
      <c r="ANQ126"/>
      <c r="ANR126"/>
      <c r="ANS126"/>
      <c r="ANT126"/>
      <c r="ANU126"/>
      <c r="ANV126"/>
      <c r="ANW126"/>
      <c r="ANX126"/>
      <c r="ANY126"/>
      <c r="ANZ126"/>
      <c r="AOA126"/>
      <c r="AOB126"/>
      <c r="AOC126"/>
      <c r="AOD126"/>
      <c r="AOE126"/>
      <c r="AOF126"/>
      <c r="AOG126"/>
      <c r="AOH126"/>
      <c r="AOI126"/>
      <c r="AOJ126"/>
      <c r="AOK126"/>
      <c r="AOL126"/>
      <c r="AOM126"/>
      <c r="AON126"/>
      <c r="AOO126"/>
      <c r="AOP126"/>
      <c r="AOQ126"/>
      <c r="AOR126"/>
      <c r="AOS126"/>
      <c r="AOT126"/>
      <c r="AOU126"/>
      <c r="AOV126"/>
      <c r="AOW126"/>
      <c r="AOX126"/>
      <c r="AOY126"/>
      <c r="AOZ126"/>
      <c r="APA126"/>
      <c r="APB126"/>
      <c r="APC126"/>
      <c r="APD126"/>
      <c r="APE126"/>
      <c r="APF126"/>
      <c r="APG126"/>
      <c r="APH126"/>
      <c r="API126"/>
      <c r="APJ126"/>
      <c r="APK126"/>
      <c r="APL126"/>
      <c r="APM126"/>
      <c r="APN126"/>
      <c r="APO126"/>
      <c r="APP126"/>
      <c r="APQ126"/>
      <c r="APR126"/>
      <c r="APS126"/>
      <c r="APT126"/>
      <c r="APU126"/>
      <c r="APV126"/>
      <c r="APW126"/>
      <c r="APX126"/>
      <c r="APY126"/>
      <c r="APZ126"/>
      <c r="AQA126"/>
      <c r="AQB126"/>
      <c r="AQC126"/>
      <c r="AQD126"/>
      <c r="AQE126"/>
      <c r="AQF126"/>
      <c r="AQG126"/>
      <c r="AQH126"/>
      <c r="AQI126"/>
      <c r="AQJ126"/>
      <c r="AQK126"/>
      <c r="AQL126"/>
      <c r="AQM126"/>
      <c r="AQN126"/>
      <c r="AQO126"/>
      <c r="AQP126"/>
      <c r="AQQ126"/>
      <c r="AQR126"/>
      <c r="AQS126"/>
      <c r="AQT126"/>
      <c r="AQU126"/>
      <c r="AQV126"/>
      <c r="AQW126"/>
      <c r="AQX126"/>
      <c r="AQY126"/>
      <c r="AQZ126"/>
      <c r="ARA126"/>
      <c r="ARB126"/>
      <c r="ARC126"/>
      <c r="ARD126"/>
      <c r="ARE126"/>
      <c r="ARF126"/>
      <c r="ARG126"/>
      <c r="ARH126"/>
      <c r="ARI126"/>
      <c r="ARJ126"/>
      <c r="ARK126"/>
      <c r="ARL126"/>
      <c r="ARM126"/>
      <c r="ARN126"/>
      <c r="ARO126"/>
      <c r="ARP126"/>
      <c r="ARQ126"/>
      <c r="ARR126"/>
      <c r="ARS126"/>
      <c r="ART126"/>
      <c r="ARU126"/>
      <c r="ARV126"/>
      <c r="ARW126"/>
      <c r="ARX126"/>
      <c r="ARY126"/>
      <c r="ARZ126"/>
      <c r="ASA126"/>
      <c r="ASB126"/>
      <c r="ASC126"/>
      <c r="ASD126"/>
      <c r="ASE126"/>
      <c r="ASF126"/>
      <c r="ASG126"/>
      <c r="ASH126"/>
      <c r="ASI126"/>
      <c r="ASJ126"/>
      <c r="ASK126"/>
      <c r="ASL126"/>
      <c r="ASM126"/>
      <c r="ASN126"/>
      <c r="ASO126"/>
      <c r="ASP126"/>
      <c r="ASQ126"/>
      <c r="ASR126"/>
      <c r="ASS126"/>
      <c r="AST126"/>
      <c r="ASU126"/>
      <c r="ASV126"/>
      <c r="ASW126"/>
      <c r="ASX126"/>
      <c r="ASY126"/>
      <c r="ASZ126"/>
      <c r="ATA126"/>
      <c r="ATB126"/>
      <c r="ATC126"/>
      <c r="ATD126"/>
      <c r="ATE126"/>
      <c r="ATF126"/>
      <c r="ATG126"/>
      <c r="ATH126"/>
      <c r="ATI126"/>
      <c r="ATJ126"/>
      <c r="ATK126"/>
      <c r="ATL126"/>
      <c r="ATM126"/>
      <c r="ATN126"/>
      <c r="ATO126"/>
      <c r="ATP126"/>
      <c r="ATQ126"/>
      <c r="ATR126"/>
      <c r="ATS126"/>
      <c r="ATT126"/>
      <c r="ATU126"/>
      <c r="ATV126"/>
      <c r="ATW126"/>
      <c r="ATX126"/>
      <c r="ATY126"/>
      <c r="ATZ126"/>
      <c r="AUA126"/>
      <c r="AUB126"/>
      <c r="AUC126"/>
      <c r="AUD126"/>
      <c r="AUE126"/>
      <c r="AUF126"/>
      <c r="AUG126"/>
      <c r="AUH126"/>
      <c r="AUI126"/>
      <c r="AUJ126"/>
      <c r="AUK126"/>
      <c r="AUL126"/>
      <c r="AUM126"/>
      <c r="AUN126"/>
      <c r="AUO126"/>
      <c r="AUP126"/>
      <c r="AUQ126"/>
      <c r="AUR126"/>
      <c r="AUS126"/>
      <c r="AUT126"/>
      <c r="AUU126"/>
      <c r="AUV126"/>
      <c r="AUW126"/>
      <c r="AUX126"/>
      <c r="AUY126"/>
      <c r="AUZ126"/>
      <c r="AVA126"/>
      <c r="AVB126"/>
      <c r="AVC126"/>
      <c r="AVD126"/>
      <c r="AVE126"/>
      <c r="AVF126"/>
      <c r="AVG126"/>
      <c r="AVH126"/>
      <c r="AVI126"/>
      <c r="AVJ126"/>
      <c r="AVK126"/>
      <c r="AVL126"/>
      <c r="AVM126"/>
      <c r="AVN126"/>
      <c r="AVO126"/>
      <c r="AVP126"/>
      <c r="AVQ126"/>
      <c r="AVR126"/>
      <c r="AVS126"/>
      <c r="AVT126"/>
      <c r="AVU126"/>
      <c r="AVV126"/>
      <c r="AVW126"/>
      <c r="AVX126"/>
      <c r="AVY126"/>
      <c r="AVZ126"/>
      <c r="AWA126"/>
      <c r="AWB126"/>
      <c r="AWC126"/>
      <c r="AWD126"/>
      <c r="AWE126"/>
      <c r="AWF126"/>
      <c r="AWG126"/>
      <c r="AWH126"/>
      <c r="AWI126"/>
      <c r="AWJ126"/>
      <c r="AWK126"/>
      <c r="AWL126"/>
      <c r="AWM126"/>
      <c r="AWN126"/>
      <c r="AWO126"/>
      <c r="AWP126"/>
      <c r="AWQ126"/>
      <c r="AWR126"/>
      <c r="AWS126"/>
      <c r="AWT126"/>
      <c r="AWU126"/>
      <c r="AWV126"/>
      <c r="AWW126"/>
      <c r="AWX126"/>
      <c r="AWY126"/>
      <c r="AWZ126"/>
      <c r="AXA126"/>
      <c r="AXB126"/>
      <c r="AXC126"/>
      <c r="AXD126"/>
      <c r="AXE126"/>
      <c r="AXF126"/>
      <c r="AXG126"/>
      <c r="AXH126"/>
      <c r="AXI126"/>
      <c r="AXJ126"/>
      <c r="AXK126"/>
      <c r="AXL126"/>
      <c r="AXM126"/>
      <c r="AXN126"/>
      <c r="AXO126"/>
      <c r="AXP126"/>
      <c r="AXQ126"/>
      <c r="AXR126"/>
      <c r="AXS126"/>
      <c r="AXT126"/>
      <c r="AXU126"/>
      <c r="AXV126"/>
      <c r="AXW126"/>
      <c r="AXX126"/>
      <c r="AXY126"/>
      <c r="AXZ126"/>
      <c r="AYA126"/>
      <c r="AYB126"/>
      <c r="AYC126"/>
      <c r="AYD126"/>
      <c r="AYE126"/>
      <c r="AYF126"/>
      <c r="AYG126"/>
      <c r="AYH126"/>
      <c r="AYI126"/>
      <c r="AYJ126"/>
      <c r="AYK126"/>
      <c r="AYL126"/>
      <c r="AYM126"/>
      <c r="AYN126"/>
      <c r="AYO126"/>
      <c r="AYP126"/>
      <c r="AYQ126"/>
      <c r="AYR126"/>
      <c r="AYS126"/>
      <c r="AYT126"/>
      <c r="AYU126"/>
      <c r="AYV126"/>
      <c r="AYW126"/>
      <c r="AYX126"/>
      <c r="AYY126"/>
      <c r="AYZ126"/>
      <c r="AZA126"/>
      <c r="AZB126"/>
      <c r="AZC126"/>
      <c r="AZD126"/>
      <c r="AZE126"/>
      <c r="AZF126"/>
      <c r="AZG126"/>
      <c r="AZH126"/>
      <c r="AZI126"/>
      <c r="AZJ126"/>
      <c r="AZK126"/>
      <c r="AZL126"/>
      <c r="AZM126"/>
      <c r="AZN126"/>
      <c r="AZO126"/>
      <c r="AZP126"/>
      <c r="AZQ126"/>
      <c r="AZR126"/>
      <c r="AZS126"/>
      <c r="AZT126"/>
      <c r="AZU126"/>
      <c r="AZV126"/>
      <c r="AZW126"/>
      <c r="AZX126"/>
      <c r="AZY126"/>
      <c r="AZZ126"/>
      <c r="BAA126"/>
      <c r="BAB126"/>
      <c r="BAC126"/>
      <c r="BAD126"/>
      <c r="BAE126"/>
      <c r="BAF126"/>
      <c r="BAG126"/>
      <c r="BAH126"/>
      <c r="BAI126"/>
      <c r="BAJ126"/>
      <c r="BAK126"/>
      <c r="BAL126"/>
      <c r="BAM126"/>
      <c r="BAN126"/>
      <c r="BAO126"/>
      <c r="BAP126"/>
      <c r="BAQ126"/>
      <c r="BAR126"/>
      <c r="BAS126"/>
      <c r="BAT126"/>
      <c r="BAU126"/>
      <c r="BAV126"/>
      <c r="BAW126"/>
      <c r="BAX126"/>
      <c r="BAY126"/>
      <c r="BAZ126"/>
      <c r="BBA126"/>
      <c r="BBB126"/>
      <c r="BBC126"/>
      <c r="BBD126"/>
      <c r="BBE126"/>
      <c r="BBF126"/>
      <c r="BBG126"/>
      <c r="BBH126"/>
      <c r="BBI126"/>
      <c r="BBJ126"/>
      <c r="BBK126"/>
      <c r="BBL126"/>
      <c r="BBM126"/>
      <c r="BBN126"/>
      <c r="BBO126"/>
      <c r="BBP126"/>
      <c r="BBQ126"/>
      <c r="BBR126"/>
      <c r="BBS126"/>
      <c r="BBT126"/>
      <c r="BBU126"/>
      <c r="BBV126"/>
      <c r="BBW126"/>
      <c r="BBX126"/>
      <c r="BBY126"/>
      <c r="BBZ126"/>
      <c r="BCA126"/>
      <c r="BCB126"/>
      <c r="BCC126"/>
      <c r="BCD126"/>
      <c r="BCE126"/>
      <c r="BCF126"/>
      <c r="BCG126"/>
      <c r="BCH126"/>
      <c r="BCI126"/>
      <c r="BCJ126"/>
      <c r="BCK126"/>
      <c r="BCL126"/>
      <c r="BCM126"/>
      <c r="BCN126"/>
      <c r="BCO126"/>
      <c r="BCP126"/>
      <c r="BCQ126"/>
      <c r="BCR126"/>
      <c r="BCS126"/>
      <c r="BCT126"/>
      <c r="BCU126"/>
      <c r="BCV126"/>
      <c r="BCW126"/>
      <c r="BCX126"/>
      <c r="BCY126"/>
      <c r="BCZ126"/>
      <c r="BDA126"/>
      <c r="BDB126"/>
      <c r="BDC126"/>
      <c r="BDD126"/>
      <c r="BDE126"/>
      <c r="BDF126"/>
      <c r="BDG126"/>
      <c r="BDH126"/>
      <c r="BDI126"/>
      <c r="BDJ126"/>
      <c r="BDK126"/>
      <c r="BDL126"/>
      <c r="BDM126"/>
      <c r="BDN126"/>
      <c r="BDO126"/>
      <c r="BDP126"/>
      <c r="BDQ126"/>
      <c r="BDR126"/>
      <c r="BDS126"/>
      <c r="BDT126"/>
      <c r="BDU126"/>
      <c r="BDV126"/>
      <c r="BDW126"/>
      <c r="BDX126"/>
      <c r="BDY126"/>
      <c r="BDZ126"/>
      <c r="BEA126"/>
      <c r="BEB126"/>
      <c r="BEC126"/>
      <c r="BED126"/>
      <c r="BEE126"/>
      <c r="BEF126"/>
      <c r="BEG126"/>
      <c r="BEH126"/>
      <c r="BEI126"/>
      <c r="BEJ126"/>
      <c r="BEK126"/>
      <c r="BEL126"/>
      <c r="BEM126"/>
      <c r="BEN126"/>
      <c r="BEO126"/>
      <c r="BEP126"/>
      <c r="BEQ126"/>
      <c r="BER126"/>
      <c r="BES126"/>
      <c r="BET126"/>
      <c r="BEU126"/>
      <c r="BEV126"/>
      <c r="BEW126"/>
      <c r="BEX126"/>
      <c r="BEY126"/>
      <c r="BEZ126"/>
      <c r="BFA126"/>
      <c r="BFB126"/>
      <c r="BFC126"/>
      <c r="BFD126"/>
      <c r="BFE126"/>
      <c r="BFF126"/>
      <c r="BFG126"/>
      <c r="BFH126"/>
      <c r="BFI126"/>
      <c r="BFJ126"/>
      <c r="BFK126"/>
      <c r="BFL126"/>
      <c r="BFM126"/>
      <c r="BFN126"/>
      <c r="BFO126"/>
      <c r="BFP126"/>
      <c r="BFQ126"/>
      <c r="BFR126"/>
      <c r="BFS126"/>
      <c r="BFT126"/>
      <c r="BFU126"/>
      <c r="BFV126"/>
      <c r="BFW126"/>
      <c r="BFX126"/>
      <c r="BFY126"/>
      <c r="BFZ126"/>
      <c r="BGA126"/>
      <c r="BGB126"/>
      <c r="BGC126"/>
      <c r="BGD126"/>
      <c r="BGE126"/>
      <c r="BGF126"/>
      <c r="BGG126"/>
      <c r="BGH126"/>
      <c r="BGI126"/>
      <c r="BGJ126"/>
      <c r="BGK126"/>
      <c r="BGL126"/>
      <c r="BGM126"/>
      <c r="BGN126"/>
      <c r="BGO126"/>
      <c r="BGP126"/>
      <c r="BGQ126"/>
      <c r="BGR126"/>
      <c r="BGS126"/>
      <c r="BGT126"/>
      <c r="BGU126"/>
      <c r="BGV126"/>
      <c r="BGW126"/>
      <c r="BGX126"/>
      <c r="BGY126"/>
      <c r="BGZ126"/>
      <c r="BHA126"/>
      <c r="BHB126"/>
      <c r="BHC126"/>
      <c r="BHD126"/>
      <c r="BHE126"/>
      <c r="BHF126"/>
      <c r="BHG126"/>
      <c r="BHH126"/>
      <c r="BHI126"/>
      <c r="BHJ126"/>
      <c r="BHK126"/>
      <c r="BHL126"/>
      <c r="BHM126"/>
      <c r="BHN126"/>
      <c r="BHO126"/>
      <c r="BHP126"/>
      <c r="BHQ126"/>
      <c r="BHR126"/>
      <c r="BHS126"/>
      <c r="BHT126"/>
      <c r="BHU126"/>
      <c r="BHV126"/>
      <c r="BHW126"/>
      <c r="BHX126"/>
      <c r="BHY126"/>
      <c r="BHZ126"/>
      <c r="BIA126"/>
      <c r="BIB126"/>
      <c r="BIC126"/>
      <c r="BID126"/>
      <c r="BIE126"/>
      <c r="BIF126"/>
      <c r="BIG126"/>
      <c r="BIH126"/>
      <c r="BII126"/>
      <c r="BIJ126"/>
      <c r="BIK126"/>
      <c r="BIL126"/>
      <c r="BIM126"/>
      <c r="BIN126"/>
      <c r="BIO126"/>
      <c r="BIP126"/>
      <c r="BIQ126"/>
      <c r="BIR126"/>
      <c r="BIS126"/>
      <c r="BIT126"/>
      <c r="BIU126"/>
      <c r="BIV126"/>
      <c r="BIW126"/>
      <c r="BIX126"/>
      <c r="BIY126"/>
      <c r="BIZ126"/>
      <c r="BJA126"/>
      <c r="BJB126"/>
      <c r="BJC126"/>
      <c r="BJD126"/>
      <c r="BJE126"/>
      <c r="BJF126"/>
      <c r="BJG126"/>
      <c r="BJH126"/>
      <c r="BJI126"/>
      <c r="BJJ126"/>
      <c r="BJK126"/>
      <c r="BJL126"/>
      <c r="BJM126"/>
      <c r="BJN126"/>
      <c r="BJO126"/>
      <c r="BJP126"/>
      <c r="BJQ126"/>
      <c r="BJR126"/>
      <c r="BJS126"/>
      <c r="BJT126"/>
      <c r="BJU126"/>
      <c r="BJV126"/>
      <c r="BJW126"/>
      <c r="BJX126"/>
      <c r="BJY126"/>
      <c r="BJZ126"/>
      <c r="BKA126"/>
      <c r="BKB126"/>
      <c r="BKC126"/>
      <c r="BKD126"/>
      <c r="BKE126"/>
      <c r="BKF126"/>
      <c r="BKG126"/>
      <c r="BKH126"/>
      <c r="BKI126"/>
      <c r="BKJ126"/>
      <c r="BKK126"/>
      <c r="BKL126"/>
      <c r="BKM126"/>
      <c r="BKN126"/>
      <c r="BKO126"/>
      <c r="BKP126"/>
      <c r="BKQ126"/>
      <c r="BKR126"/>
      <c r="BKS126"/>
      <c r="BKT126"/>
      <c r="BKU126"/>
      <c r="BKV126"/>
      <c r="BKW126"/>
      <c r="BKX126"/>
      <c r="BKY126"/>
      <c r="BKZ126"/>
      <c r="BLA126"/>
      <c r="BLB126"/>
      <c r="BLC126"/>
      <c r="BLD126"/>
      <c r="BLE126"/>
      <c r="BLF126"/>
      <c r="BLG126"/>
      <c r="BLH126"/>
      <c r="BLI126"/>
      <c r="BLJ126"/>
      <c r="BLK126"/>
      <c r="BLL126"/>
      <c r="BLM126"/>
      <c r="BLN126"/>
      <c r="BLO126"/>
      <c r="BLP126"/>
      <c r="BLQ126"/>
      <c r="BLR126"/>
      <c r="BLS126"/>
      <c r="BLT126"/>
      <c r="BLU126"/>
      <c r="BLV126"/>
      <c r="BLW126"/>
      <c r="BLX126"/>
      <c r="BLY126"/>
      <c r="BLZ126"/>
      <c r="BMA126"/>
      <c r="BMB126"/>
      <c r="BMC126"/>
      <c r="BMD126"/>
      <c r="BME126"/>
      <c r="BMF126"/>
      <c r="BMG126"/>
      <c r="BMH126"/>
      <c r="BMI126"/>
      <c r="BMJ126"/>
      <c r="BMK126"/>
      <c r="BML126"/>
      <c r="BMM126"/>
      <c r="BMN126"/>
      <c r="BMO126"/>
      <c r="BMP126"/>
      <c r="BMQ126"/>
      <c r="BMR126"/>
      <c r="BMS126"/>
      <c r="BMT126"/>
      <c r="BMU126"/>
      <c r="BMV126"/>
      <c r="BMW126"/>
      <c r="BMX126"/>
      <c r="BMY126"/>
      <c r="BMZ126"/>
      <c r="BNA126"/>
      <c r="BNB126"/>
      <c r="BNC126"/>
      <c r="BND126"/>
      <c r="BNE126"/>
      <c r="BNF126"/>
      <c r="BNG126"/>
      <c r="BNH126"/>
      <c r="BNI126"/>
      <c r="BNJ126"/>
      <c r="BNK126"/>
      <c r="BNL126"/>
      <c r="BNM126"/>
      <c r="BNN126"/>
      <c r="BNO126"/>
      <c r="BNP126"/>
      <c r="BNQ126"/>
      <c r="BNR126"/>
      <c r="BNS126"/>
      <c r="BNT126"/>
      <c r="BNU126"/>
      <c r="BNV126"/>
      <c r="BNW126"/>
      <c r="BNX126"/>
      <c r="BNY126"/>
      <c r="BNZ126"/>
      <c r="BOA126"/>
      <c r="BOB126"/>
      <c r="BOC126"/>
      <c r="BOD126"/>
      <c r="BOE126"/>
      <c r="BOF126"/>
      <c r="BOG126"/>
      <c r="BOH126"/>
      <c r="BOI126"/>
      <c r="BOJ126"/>
      <c r="BOK126"/>
      <c r="BOL126"/>
      <c r="BOM126"/>
      <c r="BON126"/>
      <c r="BOO126"/>
      <c r="BOP126"/>
      <c r="BOQ126"/>
      <c r="BOR126"/>
      <c r="BOS126"/>
      <c r="BOT126"/>
      <c r="BOU126"/>
      <c r="BOV126"/>
      <c r="BOW126"/>
      <c r="BOX126"/>
      <c r="BOY126"/>
      <c r="BOZ126"/>
      <c r="BPA126"/>
      <c r="BPB126"/>
      <c r="BPC126"/>
      <c r="BPD126"/>
      <c r="BPE126"/>
      <c r="BPF126"/>
      <c r="BPG126"/>
      <c r="BPH126"/>
      <c r="BPI126"/>
      <c r="BPJ126"/>
      <c r="BPK126"/>
      <c r="BPL126"/>
      <c r="BPM126"/>
      <c r="BPN126"/>
      <c r="BPO126"/>
      <c r="BPP126"/>
      <c r="BPQ126"/>
      <c r="BPR126"/>
      <c r="BPS126"/>
      <c r="BPT126"/>
      <c r="BPU126"/>
      <c r="BPV126"/>
      <c r="BPW126"/>
      <c r="BPX126"/>
      <c r="BPY126"/>
      <c r="BPZ126"/>
      <c r="BQA126"/>
      <c r="BQB126"/>
      <c r="BQC126"/>
      <c r="BQD126"/>
      <c r="BQE126"/>
      <c r="BQF126"/>
      <c r="BQG126"/>
      <c r="BQH126"/>
      <c r="BQI126"/>
      <c r="BQJ126"/>
      <c r="BQK126"/>
      <c r="BQL126"/>
      <c r="BQM126"/>
      <c r="BQN126"/>
      <c r="BQO126"/>
      <c r="BQP126"/>
      <c r="BQQ126"/>
      <c r="BQR126"/>
      <c r="BQS126"/>
      <c r="BQT126"/>
      <c r="BQU126"/>
      <c r="BQV126"/>
      <c r="BQW126"/>
      <c r="BQX126"/>
      <c r="BQY126"/>
      <c r="BQZ126"/>
      <c r="BRA126"/>
      <c r="BRB126"/>
      <c r="BRC126"/>
      <c r="BRD126"/>
      <c r="BRE126"/>
      <c r="BRF126"/>
      <c r="BRG126"/>
      <c r="BRH126"/>
      <c r="BRI126"/>
      <c r="BRJ126"/>
      <c r="BRK126"/>
      <c r="BRL126"/>
      <c r="BRM126"/>
      <c r="BRN126"/>
      <c r="BRO126"/>
      <c r="BRP126"/>
      <c r="BRQ126"/>
      <c r="BRR126"/>
      <c r="BRS126"/>
      <c r="BRT126"/>
      <c r="BRU126"/>
      <c r="BRV126"/>
      <c r="BRW126"/>
      <c r="BRX126"/>
      <c r="BRY126"/>
      <c r="BRZ126"/>
      <c r="BSA126"/>
      <c r="BSB126"/>
      <c r="BSC126"/>
      <c r="BSD126"/>
      <c r="BSE126"/>
      <c r="BSF126"/>
      <c r="BSG126"/>
      <c r="BSH126"/>
      <c r="BSI126"/>
      <c r="BSJ126"/>
      <c r="BSK126"/>
      <c r="BSL126"/>
      <c r="BSM126"/>
      <c r="BSN126"/>
      <c r="BSO126"/>
      <c r="BSP126"/>
      <c r="BSQ126"/>
      <c r="BSR126"/>
      <c r="BSS126"/>
      <c r="BST126"/>
      <c r="BSU126"/>
      <c r="BSV126"/>
      <c r="BSW126"/>
      <c r="BSX126"/>
      <c r="BSY126"/>
      <c r="BSZ126"/>
      <c r="BTA126"/>
      <c r="BTB126"/>
      <c r="BTC126"/>
      <c r="BTD126"/>
      <c r="BTE126"/>
      <c r="BTF126"/>
      <c r="BTG126"/>
      <c r="BTH126"/>
      <c r="BTI126"/>
      <c r="BTJ126"/>
      <c r="BTK126"/>
      <c r="BTL126"/>
      <c r="BTM126"/>
      <c r="BTN126"/>
      <c r="BTO126"/>
      <c r="BTP126"/>
      <c r="BTQ126"/>
      <c r="BTR126"/>
      <c r="BTS126"/>
      <c r="BTT126"/>
      <c r="BTU126"/>
      <c r="BTV126"/>
      <c r="BTW126"/>
      <c r="BTX126"/>
      <c r="BTY126"/>
      <c r="BTZ126"/>
      <c r="BUA126"/>
      <c r="BUB126"/>
      <c r="BUC126"/>
      <c r="BUD126"/>
      <c r="BUE126"/>
      <c r="BUF126"/>
      <c r="BUG126"/>
      <c r="BUH126"/>
      <c r="BUI126"/>
      <c r="BUJ126"/>
      <c r="BUK126"/>
      <c r="BUL126"/>
      <c r="BUM126"/>
      <c r="BUN126"/>
      <c r="BUO126"/>
      <c r="BUP126"/>
      <c r="BUQ126"/>
      <c r="BUR126"/>
      <c r="BUS126"/>
      <c r="BUT126"/>
      <c r="BUU126"/>
      <c r="BUV126"/>
      <c r="BUW126"/>
      <c r="BUX126"/>
      <c r="BUY126"/>
      <c r="BUZ126"/>
      <c r="BVA126"/>
      <c r="BVB126"/>
      <c r="BVC126"/>
      <c r="BVD126"/>
      <c r="BVE126"/>
      <c r="BVF126"/>
      <c r="BVG126"/>
      <c r="BVH126"/>
      <c r="BVI126"/>
      <c r="BVJ126"/>
      <c r="BVK126"/>
      <c r="BVL126"/>
      <c r="BVM126"/>
      <c r="BVN126"/>
      <c r="BVO126"/>
      <c r="BVP126"/>
      <c r="BVQ126"/>
      <c r="BVR126"/>
      <c r="BVS126"/>
      <c r="BVT126"/>
      <c r="BVU126"/>
      <c r="BVV126"/>
      <c r="BVW126"/>
      <c r="BVX126"/>
      <c r="BVY126"/>
      <c r="BVZ126"/>
      <c r="BWA126"/>
      <c r="BWB126"/>
      <c r="BWC126"/>
      <c r="BWD126"/>
      <c r="BWE126"/>
      <c r="BWF126"/>
      <c r="BWG126"/>
      <c r="BWH126"/>
      <c r="BWI126"/>
      <c r="BWJ126"/>
      <c r="BWK126"/>
      <c r="BWL126"/>
      <c r="BWM126"/>
      <c r="BWN126"/>
      <c r="BWO126"/>
      <c r="BWP126"/>
      <c r="BWQ126"/>
      <c r="BWR126"/>
      <c r="BWS126"/>
      <c r="BWT126"/>
      <c r="BWU126"/>
      <c r="BWV126"/>
      <c r="BWW126"/>
      <c r="BWX126"/>
      <c r="BWY126"/>
      <c r="BWZ126"/>
      <c r="BXA126"/>
      <c r="BXB126"/>
      <c r="BXC126"/>
      <c r="BXD126"/>
      <c r="BXE126"/>
      <c r="BXF126"/>
      <c r="BXG126"/>
      <c r="BXH126"/>
      <c r="BXI126"/>
      <c r="BXJ126"/>
      <c r="BXK126"/>
      <c r="BXL126"/>
      <c r="BXM126"/>
      <c r="BXN126"/>
      <c r="BXO126"/>
      <c r="BXP126"/>
      <c r="BXQ126"/>
      <c r="BXR126"/>
      <c r="BXS126"/>
      <c r="BXT126"/>
      <c r="BXU126"/>
      <c r="BXV126"/>
      <c r="BXW126"/>
      <c r="BXX126"/>
      <c r="BXY126"/>
      <c r="BXZ126"/>
      <c r="BYA126"/>
      <c r="BYB126"/>
      <c r="BYC126"/>
      <c r="BYD126"/>
      <c r="BYE126"/>
      <c r="BYF126"/>
      <c r="BYG126"/>
      <c r="BYH126"/>
      <c r="BYI126"/>
      <c r="BYJ126"/>
      <c r="BYK126"/>
      <c r="BYL126"/>
      <c r="BYM126"/>
      <c r="BYN126"/>
      <c r="BYO126"/>
      <c r="BYP126"/>
      <c r="BYQ126"/>
      <c r="BYR126"/>
      <c r="BYS126"/>
      <c r="BYT126"/>
      <c r="BYU126"/>
      <c r="BYV126"/>
      <c r="BYW126"/>
      <c r="BYX126"/>
      <c r="BYY126"/>
      <c r="BYZ126"/>
      <c r="BZA126"/>
      <c r="BZB126"/>
      <c r="BZC126"/>
      <c r="BZD126"/>
      <c r="BZE126"/>
      <c r="BZF126"/>
      <c r="BZG126"/>
      <c r="BZH126"/>
      <c r="BZI126"/>
      <c r="BZJ126"/>
      <c r="BZK126"/>
      <c r="BZL126"/>
      <c r="BZM126"/>
      <c r="BZN126"/>
      <c r="BZO126"/>
      <c r="BZP126"/>
      <c r="BZQ126"/>
      <c r="BZR126"/>
      <c r="BZS126"/>
      <c r="BZT126"/>
      <c r="BZU126"/>
      <c r="BZV126"/>
      <c r="BZW126"/>
      <c r="BZX126"/>
      <c r="BZY126"/>
      <c r="BZZ126"/>
      <c r="CAA126"/>
      <c r="CAB126"/>
      <c r="CAC126"/>
      <c r="CAD126"/>
      <c r="CAE126"/>
      <c r="CAF126"/>
      <c r="CAG126"/>
      <c r="CAH126"/>
      <c r="CAI126"/>
      <c r="CAJ126"/>
      <c r="CAK126"/>
      <c r="CAL126"/>
      <c r="CAM126"/>
      <c r="CAN126"/>
      <c r="CAO126"/>
      <c r="CAP126"/>
      <c r="CAQ126"/>
      <c r="CAR126"/>
      <c r="CAS126"/>
      <c r="CAT126"/>
      <c r="CAU126"/>
      <c r="CAV126"/>
      <c r="CAW126"/>
      <c r="CAX126"/>
      <c r="CAY126"/>
      <c r="CAZ126"/>
      <c r="CBA126"/>
      <c r="CBB126"/>
      <c r="CBC126"/>
      <c r="CBD126"/>
      <c r="CBE126"/>
      <c r="CBF126"/>
      <c r="CBG126"/>
      <c r="CBH126"/>
      <c r="CBI126"/>
      <c r="CBJ126"/>
      <c r="CBK126"/>
      <c r="CBL126"/>
      <c r="CBM126"/>
      <c r="CBN126"/>
      <c r="CBO126"/>
      <c r="CBP126"/>
      <c r="CBQ126"/>
      <c r="CBR126"/>
      <c r="CBS126"/>
      <c r="CBT126"/>
      <c r="CBU126"/>
      <c r="CBV126"/>
      <c r="CBW126"/>
      <c r="CBX126"/>
      <c r="CBY126"/>
      <c r="CBZ126"/>
      <c r="CCA126"/>
      <c r="CCB126"/>
      <c r="CCC126"/>
      <c r="CCD126"/>
      <c r="CCE126"/>
      <c r="CCF126"/>
      <c r="CCG126"/>
      <c r="CCH126"/>
      <c r="CCI126"/>
      <c r="CCJ126"/>
      <c r="CCK126"/>
      <c r="CCL126"/>
      <c r="CCM126"/>
      <c r="CCN126"/>
      <c r="CCO126"/>
      <c r="CCP126"/>
      <c r="CCQ126"/>
      <c r="CCR126"/>
      <c r="CCS126"/>
      <c r="CCT126"/>
      <c r="CCU126"/>
      <c r="CCV126"/>
      <c r="CCW126"/>
      <c r="CCX126"/>
      <c r="CCY126"/>
      <c r="CCZ126"/>
      <c r="CDA126"/>
      <c r="CDB126"/>
      <c r="CDC126"/>
      <c r="CDD126"/>
      <c r="CDE126"/>
      <c r="CDF126"/>
      <c r="CDG126"/>
      <c r="CDH126"/>
      <c r="CDI126"/>
      <c r="CDJ126"/>
      <c r="CDK126"/>
      <c r="CDL126"/>
      <c r="CDM126"/>
      <c r="CDN126"/>
      <c r="CDO126"/>
      <c r="CDP126"/>
      <c r="CDQ126"/>
      <c r="CDR126"/>
      <c r="CDS126"/>
      <c r="CDT126"/>
      <c r="CDU126"/>
      <c r="CDV126"/>
      <c r="CDW126"/>
      <c r="CDX126"/>
      <c r="CDY126"/>
      <c r="CDZ126"/>
      <c r="CEA126"/>
      <c r="CEB126"/>
      <c r="CEC126"/>
      <c r="CED126"/>
      <c r="CEE126"/>
      <c r="CEF126"/>
      <c r="CEG126"/>
      <c r="CEH126"/>
      <c r="CEI126"/>
      <c r="CEJ126"/>
      <c r="CEK126"/>
      <c r="CEL126"/>
      <c r="CEM126"/>
      <c r="CEN126"/>
      <c r="CEO126"/>
      <c r="CEP126"/>
      <c r="CEQ126"/>
      <c r="CER126"/>
      <c r="CES126"/>
      <c r="CET126"/>
      <c r="CEU126"/>
      <c r="CEV126"/>
      <c r="CEW126"/>
      <c r="CEX126"/>
      <c r="CEY126"/>
      <c r="CEZ126"/>
      <c r="CFA126"/>
      <c r="CFB126"/>
      <c r="CFC126"/>
      <c r="CFD126"/>
      <c r="CFE126"/>
      <c r="CFF126"/>
      <c r="CFG126"/>
      <c r="CFH126"/>
      <c r="CFI126"/>
      <c r="CFJ126"/>
      <c r="CFK126"/>
      <c r="CFL126"/>
      <c r="CFM126"/>
      <c r="CFN126"/>
      <c r="CFO126"/>
      <c r="CFP126"/>
      <c r="CFQ126"/>
      <c r="CFR126"/>
      <c r="CFS126"/>
      <c r="CFT126"/>
      <c r="CFU126"/>
      <c r="CFV126"/>
      <c r="CFW126"/>
      <c r="CFX126"/>
      <c r="CFY126"/>
      <c r="CFZ126"/>
      <c r="CGA126"/>
      <c r="CGB126"/>
      <c r="CGC126"/>
      <c r="CGD126"/>
      <c r="CGE126"/>
      <c r="CGF126"/>
      <c r="CGG126"/>
      <c r="CGH126"/>
      <c r="CGI126"/>
      <c r="CGJ126"/>
      <c r="CGK126"/>
      <c r="CGL126"/>
      <c r="CGM126"/>
      <c r="CGN126"/>
      <c r="CGO126"/>
      <c r="CGP126"/>
      <c r="CGQ126"/>
      <c r="CGR126"/>
      <c r="CGS126"/>
      <c r="CGT126"/>
      <c r="CGU126"/>
      <c r="CGV126"/>
      <c r="CGW126"/>
      <c r="CGX126"/>
      <c r="CGY126"/>
      <c r="CGZ126"/>
      <c r="CHA126"/>
      <c r="CHB126"/>
      <c r="CHC126"/>
      <c r="CHD126"/>
      <c r="CHE126"/>
      <c r="CHF126"/>
      <c r="CHG126"/>
      <c r="CHH126"/>
      <c r="CHI126"/>
      <c r="CHJ126"/>
      <c r="CHK126"/>
      <c r="CHL126"/>
      <c r="CHM126"/>
      <c r="CHN126"/>
      <c r="CHO126"/>
      <c r="CHP126"/>
      <c r="CHQ126"/>
      <c r="CHR126"/>
      <c r="CHS126"/>
      <c r="CHT126"/>
      <c r="CHU126"/>
      <c r="CHV126"/>
      <c r="CHW126"/>
      <c r="CHX126"/>
      <c r="CHY126"/>
      <c r="CHZ126"/>
      <c r="CIA126"/>
      <c r="CIB126"/>
      <c r="CIC126"/>
      <c r="CID126"/>
      <c r="CIE126"/>
      <c r="CIF126"/>
      <c r="CIG126"/>
      <c r="CIH126"/>
      <c r="CII126"/>
      <c r="CIJ126"/>
      <c r="CIK126"/>
      <c r="CIL126"/>
      <c r="CIM126"/>
      <c r="CIN126"/>
      <c r="CIO126"/>
      <c r="CIP126"/>
      <c r="CIQ126"/>
      <c r="CIR126"/>
      <c r="CIS126"/>
      <c r="CIT126"/>
      <c r="CIU126"/>
      <c r="CIV126"/>
      <c r="CIW126"/>
      <c r="CIX126"/>
      <c r="CIY126"/>
      <c r="CIZ126"/>
      <c r="CJA126"/>
      <c r="CJB126"/>
      <c r="CJC126"/>
      <c r="CJD126"/>
      <c r="CJE126"/>
      <c r="CJF126"/>
      <c r="CJG126"/>
      <c r="CJH126"/>
      <c r="CJI126"/>
      <c r="CJJ126"/>
      <c r="CJK126"/>
      <c r="CJL126"/>
      <c r="CJM126"/>
      <c r="CJN126"/>
      <c r="CJO126"/>
      <c r="CJP126"/>
      <c r="CJQ126"/>
      <c r="CJR126"/>
      <c r="CJS126"/>
      <c r="CJT126"/>
      <c r="CJU126"/>
      <c r="CJV126"/>
      <c r="CJW126"/>
      <c r="CJX126"/>
      <c r="CJY126"/>
      <c r="CJZ126"/>
      <c r="CKA126"/>
      <c r="CKB126"/>
      <c r="CKC126"/>
      <c r="CKD126"/>
      <c r="CKE126"/>
      <c r="CKF126"/>
      <c r="CKG126"/>
      <c r="CKH126"/>
      <c r="CKI126"/>
      <c r="CKJ126"/>
      <c r="CKK126"/>
      <c r="CKL126"/>
      <c r="CKM126"/>
      <c r="CKN126"/>
      <c r="CKO126"/>
      <c r="CKP126"/>
      <c r="CKQ126"/>
      <c r="CKR126"/>
      <c r="CKS126"/>
      <c r="CKT126"/>
      <c r="CKU126"/>
      <c r="CKV126"/>
      <c r="CKW126"/>
      <c r="CKX126"/>
      <c r="CKY126"/>
      <c r="CKZ126"/>
      <c r="CLA126"/>
      <c r="CLB126"/>
      <c r="CLC126"/>
      <c r="CLD126"/>
      <c r="CLE126"/>
      <c r="CLF126"/>
      <c r="CLG126"/>
      <c r="CLH126"/>
      <c r="CLI126"/>
      <c r="CLJ126"/>
      <c r="CLK126"/>
      <c r="CLL126"/>
      <c r="CLM126"/>
      <c r="CLN126"/>
      <c r="CLO126"/>
      <c r="CLP126"/>
      <c r="CLQ126"/>
      <c r="CLR126"/>
      <c r="CLS126"/>
      <c r="CLT126"/>
      <c r="CLU126"/>
      <c r="CLV126"/>
      <c r="CLW126"/>
      <c r="CLX126"/>
      <c r="CLY126"/>
      <c r="CLZ126"/>
      <c r="CMA126"/>
      <c r="CMB126"/>
      <c r="CMC126"/>
      <c r="CMD126"/>
      <c r="CME126"/>
      <c r="CMF126"/>
      <c r="CMG126"/>
      <c r="CMH126"/>
      <c r="CMI126"/>
      <c r="CMJ126"/>
      <c r="CMK126"/>
      <c r="CML126"/>
      <c r="CMM126"/>
      <c r="CMN126"/>
      <c r="CMO126"/>
      <c r="CMP126"/>
      <c r="CMQ126"/>
      <c r="CMR126"/>
      <c r="CMS126"/>
      <c r="CMT126"/>
      <c r="CMU126"/>
      <c r="CMV126"/>
      <c r="CMW126"/>
      <c r="CMX126"/>
      <c r="CMY126"/>
      <c r="CMZ126"/>
      <c r="CNA126"/>
      <c r="CNB126"/>
      <c r="CNC126"/>
      <c r="CND126"/>
      <c r="CNE126"/>
      <c r="CNF126"/>
      <c r="CNG126"/>
      <c r="CNH126"/>
      <c r="CNI126"/>
      <c r="CNJ126"/>
      <c r="CNK126"/>
      <c r="CNL126"/>
      <c r="CNM126"/>
      <c r="CNN126"/>
      <c r="CNO126"/>
      <c r="CNP126"/>
      <c r="CNQ126"/>
      <c r="CNR126"/>
      <c r="CNS126"/>
      <c r="CNT126"/>
      <c r="CNU126"/>
      <c r="CNV126"/>
      <c r="CNW126"/>
      <c r="CNX126"/>
      <c r="CNY126"/>
      <c r="CNZ126"/>
      <c r="COA126"/>
      <c r="COB126"/>
      <c r="COC126"/>
      <c r="COD126"/>
      <c r="COE126"/>
      <c r="COF126"/>
      <c r="COG126"/>
      <c r="COH126"/>
      <c r="COI126"/>
      <c r="COJ126"/>
      <c r="COK126"/>
      <c r="COL126"/>
      <c r="COM126"/>
      <c r="CON126"/>
      <c r="COO126"/>
      <c r="COP126"/>
      <c r="COQ126"/>
      <c r="COR126"/>
      <c r="COS126"/>
      <c r="COT126"/>
      <c r="COU126"/>
      <c r="COV126"/>
      <c r="COW126"/>
      <c r="COX126"/>
      <c r="COY126"/>
      <c r="COZ126"/>
      <c r="CPA126"/>
      <c r="CPB126"/>
      <c r="CPC126"/>
      <c r="CPD126"/>
      <c r="CPE126"/>
      <c r="CPF126"/>
      <c r="CPG126"/>
      <c r="CPH126"/>
      <c r="CPI126"/>
      <c r="CPJ126"/>
      <c r="CPK126"/>
      <c r="CPL126"/>
      <c r="CPM126"/>
      <c r="CPN126"/>
      <c r="CPO126"/>
      <c r="CPP126"/>
      <c r="CPQ126"/>
      <c r="CPR126"/>
      <c r="CPS126"/>
      <c r="CPT126"/>
      <c r="CPU126"/>
      <c r="CPV126"/>
      <c r="CPW126"/>
      <c r="CPX126"/>
      <c r="CPY126"/>
      <c r="CPZ126"/>
      <c r="CQA126"/>
      <c r="CQB126"/>
      <c r="CQC126"/>
      <c r="CQD126"/>
      <c r="CQE126"/>
      <c r="CQF126"/>
      <c r="CQG126"/>
      <c r="CQH126"/>
      <c r="CQI126"/>
      <c r="CQJ126"/>
      <c r="CQK126"/>
      <c r="CQL126"/>
      <c r="CQM126"/>
      <c r="CQN126"/>
      <c r="CQO126"/>
      <c r="CQP126"/>
      <c r="CQQ126"/>
      <c r="CQR126"/>
      <c r="CQS126"/>
      <c r="CQT126"/>
      <c r="CQU126"/>
      <c r="CQV126"/>
      <c r="CQW126"/>
      <c r="CQX126"/>
      <c r="CQY126"/>
      <c r="CQZ126"/>
      <c r="CRA126"/>
      <c r="CRB126"/>
      <c r="CRC126"/>
      <c r="CRD126"/>
      <c r="CRE126"/>
      <c r="CRF126"/>
      <c r="CRG126"/>
      <c r="CRH126"/>
      <c r="CRI126"/>
      <c r="CRJ126"/>
      <c r="CRK126"/>
      <c r="CRL126"/>
      <c r="CRM126"/>
      <c r="CRN126"/>
      <c r="CRO126"/>
      <c r="CRP126"/>
      <c r="CRQ126"/>
      <c r="CRR126"/>
      <c r="CRS126"/>
      <c r="CRT126"/>
      <c r="CRU126"/>
      <c r="CRV126"/>
      <c r="CRW126"/>
      <c r="CRX126"/>
      <c r="CRY126"/>
      <c r="CRZ126"/>
      <c r="CSA126"/>
      <c r="CSB126"/>
      <c r="CSC126"/>
      <c r="CSD126"/>
      <c r="CSE126"/>
      <c r="CSF126"/>
      <c r="CSG126"/>
      <c r="CSH126"/>
      <c r="CSI126"/>
      <c r="CSJ126"/>
      <c r="CSK126"/>
      <c r="CSL126"/>
      <c r="CSM126"/>
      <c r="CSN126"/>
      <c r="CSO126"/>
      <c r="CSP126"/>
      <c r="CSQ126"/>
      <c r="CSR126"/>
      <c r="CSS126"/>
      <c r="CST126"/>
      <c r="CSU126"/>
      <c r="CSV126"/>
      <c r="CSW126"/>
      <c r="CSX126"/>
      <c r="CSY126"/>
      <c r="CSZ126"/>
      <c r="CTA126"/>
      <c r="CTB126"/>
      <c r="CTC126"/>
      <c r="CTD126"/>
      <c r="CTE126"/>
      <c r="CTF126"/>
      <c r="CTG126"/>
      <c r="CTH126"/>
      <c r="CTI126"/>
      <c r="CTJ126"/>
      <c r="CTK126"/>
      <c r="CTL126"/>
      <c r="CTM126"/>
      <c r="CTN126"/>
      <c r="CTO126"/>
      <c r="CTP126"/>
      <c r="CTQ126"/>
      <c r="CTR126"/>
      <c r="CTS126"/>
      <c r="CTT126"/>
      <c r="CTU126"/>
      <c r="CTV126"/>
      <c r="CTW126"/>
      <c r="CTX126"/>
      <c r="CTY126"/>
      <c r="CTZ126"/>
      <c r="CUA126"/>
      <c r="CUB126"/>
      <c r="CUC126"/>
      <c r="CUD126"/>
      <c r="CUE126"/>
      <c r="CUF126"/>
      <c r="CUG126"/>
      <c r="CUH126"/>
      <c r="CUI126"/>
      <c r="CUJ126"/>
      <c r="CUK126"/>
      <c r="CUL126"/>
      <c r="CUM126"/>
      <c r="CUN126"/>
      <c r="CUO126"/>
      <c r="CUP126"/>
      <c r="CUQ126"/>
      <c r="CUR126"/>
      <c r="CUS126"/>
      <c r="CUT126"/>
      <c r="CUU126"/>
      <c r="CUV126"/>
      <c r="CUW126"/>
      <c r="CUX126"/>
      <c r="CUY126"/>
      <c r="CUZ126"/>
      <c r="CVA126"/>
      <c r="CVB126"/>
      <c r="CVC126"/>
      <c r="CVD126"/>
      <c r="CVE126"/>
      <c r="CVF126"/>
      <c r="CVG126"/>
      <c r="CVH126"/>
      <c r="CVI126"/>
      <c r="CVJ126"/>
      <c r="CVK126"/>
      <c r="CVL126"/>
      <c r="CVM126"/>
      <c r="CVN126"/>
      <c r="CVO126"/>
      <c r="CVP126"/>
      <c r="CVQ126"/>
      <c r="CVR126"/>
      <c r="CVS126"/>
      <c r="CVT126"/>
      <c r="CVU126"/>
      <c r="CVV126"/>
      <c r="CVW126"/>
      <c r="CVX126"/>
      <c r="CVY126"/>
      <c r="CVZ126"/>
      <c r="CWA126"/>
      <c r="CWB126"/>
      <c r="CWC126"/>
      <c r="CWD126"/>
      <c r="CWE126"/>
      <c r="CWF126"/>
      <c r="CWG126"/>
      <c r="CWH126"/>
      <c r="CWI126"/>
      <c r="CWJ126"/>
      <c r="CWK126"/>
      <c r="CWL126"/>
      <c r="CWM126"/>
      <c r="CWN126"/>
      <c r="CWO126"/>
      <c r="CWP126"/>
      <c r="CWQ126"/>
      <c r="CWR126"/>
      <c r="CWS126"/>
      <c r="CWT126"/>
      <c r="CWU126"/>
      <c r="CWV126"/>
      <c r="CWW126"/>
      <c r="CWX126"/>
      <c r="CWY126"/>
      <c r="CWZ126"/>
      <c r="CXA126"/>
      <c r="CXB126"/>
      <c r="CXC126"/>
      <c r="CXD126"/>
      <c r="CXE126"/>
      <c r="CXF126"/>
      <c r="CXG126"/>
      <c r="CXH126"/>
      <c r="CXI126"/>
      <c r="CXJ126"/>
      <c r="CXK126"/>
      <c r="CXL126"/>
      <c r="CXM126"/>
      <c r="CXN126"/>
      <c r="CXO126"/>
      <c r="CXP126"/>
      <c r="CXQ126"/>
      <c r="CXR126"/>
      <c r="CXS126"/>
      <c r="CXT126"/>
      <c r="CXU126"/>
      <c r="CXV126"/>
      <c r="CXW126"/>
      <c r="CXX126"/>
      <c r="CXY126"/>
      <c r="CXZ126"/>
      <c r="CYA126"/>
      <c r="CYB126"/>
      <c r="CYC126"/>
      <c r="CYD126"/>
      <c r="CYE126"/>
      <c r="CYF126"/>
      <c r="CYG126"/>
      <c r="CYH126"/>
      <c r="CYI126"/>
      <c r="CYJ126"/>
      <c r="CYK126"/>
      <c r="CYL126"/>
      <c r="CYM126"/>
      <c r="CYN126"/>
      <c r="CYO126"/>
      <c r="CYP126"/>
      <c r="CYQ126"/>
      <c r="CYR126"/>
      <c r="CYS126"/>
      <c r="CYT126"/>
      <c r="CYU126"/>
      <c r="CYV126"/>
      <c r="CYW126"/>
      <c r="CYX126"/>
      <c r="CYY126"/>
      <c r="CYZ126"/>
      <c r="CZA126"/>
      <c r="CZB126"/>
      <c r="CZC126"/>
      <c r="CZD126"/>
      <c r="CZE126"/>
      <c r="CZF126"/>
      <c r="CZG126"/>
      <c r="CZH126"/>
      <c r="CZI126"/>
      <c r="CZJ126"/>
      <c r="CZK126"/>
      <c r="CZL126"/>
      <c r="CZM126"/>
      <c r="CZN126"/>
      <c r="CZO126"/>
      <c r="CZP126"/>
      <c r="CZQ126"/>
      <c r="CZR126"/>
      <c r="CZS126"/>
      <c r="CZT126"/>
      <c r="CZU126"/>
      <c r="CZV126"/>
      <c r="CZW126"/>
      <c r="CZX126"/>
      <c r="CZY126"/>
      <c r="CZZ126"/>
      <c r="DAA126"/>
      <c r="DAB126"/>
      <c r="DAC126"/>
      <c r="DAD126"/>
      <c r="DAE126"/>
      <c r="DAF126"/>
      <c r="DAG126"/>
      <c r="DAH126"/>
      <c r="DAI126"/>
      <c r="DAJ126"/>
      <c r="DAK126"/>
      <c r="DAL126"/>
      <c r="DAM126"/>
      <c r="DAN126"/>
      <c r="DAO126"/>
      <c r="DAP126"/>
      <c r="DAQ126"/>
      <c r="DAR126"/>
      <c r="DAS126"/>
      <c r="DAT126"/>
      <c r="DAU126"/>
      <c r="DAV126"/>
      <c r="DAW126"/>
      <c r="DAX126"/>
      <c r="DAY126"/>
      <c r="DAZ126"/>
      <c r="DBA126"/>
      <c r="DBB126"/>
      <c r="DBC126"/>
      <c r="DBD126"/>
      <c r="DBE126"/>
      <c r="DBF126"/>
      <c r="DBG126"/>
      <c r="DBH126"/>
      <c r="DBI126"/>
      <c r="DBJ126"/>
      <c r="DBK126"/>
      <c r="DBL126"/>
      <c r="DBM126"/>
      <c r="DBN126"/>
      <c r="DBO126"/>
      <c r="DBP126"/>
      <c r="DBQ126"/>
      <c r="DBR126"/>
      <c r="DBS126"/>
      <c r="DBT126"/>
      <c r="DBU126"/>
      <c r="DBV126"/>
      <c r="DBW126"/>
      <c r="DBX126"/>
      <c r="DBY126"/>
      <c r="DBZ126"/>
      <c r="DCA126"/>
      <c r="DCB126"/>
      <c r="DCC126"/>
      <c r="DCD126"/>
      <c r="DCE126"/>
      <c r="DCF126"/>
      <c r="DCG126"/>
      <c r="DCH126"/>
      <c r="DCI126"/>
      <c r="DCJ126"/>
      <c r="DCK126"/>
      <c r="DCL126"/>
      <c r="DCM126"/>
      <c r="DCN126"/>
      <c r="DCO126"/>
      <c r="DCP126"/>
      <c r="DCQ126"/>
      <c r="DCR126"/>
      <c r="DCS126"/>
      <c r="DCT126"/>
      <c r="DCU126"/>
      <c r="DCV126"/>
      <c r="DCW126"/>
      <c r="DCX126"/>
      <c r="DCY126"/>
      <c r="DCZ126"/>
      <c r="DDA126"/>
      <c r="DDB126"/>
      <c r="DDC126"/>
      <c r="DDD126"/>
      <c r="DDE126"/>
      <c r="DDF126"/>
      <c r="DDG126"/>
      <c r="DDH126"/>
      <c r="DDI126"/>
      <c r="DDJ126"/>
      <c r="DDK126"/>
      <c r="DDL126"/>
      <c r="DDM126"/>
      <c r="DDN126"/>
      <c r="DDO126"/>
      <c r="DDP126"/>
      <c r="DDQ126"/>
      <c r="DDR126"/>
      <c r="DDS126"/>
      <c r="DDT126"/>
      <c r="DDU126"/>
      <c r="DDV126"/>
      <c r="DDW126"/>
      <c r="DDX126"/>
      <c r="DDY126"/>
      <c r="DDZ126"/>
      <c r="DEA126"/>
      <c r="DEB126"/>
      <c r="DEC126"/>
      <c r="DED126"/>
      <c r="DEE126"/>
      <c r="DEF126"/>
      <c r="DEG126"/>
      <c r="DEH126"/>
      <c r="DEI126"/>
      <c r="DEJ126"/>
      <c r="DEK126"/>
      <c r="DEL126"/>
      <c r="DEM126"/>
      <c r="DEN126"/>
      <c r="DEO126"/>
      <c r="DEP126"/>
      <c r="DEQ126"/>
      <c r="DER126"/>
      <c r="DES126"/>
      <c r="DET126"/>
      <c r="DEU126"/>
      <c r="DEV126"/>
      <c r="DEW126"/>
      <c r="DEX126"/>
      <c r="DEY126"/>
      <c r="DEZ126"/>
      <c r="DFA126"/>
      <c r="DFB126"/>
      <c r="DFC126"/>
      <c r="DFD126"/>
      <c r="DFE126"/>
      <c r="DFF126"/>
      <c r="DFG126"/>
      <c r="DFH126"/>
      <c r="DFI126"/>
      <c r="DFJ126"/>
      <c r="DFK126"/>
      <c r="DFL126"/>
      <c r="DFM126"/>
      <c r="DFN126"/>
      <c r="DFO126"/>
      <c r="DFP126"/>
      <c r="DFQ126"/>
      <c r="DFR126"/>
      <c r="DFS126"/>
      <c r="DFT126"/>
      <c r="DFU126"/>
      <c r="DFV126"/>
      <c r="DFW126"/>
      <c r="DFX126"/>
      <c r="DFY126"/>
      <c r="DFZ126"/>
      <c r="DGA126"/>
      <c r="DGB126"/>
      <c r="DGC126"/>
      <c r="DGD126"/>
      <c r="DGE126"/>
      <c r="DGF126"/>
      <c r="DGG126"/>
      <c r="DGH126"/>
      <c r="DGI126"/>
      <c r="DGJ126"/>
      <c r="DGK126"/>
      <c r="DGL126"/>
      <c r="DGM126"/>
      <c r="DGN126"/>
      <c r="DGO126"/>
      <c r="DGP126"/>
      <c r="DGQ126"/>
      <c r="DGR126"/>
      <c r="DGS126"/>
      <c r="DGT126"/>
      <c r="DGU126"/>
      <c r="DGV126"/>
      <c r="DGW126"/>
      <c r="DGX126"/>
      <c r="DGY126"/>
      <c r="DGZ126"/>
      <c r="DHA126"/>
      <c r="DHB126"/>
      <c r="DHC126"/>
      <c r="DHD126"/>
      <c r="DHE126"/>
      <c r="DHF126"/>
      <c r="DHG126"/>
      <c r="DHH126"/>
      <c r="DHI126"/>
      <c r="DHJ126"/>
      <c r="DHK126"/>
      <c r="DHL126"/>
      <c r="DHM126"/>
      <c r="DHN126"/>
      <c r="DHO126"/>
      <c r="DHP126"/>
      <c r="DHQ126"/>
      <c r="DHR126"/>
      <c r="DHS126"/>
      <c r="DHT126"/>
      <c r="DHU126"/>
      <c r="DHV126"/>
      <c r="DHW126"/>
      <c r="DHX126"/>
      <c r="DHY126"/>
      <c r="DHZ126"/>
      <c r="DIA126"/>
      <c r="DIB126"/>
      <c r="DIC126"/>
      <c r="DID126"/>
      <c r="DIE126"/>
      <c r="DIF126"/>
      <c r="DIG126"/>
      <c r="DIH126"/>
      <c r="DII126"/>
      <c r="DIJ126"/>
      <c r="DIK126"/>
      <c r="DIL126"/>
      <c r="DIM126"/>
      <c r="DIN126"/>
      <c r="DIO126"/>
      <c r="DIP126"/>
      <c r="DIQ126"/>
      <c r="DIR126"/>
      <c r="DIS126"/>
      <c r="DIT126"/>
      <c r="DIU126"/>
      <c r="DIV126"/>
      <c r="DIW126"/>
      <c r="DIX126"/>
      <c r="DIY126"/>
      <c r="DIZ126"/>
      <c r="DJA126"/>
      <c r="DJB126"/>
      <c r="DJC126"/>
      <c r="DJD126"/>
      <c r="DJE126"/>
      <c r="DJF126"/>
      <c r="DJG126"/>
      <c r="DJH126"/>
      <c r="DJI126"/>
      <c r="DJJ126"/>
      <c r="DJK126"/>
      <c r="DJL126"/>
      <c r="DJM126"/>
      <c r="DJN126"/>
      <c r="DJO126"/>
      <c r="DJP126"/>
      <c r="DJQ126"/>
      <c r="DJR126"/>
      <c r="DJS126"/>
      <c r="DJT126"/>
      <c r="DJU126"/>
      <c r="DJV126"/>
      <c r="DJW126"/>
      <c r="DJX126"/>
      <c r="DJY126"/>
      <c r="DJZ126"/>
      <c r="DKA126"/>
      <c r="DKB126"/>
      <c r="DKC126"/>
      <c r="DKD126"/>
      <c r="DKE126"/>
      <c r="DKF126"/>
      <c r="DKG126"/>
      <c r="DKH126"/>
      <c r="DKI126"/>
      <c r="DKJ126"/>
      <c r="DKK126"/>
      <c r="DKL126"/>
      <c r="DKM126"/>
      <c r="DKN126"/>
      <c r="DKO126"/>
      <c r="DKP126"/>
      <c r="DKQ126"/>
      <c r="DKR126"/>
      <c r="DKS126"/>
      <c r="DKT126"/>
      <c r="DKU126"/>
      <c r="DKV126"/>
      <c r="DKW126"/>
      <c r="DKX126"/>
      <c r="DKY126"/>
      <c r="DKZ126"/>
      <c r="DLA126"/>
      <c r="DLB126"/>
      <c r="DLC126"/>
      <c r="DLD126"/>
      <c r="DLE126"/>
      <c r="DLF126"/>
      <c r="DLG126"/>
      <c r="DLH126"/>
      <c r="DLI126"/>
      <c r="DLJ126"/>
      <c r="DLK126"/>
      <c r="DLL126"/>
      <c r="DLM126"/>
      <c r="DLN126"/>
      <c r="DLO126"/>
      <c r="DLP126"/>
      <c r="DLQ126"/>
      <c r="DLR126"/>
      <c r="DLS126"/>
      <c r="DLT126"/>
      <c r="DLU126"/>
      <c r="DLV126"/>
      <c r="DLW126"/>
      <c r="DLX126"/>
      <c r="DLY126"/>
      <c r="DLZ126"/>
      <c r="DMA126"/>
      <c r="DMB126"/>
      <c r="DMC126"/>
      <c r="DMD126"/>
      <c r="DME126"/>
      <c r="DMF126"/>
      <c r="DMG126"/>
      <c r="DMH126"/>
      <c r="DMI126"/>
      <c r="DMJ126"/>
      <c r="DMK126"/>
      <c r="DML126"/>
      <c r="DMM126"/>
      <c r="DMN126"/>
      <c r="DMO126"/>
      <c r="DMP126"/>
      <c r="DMQ126"/>
      <c r="DMR126"/>
      <c r="DMS126"/>
      <c r="DMT126"/>
      <c r="DMU126"/>
      <c r="DMV126"/>
      <c r="DMW126"/>
      <c r="DMX126"/>
      <c r="DMY126"/>
      <c r="DMZ126"/>
      <c r="DNA126"/>
      <c r="DNB126"/>
      <c r="DNC126"/>
      <c r="DND126"/>
      <c r="DNE126"/>
      <c r="DNF126"/>
      <c r="DNG126"/>
      <c r="DNH126"/>
      <c r="DNI126"/>
      <c r="DNJ126"/>
      <c r="DNK126"/>
      <c r="DNL126"/>
      <c r="DNM126"/>
      <c r="DNN126"/>
      <c r="DNO126"/>
      <c r="DNP126"/>
      <c r="DNQ126"/>
      <c r="DNR126"/>
      <c r="DNS126"/>
      <c r="DNT126"/>
      <c r="DNU126"/>
      <c r="DNV126"/>
      <c r="DNW126"/>
      <c r="DNX126"/>
      <c r="DNY126"/>
      <c r="DNZ126"/>
      <c r="DOA126"/>
      <c r="DOB126"/>
      <c r="DOC126"/>
      <c r="DOD126"/>
      <c r="DOE126"/>
      <c r="DOF126"/>
      <c r="DOG126"/>
      <c r="DOH126"/>
      <c r="DOI126"/>
      <c r="DOJ126"/>
      <c r="DOK126"/>
      <c r="DOL126"/>
      <c r="DOM126"/>
      <c r="DON126"/>
      <c r="DOO126"/>
      <c r="DOP126"/>
      <c r="DOQ126"/>
      <c r="DOR126"/>
      <c r="DOS126"/>
      <c r="DOT126"/>
      <c r="DOU126"/>
      <c r="DOV126"/>
      <c r="DOW126"/>
      <c r="DOX126"/>
      <c r="DOY126"/>
      <c r="DOZ126"/>
      <c r="DPA126"/>
      <c r="DPB126"/>
      <c r="DPC126"/>
      <c r="DPD126"/>
      <c r="DPE126"/>
      <c r="DPF126"/>
      <c r="DPG126"/>
      <c r="DPH126"/>
      <c r="DPI126"/>
      <c r="DPJ126"/>
      <c r="DPK126"/>
      <c r="DPL126"/>
      <c r="DPM126"/>
      <c r="DPN126"/>
      <c r="DPO126"/>
      <c r="DPP126"/>
      <c r="DPQ126"/>
      <c r="DPR126"/>
      <c r="DPS126"/>
      <c r="DPT126"/>
      <c r="DPU126"/>
      <c r="DPV126"/>
      <c r="DPW126"/>
      <c r="DPX126"/>
      <c r="DPY126"/>
      <c r="DPZ126"/>
      <c r="DQA126"/>
      <c r="DQB126"/>
      <c r="DQC126"/>
      <c r="DQD126"/>
      <c r="DQE126"/>
      <c r="DQF126"/>
      <c r="DQG126"/>
      <c r="DQH126"/>
      <c r="DQI126"/>
      <c r="DQJ126"/>
      <c r="DQK126"/>
      <c r="DQL126"/>
      <c r="DQM126"/>
      <c r="DQN126"/>
      <c r="DQO126"/>
      <c r="DQP126"/>
      <c r="DQQ126"/>
      <c r="DQR126"/>
      <c r="DQS126"/>
      <c r="DQT126"/>
      <c r="DQU126"/>
      <c r="DQV126"/>
      <c r="DQW126"/>
      <c r="DQX126"/>
      <c r="DQY126"/>
      <c r="DQZ126"/>
      <c r="DRA126"/>
      <c r="DRB126"/>
      <c r="DRC126"/>
      <c r="DRD126"/>
      <c r="DRE126"/>
      <c r="DRF126"/>
      <c r="DRG126"/>
      <c r="DRH126"/>
      <c r="DRI126"/>
      <c r="DRJ126"/>
      <c r="DRK126"/>
      <c r="DRL126"/>
      <c r="DRM126"/>
      <c r="DRN126"/>
      <c r="DRO126"/>
      <c r="DRP126"/>
      <c r="DRQ126"/>
      <c r="DRR126"/>
      <c r="DRS126"/>
      <c r="DRT126"/>
      <c r="DRU126"/>
      <c r="DRV126"/>
      <c r="DRW126"/>
      <c r="DRX126"/>
      <c r="DRY126"/>
      <c r="DRZ126"/>
      <c r="DSA126"/>
      <c r="DSB126"/>
      <c r="DSC126"/>
      <c r="DSD126"/>
      <c r="DSE126"/>
      <c r="DSF126"/>
      <c r="DSG126"/>
      <c r="DSH126"/>
      <c r="DSI126"/>
      <c r="DSJ126"/>
      <c r="DSK126"/>
      <c r="DSL126"/>
      <c r="DSM126"/>
      <c r="DSN126"/>
      <c r="DSO126"/>
      <c r="DSP126"/>
      <c r="DSQ126"/>
      <c r="DSR126"/>
      <c r="DSS126"/>
      <c r="DST126"/>
      <c r="DSU126"/>
      <c r="DSV126"/>
      <c r="DSW126"/>
      <c r="DSX126"/>
      <c r="DSY126"/>
      <c r="DSZ126"/>
      <c r="DTA126"/>
      <c r="DTB126"/>
      <c r="DTC126"/>
      <c r="DTD126"/>
      <c r="DTE126"/>
      <c r="DTF126"/>
      <c r="DTG126"/>
      <c r="DTH126"/>
      <c r="DTI126"/>
      <c r="DTJ126"/>
      <c r="DTK126"/>
      <c r="DTL126"/>
      <c r="DTM126"/>
      <c r="DTN126"/>
      <c r="DTO126"/>
      <c r="DTP126"/>
      <c r="DTQ126"/>
      <c r="DTR126"/>
      <c r="DTS126"/>
      <c r="DTT126"/>
      <c r="DTU126"/>
      <c r="DTV126"/>
      <c r="DTW126"/>
      <c r="DTX126"/>
      <c r="DTY126"/>
      <c r="DTZ126"/>
      <c r="DUA126"/>
      <c r="DUB126"/>
      <c r="DUC126"/>
      <c r="DUD126"/>
      <c r="DUE126"/>
      <c r="DUF126"/>
      <c r="DUG126"/>
      <c r="DUH126"/>
      <c r="DUI126"/>
      <c r="DUJ126"/>
      <c r="DUK126"/>
      <c r="DUL126"/>
      <c r="DUM126"/>
      <c r="DUN126"/>
      <c r="DUO126"/>
      <c r="DUP126"/>
      <c r="DUQ126"/>
      <c r="DUR126"/>
      <c r="DUS126"/>
      <c r="DUT126"/>
      <c r="DUU126"/>
      <c r="DUV126"/>
      <c r="DUW126"/>
      <c r="DUX126"/>
      <c r="DUY126"/>
      <c r="DUZ126"/>
      <c r="DVA126"/>
      <c r="DVB126"/>
      <c r="DVC126"/>
      <c r="DVD126"/>
      <c r="DVE126"/>
      <c r="DVF126"/>
      <c r="DVG126"/>
      <c r="DVH126"/>
      <c r="DVI126"/>
      <c r="DVJ126"/>
      <c r="DVK126"/>
      <c r="DVL126"/>
      <c r="DVM126"/>
      <c r="DVN126"/>
      <c r="DVO126"/>
      <c r="DVP126"/>
      <c r="DVQ126"/>
      <c r="DVR126"/>
      <c r="DVS126"/>
      <c r="DVT126"/>
      <c r="DVU126"/>
      <c r="DVV126"/>
      <c r="DVW126"/>
      <c r="DVX126"/>
      <c r="DVY126"/>
      <c r="DVZ126"/>
      <c r="DWA126"/>
      <c r="DWB126"/>
      <c r="DWC126"/>
      <c r="DWD126"/>
      <c r="DWE126"/>
      <c r="DWF126"/>
      <c r="DWG126"/>
      <c r="DWH126"/>
      <c r="DWI126"/>
      <c r="DWJ126"/>
      <c r="DWK126"/>
      <c r="DWL126"/>
      <c r="DWM126"/>
      <c r="DWN126"/>
      <c r="DWO126"/>
      <c r="DWP126"/>
      <c r="DWQ126"/>
      <c r="DWR126"/>
      <c r="DWS126"/>
      <c r="DWT126"/>
      <c r="DWU126"/>
      <c r="DWV126"/>
      <c r="DWW126"/>
      <c r="DWX126"/>
      <c r="DWY126"/>
      <c r="DWZ126"/>
      <c r="DXA126"/>
      <c r="DXB126"/>
      <c r="DXC126"/>
      <c r="DXD126"/>
      <c r="DXE126"/>
      <c r="DXF126"/>
      <c r="DXG126"/>
      <c r="DXH126"/>
      <c r="DXI126"/>
      <c r="DXJ126"/>
      <c r="DXK126"/>
      <c r="DXL126"/>
      <c r="DXM126"/>
      <c r="DXN126"/>
      <c r="DXO126"/>
      <c r="DXP126"/>
      <c r="DXQ126"/>
      <c r="DXR126"/>
      <c r="DXS126"/>
      <c r="DXT126"/>
      <c r="DXU126"/>
      <c r="DXV126"/>
      <c r="DXW126"/>
      <c r="DXX126"/>
      <c r="DXY126"/>
      <c r="DXZ126"/>
      <c r="DYA126"/>
      <c r="DYB126"/>
      <c r="DYC126"/>
      <c r="DYD126"/>
      <c r="DYE126"/>
      <c r="DYF126"/>
      <c r="DYG126"/>
      <c r="DYH126"/>
      <c r="DYI126"/>
      <c r="DYJ126"/>
      <c r="DYK126"/>
      <c r="DYL126"/>
      <c r="DYM126"/>
      <c r="DYN126"/>
      <c r="DYO126"/>
      <c r="DYP126"/>
      <c r="DYQ126"/>
      <c r="DYR126"/>
      <c r="DYS126"/>
      <c r="DYT126"/>
      <c r="DYU126"/>
      <c r="DYV126"/>
      <c r="DYW126"/>
      <c r="DYX126"/>
      <c r="DYY126"/>
      <c r="DYZ126"/>
      <c r="DZA126"/>
      <c r="DZB126"/>
      <c r="DZC126"/>
      <c r="DZD126"/>
      <c r="DZE126"/>
      <c r="DZF126"/>
      <c r="DZG126"/>
      <c r="DZH126"/>
      <c r="DZI126"/>
      <c r="DZJ126"/>
      <c r="DZK126"/>
      <c r="DZL126"/>
      <c r="DZM126"/>
      <c r="DZN126"/>
      <c r="DZO126"/>
      <c r="DZP126"/>
      <c r="DZQ126"/>
      <c r="DZR126"/>
      <c r="DZS126"/>
      <c r="DZT126"/>
      <c r="DZU126"/>
      <c r="DZV126"/>
      <c r="DZW126"/>
      <c r="DZX126"/>
      <c r="DZY126"/>
      <c r="DZZ126"/>
      <c r="EAA126"/>
      <c r="EAB126"/>
      <c r="EAC126"/>
      <c r="EAD126"/>
      <c r="EAE126"/>
      <c r="EAF126"/>
      <c r="EAG126"/>
      <c r="EAH126"/>
      <c r="EAI126"/>
      <c r="EAJ126"/>
      <c r="EAK126"/>
      <c r="EAL126"/>
      <c r="EAM126"/>
      <c r="EAN126"/>
      <c r="EAO126"/>
      <c r="EAP126"/>
      <c r="EAQ126"/>
      <c r="EAR126"/>
      <c r="EAS126"/>
      <c r="EAT126"/>
      <c r="EAU126"/>
      <c r="EAV126"/>
      <c r="EAW126"/>
      <c r="EAX126"/>
      <c r="EAY126"/>
      <c r="EAZ126"/>
      <c r="EBA126"/>
      <c r="EBB126"/>
      <c r="EBC126"/>
      <c r="EBD126"/>
      <c r="EBE126"/>
      <c r="EBF126"/>
      <c r="EBG126"/>
      <c r="EBH126"/>
      <c r="EBI126"/>
      <c r="EBJ126"/>
      <c r="EBK126"/>
      <c r="EBL126"/>
      <c r="EBM126"/>
      <c r="EBN126"/>
      <c r="EBO126"/>
      <c r="EBP126"/>
      <c r="EBQ126"/>
      <c r="EBR126"/>
      <c r="EBS126"/>
      <c r="EBT126"/>
      <c r="EBU126"/>
      <c r="EBV126"/>
      <c r="EBW126"/>
      <c r="EBX126"/>
      <c r="EBY126"/>
      <c r="EBZ126"/>
      <c r="ECA126"/>
      <c r="ECB126"/>
      <c r="ECC126"/>
      <c r="ECD126"/>
      <c r="ECE126"/>
      <c r="ECF126"/>
      <c r="ECG126"/>
      <c r="ECH126"/>
      <c r="ECI126"/>
      <c r="ECJ126"/>
      <c r="ECK126"/>
      <c r="ECL126"/>
      <c r="ECM126"/>
      <c r="ECN126"/>
      <c r="ECO126"/>
      <c r="ECP126"/>
      <c r="ECQ126"/>
      <c r="ECR126"/>
      <c r="ECS126"/>
      <c r="ECT126"/>
      <c r="ECU126"/>
      <c r="ECV126"/>
      <c r="ECW126"/>
      <c r="ECX126"/>
      <c r="ECY126"/>
      <c r="ECZ126"/>
      <c r="EDA126"/>
      <c r="EDB126"/>
      <c r="EDC126"/>
      <c r="EDD126"/>
      <c r="EDE126"/>
      <c r="EDF126"/>
      <c r="EDG126"/>
      <c r="EDH126"/>
      <c r="EDI126"/>
      <c r="EDJ126"/>
      <c r="EDK126"/>
      <c r="EDL126"/>
      <c r="EDM126"/>
      <c r="EDN126"/>
      <c r="EDO126"/>
      <c r="EDP126"/>
      <c r="EDQ126"/>
      <c r="EDR126"/>
      <c r="EDS126"/>
      <c r="EDT126"/>
      <c r="EDU126"/>
      <c r="EDV126"/>
      <c r="EDW126"/>
      <c r="EDX126"/>
      <c r="EDY126"/>
      <c r="EDZ126"/>
      <c r="EEA126"/>
      <c r="EEB126"/>
      <c r="EEC126"/>
      <c r="EED126"/>
      <c r="EEE126"/>
      <c r="EEF126"/>
      <c r="EEG126"/>
      <c r="EEH126"/>
      <c r="EEI126"/>
      <c r="EEJ126"/>
      <c r="EEK126"/>
      <c r="EEL126"/>
      <c r="EEM126"/>
      <c r="EEN126"/>
      <c r="EEO126"/>
      <c r="EEP126"/>
      <c r="EEQ126"/>
      <c r="EER126"/>
      <c r="EES126"/>
      <c r="EET126"/>
      <c r="EEU126"/>
      <c r="EEV126"/>
      <c r="EEW126"/>
      <c r="EEX126"/>
      <c r="EEY126"/>
      <c r="EEZ126"/>
      <c r="EFA126"/>
      <c r="EFB126"/>
      <c r="EFC126"/>
      <c r="EFD126"/>
      <c r="EFE126"/>
      <c r="EFF126"/>
      <c r="EFG126"/>
      <c r="EFH126"/>
      <c r="EFI126"/>
      <c r="EFJ126"/>
      <c r="EFK126"/>
      <c r="EFL126"/>
      <c r="EFM126"/>
      <c r="EFN126"/>
      <c r="EFO126"/>
      <c r="EFP126"/>
      <c r="EFQ126"/>
      <c r="EFR126"/>
      <c r="EFS126"/>
      <c r="EFT126"/>
      <c r="EFU126"/>
      <c r="EFV126"/>
      <c r="EFW126"/>
      <c r="EFX126"/>
      <c r="EFY126"/>
      <c r="EFZ126"/>
      <c r="EGA126"/>
      <c r="EGB126"/>
      <c r="EGC126"/>
      <c r="EGD126"/>
      <c r="EGE126"/>
      <c r="EGF126"/>
      <c r="EGG126"/>
      <c r="EGH126"/>
      <c r="EGI126"/>
      <c r="EGJ126"/>
      <c r="EGK126"/>
      <c r="EGL126"/>
      <c r="EGM126"/>
      <c r="EGN126"/>
      <c r="EGO126"/>
      <c r="EGP126"/>
      <c r="EGQ126"/>
      <c r="EGR126"/>
      <c r="EGS126"/>
      <c r="EGT126"/>
      <c r="EGU126"/>
      <c r="EGV126"/>
      <c r="EGW126"/>
      <c r="EGX126"/>
      <c r="EGY126"/>
      <c r="EGZ126"/>
      <c r="EHA126"/>
      <c r="EHB126"/>
      <c r="EHC126"/>
      <c r="EHD126"/>
      <c r="EHE126"/>
      <c r="EHF126"/>
      <c r="EHG126"/>
      <c r="EHH126"/>
      <c r="EHI126"/>
      <c r="EHJ126"/>
      <c r="EHK126"/>
      <c r="EHL126"/>
      <c r="EHM126"/>
      <c r="EHN126"/>
      <c r="EHO126"/>
      <c r="EHP126"/>
      <c r="EHQ126"/>
      <c r="EHR126"/>
      <c r="EHS126"/>
      <c r="EHT126"/>
      <c r="EHU126"/>
      <c r="EHV126"/>
      <c r="EHW126"/>
      <c r="EHX126"/>
      <c r="EHY126"/>
      <c r="EHZ126"/>
      <c r="EIA126"/>
      <c r="EIB126"/>
      <c r="EIC126"/>
      <c r="EID126"/>
      <c r="EIE126"/>
      <c r="EIF126"/>
      <c r="EIG126"/>
      <c r="EIH126"/>
      <c r="EII126"/>
      <c r="EIJ126"/>
      <c r="EIK126"/>
      <c r="EIL126"/>
      <c r="EIM126"/>
      <c r="EIN126"/>
      <c r="EIO126"/>
      <c r="EIP126"/>
      <c r="EIQ126"/>
      <c r="EIR126"/>
      <c r="EIS126"/>
      <c r="EIT126"/>
      <c r="EIU126"/>
      <c r="EIV126"/>
      <c r="EIW126"/>
      <c r="EIX126"/>
      <c r="EIY126"/>
      <c r="EIZ126"/>
      <c r="EJA126"/>
      <c r="EJB126"/>
      <c r="EJC126"/>
      <c r="EJD126"/>
      <c r="EJE126"/>
      <c r="EJF126"/>
      <c r="EJG126"/>
      <c r="EJH126"/>
      <c r="EJI126"/>
      <c r="EJJ126"/>
      <c r="EJK126"/>
      <c r="EJL126"/>
      <c r="EJM126"/>
      <c r="EJN126"/>
      <c r="EJO126"/>
      <c r="EJP126"/>
      <c r="EJQ126"/>
      <c r="EJR126"/>
      <c r="EJS126"/>
      <c r="EJT126"/>
      <c r="EJU126"/>
      <c r="EJV126"/>
      <c r="EJW126"/>
      <c r="EJX126"/>
      <c r="EJY126"/>
      <c r="EJZ126"/>
      <c r="EKA126"/>
      <c r="EKB126"/>
      <c r="EKC126"/>
      <c r="EKD126"/>
      <c r="EKE126"/>
      <c r="EKF126"/>
      <c r="EKG126"/>
      <c r="EKH126"/>
      <c r="EKI126"/>
      <c r="EKJ126"/>
      <c r="EKK126"/>
      <c r="EKL126"/>
      <c r="EKM126"/>
      <c r="EKN126"/>
      <c r="EKO126"/>
      <c r="EKP126"/>
      <c r="EKQ126"/>
      <c r="EKR126"/>
      <c r="EKS126"/>
      <c r="EKT126"/>
      <c r="EKU126"/>
      <c r="EKV126"/>
      <c r="EKW126"/>
      <c r="EKX126"/>
      <c r="EKY126"/>
      <c r="EKZ126"/>
      <c r="ELA126"/>
      <c r="ELB126"/>
      <c r="ELC126"/>
      <c r="ELD126"/>
      <c r="ELE126"/>
      <c r="ELF126"/>
      <c r="ELG126"/>
      <c r="ELH126"/>
      <c r="ELI126"/>
      <c r="ELJ126"/>
      <c r="ELK126"/>
      <c r="ELL126"/>
      <c r="ELM126"/>
      <c r="ELN126"/>
      <c r="ELO126"/>
      <c r="ELP126"/>
      <c r="ELQ126"/>
      <c r="ELR126"/>
      <c r="ELS126"/>
      <c r="ELT126"/>
      <c r="ELU126"/>
      <c r="ELV126"/>
      <c r="ELW126"/>
      <c r="ELX126"/>
      <c r="ELY126"/>
      <c r="ELZ126"/>
      <c r="EMA126"/>
      <c r="EMB126"/>
      <c r="EMC126"/>
      <c r="EMD126"/>
      <c r="EME126"/>
      <c r="EMF126"/>
      <c r="EMG126"/>
      <c r="EMH126"/>
      <c r="EMI126"/>
      <c r="EMJ126"/>
      <c r="EMK126"/>
      <c r="EML126"/>
      <c r="EMM126"/>
      <c r="EMN126"/>
      <c r="EMO126"/>
      <c r="EMP126"/>
      <c r="EMQ126"/>
      <c r="EMR126"/>
      <c r="EMS126"/>
      <c r="EMT126"/>
      <c r="EMU126"/>
      <c r="EMV126"/>
      <c r="EMW126"/>
      <c r="EMX126"/>
      <c r="EMY126"/>
      <c r="EMZ126"/>
      <c r="ENA126"/>
      <c r="ENB126"/>
      <c r="ENC126"/>
      <c r="END126"/>
      <c r="ENE126"/>
      <c r="ENF126"/>
      <c r="ENG126"/>
      <c r="ENH126"/>
      <c r="ENI126"/>
      <c r="ENJ126"/>
      <c r="ENK126"/>
      <c r="ENL126"/>
      <c r="ENM126"/>
      <c r="ENN126"/>
      <c r="ENO126"/>
      <c r="ENP126"/>
      <c r="ENQ126"/>
      <c r="ENR126"/>
      <c r="ENS126"/>
      <c r="ENT126"/>
      <c r="ENU126"/>
      <c r="ENV126"/>
      <c r="ENW126"/>
      <c r="ENX126"/>
      <c r="ENY126"/>
      <c r="ENZ126"/>
      <c r="EOA126"/>
      <c r="EOB126"/>
      <c r="EOC126"/>
      <c r="EOD126"/>
      <c r="EOE126"/>
      <c r="EOF126"/>
      <c r="EOG126"/>
      <c r="EOH126"/>
      <c r="EOI126"/>
      <c r="EOJ126"/>
      <c r="EOK126"/>
      <c r="EOL126"/>
      <c r="EOM126"/>
      <c r="EON126"/>
      <c r="EOO126"/>
      <c r="EOP126"/>
      <c r="EOQ126"/>
      <c r="EOR126"/>
      <c r="EOS126"/>
      <c r="EOT126"/>
      <c r="EOU126"/>
      <c r="EOV126"/>
      <c r="EOW126"/>
      <c r="EOX126"/>
      <c r="EOY126"/>
      <c r="EOZ126"/>
      <c r="EPA126"/>
      <c r="EPB126"/>
      <c r="EPC126"/>
      <c r="EPD126"/>
      <c r="EPE126"/>
      <c r="EPF126"/>
      <c r="EPG126"/>
      <c r="EPH126"/>
      <c r="EPI126"/>
      <c r="EPJ126"/>
      <c r="EPK126"/>
      <c r="EPL126"/>
      <c r="EPM126"/>
      <c r="EPN126"/>
      <c r="EPO126"/>
      <c r="EPP126"/>
      <c r="EPQ126"/>
      <c r="EPR126"/>
      <c r="EPS126"/>
      <c r="EPT126"/>
      <c r="EPU126"/>
      <c r="EPV126"/>
      <c r="EPW126"/>
      <c r="EPX126"/>
      <c r="EPY126"/>
      <c r="EPZ126"/>
      <c r="EQA126"/>
      <c r="EQB126"/>
      <c r="EQC126"/>
      <c r="EQD126"/>
      <c r="EQE126"/>
      <c r="EQF126"/>
      <c r="EQG126"/>
      <c r="EQH126"/>
      <c r="EQI126"/>
      <c r="EQJ126"/>
      <c r="EQK126"/>
      <c r="EQL126"/>
      <c r="EQM126"/>
      <c r="EQN126"/>
      <c r="EQO126"/>
      <c r="EQP126"/>
      <c r="EQQ126"/>
      <c r="EQR126"/>
      <c r="EQS126"/>
      <c r="EQT126"/>
      <c r="EQU126"/>
      <c r="EQV126"/>
      <c r="EQW126"/>
      <c r="EQX126"/>
      <c r="EQY126"/>
      <c r="EQZ126"/>
      <c r="ERA126"/>
      <c r="ERB126"/>
      <c r="ERC126"/>
      <c r="ERD126"/>
      <c r="ERE126"/>
      <c r="ERF126"/>
      <c r="ERG126"/>
      <c r="ERH126"/>
      <c r="ERI126"/>
      <c r="ERJ126"/>
      <c r="ERK126"/>
      <c r="ERL126"/>
      <c r="ERM126"/>
      <c r="ERN126"/>
      <c r="ERO126"/>
      <c r="ERP126"/>
      <c r="ERQ126"/>
      <c r="ERR126"/>
      <c r="ERS126"/>
      <c r="ERT126"/>
      <c r="ERU126"/>
      <c r="ERV126"/>
      <c r="ERW126"/>
      <c r="ERX126"/>
      <c r="ERY126"/>
      <c r="ERZ126"/>
      <c r="ESA126"/>
      <c r="ESB126"/>
      <c r="ESC126"/>
      <c r="ESD126"/>
      <c r="ESE126"/>
      <c r="ESF126"/>
      <c r="ESG126"/>
      <c r="ESH126"/>
      <c r="ESI126"/>
      <c r="ESJ126"/>
      <c r="ESK126"/>
      <c r="ESL126"/>
      <c r="ESM126"/>
      <c r="ESN126"/>
      <c r="ESO126"/>
      <c r="ESP126"/>
      <c r="ESQ126"/>
      <c r="ESR126"/>
      <c r="ESS126"/>
      <c r="EST126"/>
      <c r="ESU126"/>
      <c r="ESV126"/>
      <c r="ESW126"/>
      <c r="ESX126"/>
      <c r="ESY126"/>
      <c r="ESZ126"/>
      <c r="ETA126"/>
      <c r="ETB126"/>
      <c r="ETC126"/>
      <c r="ETD126"/>
      <c r="ETE126"/>
      <c r="ETF126"/>
      <c r="ETG126"/>
      <c r="ETH126"/>
      <c r="ETI126"/>
      <c r="ETJ126"/>
      <c r="ETK126"/>
      <c r="ETL126"/>
      <c r="ETM126"/>
      <c r="ETN126"/>
      <c r="ETO126"/>
      <c r="ETP126"/>
      <c r="ETQ126"/>
      <c r="ETR126"/>
      <c r="ETS126"/>
      <c r="ETT126"/>
      <c r="ETU126"/>
      <c r="ETV126"/>
      <c r="ETW126"/>
      <c r="ETX126"/>
      <c r="ETY126"/>
      <c r="ETZ126"/>
      <c r="EUA126"/>
      <c r="EUB126"/>
      <c r="EUC126"/>
      <c r="EUD126"/>
      <c r="EUE126"/>
      <c r="EUF126"/>
      <c r="EUG126"/>
      <c r="EUH126"/>
      <c r="EUI126"/>
      <c r="EUJ126"/>
      <c r="EUK126"/>
      <c r="EUL126"/>
      <c r="EUM126"/>
      <c r="EUN126"/>
      <c r="EUO126"/>
      <c r="EUP126"/>
      <c r="EUQ126"/>
      <c r="EUR126"/>
      <c r="EUS126"/>
      <c r="EUT126"/>
      <c r="EUU126"/>
      <c r="EUV126"/>
      <c r="EUW126"/>
      <c r="EUX126"/>
      <c r="EUY126"/>
      <c r="EUZ126"/>
      <c r="EVA126"/>
      <c r="EVB126"/>
      <c r="EVC126"/>
      <c r="EVD126"/>
      <c r="EVE126"/>
      <c r="EVF126"/>
      <c r="EVG126"/>
      <c r="EVH126"/>
      <c r="EVI126"/>
      <c r="EVJ126"/>
      <c r="EVK126"/>
      <c r="EVL126"/>
      <c r="EVM126"/>
      <c r="EVN126"/>
      <c r="EVO126"/>
      <c r="EVP126"/>
      <c r="EVQ126"/>
      <c r="EVR126"/>
      <c r="EVS126"/>
      <c r="EVT126"/>
      <c r="EVU126"/>
      <c r="EVV126"/>
      <c r="EVW126"/>
      <c r="EVX126"/>
      <c r="EVY126"/>
      <c r="EVZ126"/>
      <c r="EWA126"/>
      <c r="EWB126"/>
      <c r="EWC126"/>
      <c r="EWD126"/>
      <c r="EWE126"/>
      <c r="EWF126"/>
      <c r="EWG126"/>
      <c r="EWH126"/>
      <c r="EWI126"/>
      <c r="EWJ126"/>
      <c r="EWK126"/>
      <c r="EWL126"/>
      <c r="EWM126"/>
      <c r="EWN126"/>
      <c r="EWO126"/>
      <c r="EWP126"/>
      <c r="EWQ126"/>
      <c r="EWR126"/>
      <c r="EWS126"/>
      <c r="EWT126"/>
      <c r="EWU126"/>
      <c r="EWV126"/>
      <c r="EWW126"/>
      <c r="EWX126"/>
      <c r="EWY126"/>
      <c r="EWZ126"/>
      <c r="EXA126"/>
      <c r="EXB126"/>
      <c r="EXC126"/>
      <c r="EXD126"/>
      <c r="EXE126"/>
      <c r="EXF126"/>
      <c r="EXG126"/>
      <c r="EXH126"/>
      <c r="EXI126"/>
      <c r="EXJ126"/>
      <c r="EXK126"/>
      <c r="EXL126"/>
      <c r="EXM126"/>
      <c r="EXN126"/>
      <c r="EXO126"/>
      <c r="EXP126"/>
      <c r="EXQ126"/>
      <c r="EXR126"/>
      <c r="EXS126"/>
      <c r="EXT126"/>
      <c r="EXU126"/>
      <c r="EXV126"/>
      <c r="EXW126"/>
      <c r="EXX126"/>
      <c r="EXY126"/>
      <c r="EXZ126"/>
      <c r="EYA126"/>
      <c r="EYB126"/>
      <c r="EYC126"/>
      <c r="EYD126"/>
      <c r="EYE126"/>
      <c r="EYF126"/>
      <c r="EYG126"/>
      <c r="EYH126"/>
      <c r="EYI126"/>
      <c r="EYJ126"/>
      <c r="EYK126"/>
      <c r="EYL126"/>
      <c r="EYM126"/>
      <c r="EYN126"/>
      <c r="EYO126"/>
      <c r="EYP126"/>
      <c r="EYQ126"/>
      <c r="EYR126"/>
      <c r="EYS126"/>
      <c r="EYT126"/>
      <c r="EYU126"/>
      <c r="EYV126"/>
      <c r="EYW126"/>
      <c r="EYX126"/>
      <c r="EYY126"/>
      <c r="EYZ126"/>
      <c r="EZA126"/>
      <c r="EZB126"/>
      <c r="EZC126"/>
      <c r="EZD126"/>
      <c r="EZE126"/>
      <c r="EZF126"/>
      <c r="EZG126"/>
      <c r="EZH126"/>
      <c r="EZI126"/>
      <c r="EZJ126"/>
      <c r="EZK126"/>
      <c r="EZL126"/>
      <c r="EZM126"/>
      <c r="EZN126"/>
      <c r="EZO126"/>
      <c r="EZP126"/>
      <c r="EZQ126"/>
      <c r="EZR126"/>
      <c r="EZS126"/>
      <c r="EZT126"/>
      <c r="EZU126"/>
      <c r="EZV126"/>
      <c r="EZW126"/>
      <c r="EZX126"/>
      <c r="EZY126"/>
      <c r="EZZ126"/>
      <c r="FAA126"/>
      <c r="FAB126"/>
      <c r="FAC126"/>
      <c r="FAD126"/>
      <c r="FAE126"/>
      <c r="FAF126"/>
      <c r="FAG126"/>
      <c r="FAH126"/>
      <c r="FAI126"/>
      <c r="FAJ126"/>
      <c r="FAK126"/>
      <c r="FAL126"/>
      <c r="FAM126"/>
      <c r="FAN126"/>
      <c r="FAO126"/>
      <c r="FAP126"/>
      <c r="FAQ126"/>
      <c r="FAR126"/>
      <c r="FAS126"/>
      <c r="FAT126"/>
      <c r="FAU126"/>
      <c r="FAV126"/>
      <c r="FAW126"/>
      <c r="FAX126"/>
      <c r="FAY126"/>
      <c r="FAZ126"/>
      <c r="FBA126"/>
      <c r="FBB126"/>
      <c r="FBC126"/>
      <c r="FBD126"/>
      <c r="FBE126"/>
      <c r="FBF126"/>
      <c r="FBG126"/>
      <c r="FBH126"/>
      <c r="FBI126"/>
      <c r="FBJ126"/>
      <c r="FBK126"/>
      <c r="FBL126"/>
      <c r="FBM126"/>
      <c r="FBN126"/>
      <c r="FBO126"/>
      <c r="FBP126"/>
      <c r="FBQ126"/>
      <c r="FBR126"/>
      <c r="FBS126"/>
      <c r="FBT126"/>
      <c r="FBU126"/>
      <c r="FBV126"/>
      <c r="FBW126"/>
      <c r="FBX126"/>
      <c r="FBY126"/>
      <c r="FBZ126"/>
      <c r="FCA126"/>
      <c r="FCB126"/>
      <c r="FCC126"/>
      <c r="FCD126"/>
      <c r="FCE126"/>
      <c r="FCF126"/>
      <c r="FCG126"/>
      <c r="FCH126"/>
      <c r="FCI126"/>
      <c r="FCJ126"/>
      <c r="FCK126"/>
      <c r="FCL126"/>
      <c r="FCM126"/>
      <c r="FCN126"/>
      <c r="FCO126"/>
      <c r="FCP126"/>
      <c r="FCQ126"/>
      <c r="FCR126"/>
      <c r="FCS126"/>
      <c r="FCT126"/>
      <c r="FCU126"/>
      <c r="FCV126"/>
      <c r="FCW126"/>
      <c r="FCX126"/>
      <c r="FCY126"/>
      <c r="FCZ126"/>
      <c r="FDA126"/>
      <c r="FDB126"/>
      <c r="FDC126"/>
      <c r="FDD126"/>
      <c r="FDE126"/>
      <c r="FDF126"/>
      <c r="FDG126"/>
      <c r="FDH126"/>
      <c r="FDI126"/>
      <c r="FDJ126"/>
      <c r="FDK126"/>
      <c r="FDL126"/>
      <c r="FDM126"/>
      <c r="FDN126"/>
      <c r="FDO126"/>
      <c r="FDP126"/>
      <c r="FDQ126"/>
      <c r="FDR126"/>
      <c r="FDS126"/>
      <c r="FDT126"/>
      <c r="FDU126"/>
      <c r="FDV126"/>
      <c r="FDW126"/>
      <c r="FDX126"/>
      <c r="FDY126"/>
      <c r="FDZ126"/>
      <c r="FEA126"/>
      <c r="FEB126"/>
      <c r="FEC126"/>
      <c r="FED126"/>
      <c r="FEE126"/>
      <c r="FEF126"/>
      <c r="FEG126"/>
      <c r="FEH126"/>
      <c r="FEI126"/>
      <c r="FEJ126"/>
      <c r="FEK126"/>
      <c r="FEL126"/>
      <c r="FEM126"/>
      <c r="FEN126"/>
      <c r="FEO126"/>
      <c r="FEP126"/>
      <c r="FEQ126"/>
      <c r="FER126"/>
      <c r="FES126"/>
      <c r="FET126"/>
      <c r="FEU126"/>
      <c r="FEV126"/>
      <c r="FEW126"/>
      <c r="FEX126"/>
      <c r="FEY126"/>
      <c r="FEZ126"/>
      <c r="FFA126"/>
      <c r="FFB126"/>
      <c r="FFC126"/>
      <c r="FFD126"/>
      <c r="FFE126"/>
      <c r="FFF126"/>
      <c r="FFG126"/>
      <c r="FFH126"/>
      <c r="FFI126"/>
      <c r="FFJ126"/>
      <c r="FFK126"/>
      <c r="FFL126"/>
      <c r="FFM126"/>
      <c r="FFN126"/>
      <c r="FFO126"/>
      <c r="FFP126"/>
      <c r="FFQ126"/>
      <c r="FFR126"/>
      <c r="FFS126"/>
      <c r="FFT126"/>
      <c r="FFU126"/>
      <c r="FFV126"/>
      <c r="FFW126"/>
      <c r="FFX126"/>
      <c r="FFY126"/>
      <c r="FFZ126"/>
      <c r="FGA126"/>
      <c r="FGB126"/>
      <c r="FGC126"/>
      <c r="FGD126"/>
      <c r="FGE126"/>
      <c r="FGF126"/>
      <c r="FGG126"/>
      <c r="FGH126"/>
      <c r="FGI126"/>
      <c r="FGJ126"/>
      <c r="FGK126"/>
      <c r="FGL126"/>
      <c r="FGM126"/>
      <c r="FGN126"/>
      <c r="FGO126"/>
      <c r="FGP126"/>
      <c r="FGQ126"/>
      <c r="FGR126"/>
      <c r="FGS126"/>
      <c r="FGT126"/>
      <c r="FGU126"/>
      <c r="FGV126"/>
      <c r="FGW126"/>
      <c r="FGX126"/>
      <c r="FGY126"/>
      <c r="FGZ126"/>
      <c r="FHA126"/>
      <c r="FHB126"/>
      <c r="FHC126"/>
      <c r="FHD126"/>
      <c r="FHE126"/>
      <c r="FHF126"/>
      <c r="FHG126"/>
      <c r="FHH126"/>
      <c r="FHI126"/>
      <c r="FHJ126"/>
      <c r="FHK126"/>
      <c r="FHL126"/>
      <c r="FHM126"/>
      <c r="FHN126"/>
      <c r="FHO126"/>
      <c r="FHP126"/>
      <c r="FHQ126"/>
      <c r="FHR126"/>
      <c r="FHS126"/>
      <c r="FHT126"/>
      <c r="FHU126"/>
      <c r="FHV126"/>
      <c r="FHW126"/>
      <c r="FHX126"/>
      <c r="FHY126"/>
      <c r="FHZ126"/>
      <c r="FIA126"/>
      <c r="FIB126"/>
      <c r="FIC126"/>
      <c r="FID126"/>
      <c r="FIE126"/>
      <c r="FIF126"/>
      <c r="FIG126"/>
      <c r="FIH126"/>
      <c r="FII126"/>
      <c r="FIJ126"/>
      <c r="FIK126"/>
      <c r="FIL126"/>
      <c r="FIM126"/>
      <c r="FIN126"/>
      <c r="FIO126"/>
      <c r="FIP126"/>
      <c r="FIQ126"/>
      <c r="FIR126"/>
      <c r="FIS126"/>
      <c r="FIT126"/>
      <c r="FIU126"/>
      <c r="FIV126"/>
      <c r="FIW126"/>
      <c r="FIX126"/>
      <c r="FIY126"/>
      <c r="FIZ126"/>
      <c r="FJA126"/>
      <c r="FJB126"/>
      <c r="FJC126"/>
      <c r="FJD126"/>
      <c r="FJE126"/>
      <c r="FJF126"/>
      <c r="FJG126"/>
      <c r="FJH126"/>
      <c r="FJI126"/>
      <c r="FJJ126"/>
      <c r="FJK126"/>
      <c r="FJL126"/>
      <c r="FJM126"/>
      <c r="FJN126"/>
      <c r="FJO126"/>
      <c r="FJP126"/>
      <c r="FJQ126"/>
      <c r="FJR126"/>
      <c r="FJS126"/>
      <c r="FJT126"/>
      <c r="FJU126"/>
      <c r="FJV126"/>
      <c r="FJW126"/>
      <c r="FJX126"/>
      <c r="FJY126"/>
      <c r="FJZ126"/>
      <c r="FKA126"/>
      <c r="FKB126"/>
      <c r="FKC126"/>
      <c r="FKD126"/>
      <c r="FKE126"/>
      <c r="FKF126"/>
      <c r="FKG126"/>
      <c r="FKH126"/>
      <c r="FKI126"/>
      <c r="FKJ126"/>
      <c r="FKK126"/>
      <c r="FKL126"/>
      <c r="FKM126"/>
      <c r="FKN126"/>
      <c r="FKO126"/>
      <c r="FKP126"/>
      <c r="FKQ126"/>
      <c r="FKR126"/>
      <c r="FKS126"/>
      <c r="FKT126"/>
      <c r="FKU126"/>
      <c r="FKV126"/>
      <c r="FKW126"/>
      <c r="FKX126"/>
      <c r="FKY126"/>
      <c r="FKZ126"/>
      <c r="FLA126"/>
      <c r="FLB126"/>
      <c r="FLC126"/>
      <c r="FLD126"/>
      <c r="FLE126"/>
      <c r="FLF126"/>
      <c r="FLG126"/>
      <c r="FLH126"/>
      <c r="FLI126"/>
      <c r="FLJ126"/>
      <c r="FLK126"/>
      <c r="FLL126"/>
      <c r="FLM126"/>
      <c r="FLN126"/>
      <c r="FLO126"/>
      <c r="FLP126"/>
      <c r="FLQ126"/>
      <c r="FLR126"/>
      <c r="FLS126"/>
      <c r="FLT126"/>
      <c r="FLU126"/>
      <c r="FLV126"/>
      <c r="FLW126"/>
      <c r="FLX126"/>
      <c r="FLY126"/>
      <c r="FLZ126"/>
      <c r="FMA126"/>
      <c r="FMB126"/>
      <c r="FMC126"/>
      <c r="FMD126"/>
      <c r="FME126"/>
      <c r="FMF126"/>
      <c r="FMG126"/>
      <c r="FMH126"/>
      <c r="FMI126"/>
      <c r="FMJ126"/>
      <c r="FMK126"/>
      <c r="FML126"/>
      <c r="FMM126"/>
      <c r="FMN126"/>
      <c r="FMO126"/>
      <c r="FMP126"/>
      <c r="FMQ126"/>
      <c r="FMR126"/>
      <c r="FMS126"/>
      <c r="FMT126"/>
      <c r="FMU126"/>
      <c r="FMV126"/>
      <c r="FMW126"/>
      <c r="FMX126"/>
      <c r="FMY126"/>
      <c r="FMZ126"/>
      <c r="FNA126"/>
      <c r="FNB126"/>
      <c r="FNC126"/>
      <c r="FND126"/>
      <c r="FNE126"/>
      <c r="FNF126"/>
      <c r="FNG126"/>
      <c r="FNH126"/>
      <c r="FNI126"/>
      <c r="FNJ126"/>
      <c r="FNK126"/>
      <c r="FNL126"/>
      <c r="FNM126"/>
      <c r="FNN126"/>
      <c r="FNO126"/>
      <c r="FNP126"/>
      <c r="FNQ126"/>
      <c r="FNR126"/>
      <c r="FNS126"/>
      <c r="FNT126"/>
      <c r="FNU126"/>
      <c r="FNV126"/>
      <c r="FNW126"/>
      <c r="FNX126"/>
      <c r="FNY126"/>
      <c r="FNZ126"/>
      <c r="FOA126"/>
      <c r="FOB126"/>
      <c r="FOC126"/>
      <c r="FOD126"/>
      <c r="FOE126"/>
      <c r="FOF126"/>
      <c r="FOG126"/>
      <c r="FOH126"/>
      <c r="FOI126"/>
      <c r="FOJ126"/>
      <c r="FOK126"/>
      <c r="FOL126"/>
      <c r="FOM126"/>
      <c r="FON126"/>
      <c r="FOO126"/>
      <c r="FOP126"/>
      <c r="FOQ126"/>
      <c r="FOR126"/>
      <c r="FOS126"/>
      <c r="FOT126"/>
      <c r="FOU126"/>
      <c r="FOV126"/>
      <c r="FOW126"/>
      <c r="FOX126"/>
      <c r="FOY126"/>
      <c r="FOZ126"/>
      <c r="FPA126"/>
      <c r="FPB126"/>
      <c r="FPC126"/>
      <c r="FPD126"/>
      <c r="FPE126"/>
      <c r="FPF126"/>
      <c r="FPG126"/>
      <c r="FPH126"/>
      <c r="FPI126"/>
      <c r="FPJ126"/>
      <c r="FPK126"/>
      <c r="FPL126"/>
      <c r="FPM126"/>
      <c r="FPN126"/>
      <c r="FPO126"/>
      <c r="FPP126"/>
      <c r="FPQ126"/>
      <c r="FPR126"/>
      <c r="FPS126"/>
      <c r="FPT126"/>
      <c r="FPU126"/>
      <c r="FPV126"/>
      <c r="FPW126"/>
      <c r="FPX126"/>
      <c r="FPY126"/>
      <c r="FPZ126"/>
      <c r="FQA126"/>
      <c r="FQB126"/>
      <c r="FQC126"/>
      <c r="FQD126"/>
      <c r="FQE126"/>
      <c r="FQF126"/>
      <c r="FQG126"/>
      <c r="FQH126"/>
      <c r="FQI126"/>
      <c r="FQJ126"/>
      <c r="FQK126"/>
      <c r="FQL126"/>
      <c r="FQM126"/>
      <c r="FQN126"/>
      <c r="FQO126"/>
      <c r="FQP126"/>
      <c r="FQQ126"/>
      <c r="FQR126"/>
      <c r="FQS126"/>
      <c r="FQT126"/>
      <c r="FQU126"/>
      <c r="FQV126"/>
      <c r="FQW126"/>
      <c r="FQX126"/>
      <c r="FQY126"/>
      <c r="FQZ126"/>
      <c r="FRA126"/>
      <c r="FRB126"/>
      <c r="FRC126"/>
      <c r="FRD126"/>
      <c r="FRE126"/>
      <c r="FRF126"/>
      <c r="FRG126"/>
      <c r="FRH126"/>
      <c r="FRI126"/>
      <c r="FRJ126"/>
      <c r="FRK126"/>
      <c r="FRL126"/>
      <c r="FRM126"/>
      <c r="FRN126"/>
      <c r="FRO126"/>
      <c r="FRP126"/>
      <c r="FRQ126"/>
      <c r="FRR126"/>
      <c r="FRS126"/>
      <c r="FRT126"/>
      <c r="FRU126"/>
      <c r="FRV126"/>
      <c r="FRW126"/>
      <c r="FRX126"/>
      <c r="FRY126"/>
      <c r="FRZ126"/>
      <c r="FSA126"/>
      <c r="FSB126"/>
      <c r="FSC126"/>
      <c r="FSD126"/>
      <c r="FSE126"/>
      <c r="FSF126"/>
      <c r="FSG126"/>
      <c r="FSH126"/>
      <c r="FSI126"/>
      <c r="FSJ126"/>
      <c r="FSK126"/>
      <c r="FSL126"/>
      <c r="FSM126"/>
      <c r="FSN126"/>
      <c r="FSO126"/>
      <c r="FSP126"/>
      <c r="FSQ126"/>
      <c r="FSR126"/>
      <c r="FSS126"/>
      <c r="FST126"/>
      <c r="FSU126"/>
      <c r="FSV126"/>
      <c r="FSW126"/>
      <c r="FSX126"/>
      <c r="FSY126"/>
      <c r="FSZ126"/>
      <c r="FTA126"/>
      <c r="FTB126"/>
      <c r="FTC126"/>
      <c r="FTD126"/>
      <c r="FTE126"/>
      <c r="FTF126"/>
      <c r="FTG126"/>
      <c r="FTH126"/>
      <c r="FTI126"/>
      <c r="FTJ126"/>
      <c r="FTK126"/>
      <c r="FTL126"/>
      <c r="FTM126"/>
      <c r="FTN126"/>
      <c r="FTO126"/>
      <c r="FTP126"/>
      <c r="FTQ126"/>
      <c r="FTR126"/>
      <c r="FTS126"/>
      <c r="FTT126"/>
      <c r="FTU126"/>
      <c r="FTV126"/>
      <c r="FTW126"/>
      <c r="FTX126"/>
      <c r="FTY126"/>
      <c r="FTZ126"/>
      <c r="FUA126"/>
      <c r="FUB126"/>
      <c r="FUC126"/>
      <c r="FUD126"/>
      <c r="FUE126"/>
      <c r="FUF126"/>
      <c r="FUG126"/>
      <c r="FUH126"/>
      <c r="FUI126"/>
      <c r="FUJ126"/>
      <c r="FUK126"/>
      <c r="FUL126"/>
      <c r="FUM126"/>
      <c r="FUN126"/>
      <c r="FUO126"/>
      <c r="FUP126"/>
      <c r="FUQ126"/>
      <c r="FUR126"/>
      <c r="FUS126"/>
      <c r="FUT126"/>
      <c r="FUU126"/>
      <c r="FUV126"/>
      <c r="FUW126"/>
      <c r="FUX126"/>
      <c r="FUY126"/>
      <c r="FUZ126"/>
      <c r="FVA126"/>
      <c r="FVB126"/>
      <c r="FVC126"/>
      <c r="FVD126"/>
      <c r="FVE126"/>
      <c r="FVF126"/>
      <c r="FVG126"/>
      <c r="FVH126"/>
      <c r="FVI126"/>
      <c r="FVJ126"/>
      <c r="FVK126"/>
      <c r="FVL126"/>
      <c r="FVM126"/>
      <c r="FVN126"/>
      <c r="FVO126"/>
      <c r="FVP126"/>
      <c r="FVQ126"/>
      <c r="FVR126"/>
      <c r="FVS126"/>
      <c r="FVT126"/>
      <c r="FVU126"/>
      <c r="FVV126"/>
      <c r="FVW126"/>
      <c r="FVX126"/>
      <c r="FVY126"/>
      <c r="FVZ126"/>
      <c r="FWA126"/>
      <c r="FWB126"/>
      <c r="FWC126"/>
      <c r="FWD126"/>
      <c r="FWE126"/>
      <c r="FWF126"/>
      <c r="FWG126"/>
      <c r="FWH126"/>
      <c r="FWI126"/>
      <c r="FWJ126"/>
      <c r="FWK126"/>
      <c r="FWL126"/>
      <c r="FWM126"/>
      <c r="FWN126"/>
      <c r="FWO126"/>
      <c r="FWP126"/>
      <c r="FWQ126"/>
      <c r="FWR126"/>
      <c r="FWS126"/>
      <c r="FWT126"/>
      <c r="FWU126"/>
      <c r="FWV126"/>
      <c r="FWW126"/>
      <c r="FWX126"/>
      <c r="FWY126"/>
      <c r="FWZ126"/>
      <c r="FXA126"/>
      <c r="FXB126"/>
      <c r="FXC126"/>
      <c r="FXD126"/>
      <c r="FXE126"/>
      <c r="FXF126"/>
      <c r="FXG126"/>
      <c r="FXH126"/>
      <c r="FXI126"/>
      <c r="FXJ126"/>
      <c r="FXK126"/>
      <c r="FXL126"/>
      <c r="FXM126"/>
      <c r="FXN126"/>
      <c r="FXO126"/>
      <c r="FXP126"/>
      <c r="FXQ126"/>
      <c r="FXR126"/>
      <c r="FXS126"/>
      <c r="FXT126"/>
      <c r="FXU126"/>
      <c r="FXV126"/>
      <c r="FXW126"/>
      <c r="FXX126"/>
      <c r="FXY126"/>
      <c r="FXZ126"/>
      <c r="FYA126"/>
      <c r="FYB126"/>
      <c r="FYC126"/>
      <c r="FYD126"/>
      <c r="FYE126"/>
      <c r="FYF126"/>
      <c r="FYG126"/>
      <c r="FYH126"/>
      <c r="FYI126"/>
      <c r="FYJ126"/>
      <c r="FYK126"/>
      <c r="FYL126"/>
      <c r="FYM126"/>
      <c r="FYN126"/>
      <c r="FYO126"/>
      <c r="FYP126"/>
      <c r="FYQ126"/>
      <c r="FYR126"/>
      <c r="FYS126"/>
      <c r="FYT126"/>
      <c r="FYU126"/>
      <c r="FYV126"/>
      <c r="FYW126"/>
      <c r="FYX126"/>
      <c r="FYY126"/>
      <c r="FYZ126"/>
      <c r="FZA126"/>
      <c r="FZB126"/>
      <c r="FZC126"/>
      <c r="FZD126"/>
      <c r="FZE126"/>
      <c r="FZF126"/>
      <c r="FZG126"/>
      <c r="FZH126"/>
      <c r="FZI126"/>
      <c r="FZJ126"/>
      <c r="FZK126"/>
      <c r="FZL126"/>
      <c r="FZM126"/>
      <c r="FZN126"/>
      <c r="FZO126"/>
      <c r="FZP126"/>
      <c r="FZQ126"/>
      <c r="FZR126"/>
      <c r="FZS126"/>
      <c r="FZT126"/>
      <c r="FZU126"/>
      <c r="FZV126"/>
      <c r="FZW126"/>
      <c r="FZX126"/>
      <c r="FZY126"/>
      <c r="FZZ126"/>
      <c r="GAA126"/>
      <c r="GAB126"/>
      <c r="GAC126"/>
      <c r="GAD126"/>
      <c r="GAE126"/>
      <c r="GAF126"/>
      <c r="GAG126"/>
      <c r="GAH126"/>
      <c r="GAI126"/>
      <c r="GAJ126"/>
      <c r="GAK126"/>
      <c r="GAL126"/>
      <c r="GAM126"/>
      <c r="GAN126"/>
      <c r="GAO126"/>
      <c r="GAP126"/>
      <c r="GAQ126"/>
      <c r="GAR126"/>
      <c r="GAS126"/>
      <c r="GAT126"/>
      <c r="GAU126"/>
      <c r="GAV126"/>
      <c r="GAW126"/>
      <c r="GAX126"/>
      <c r="GAY126"/>
      <c r="GAZ126"/>
      <c r="GBA126"/>
      <c r="GBB126"/>
      <c r="GBC126"/>
      <c r="GBD126"/>
      <c r="GBE126"/>
      <c r="GBF126"/>
      <c r="GBG126"/>
      <c r="GBH126"/>
      <c r="GBI126"/>
      <c r="GBJ126"/>
      <c r="GBK126"/>
      <c r="GBL126"/>
      <c r="GBM126"/>
      <c r="GBN126"/>
      <c r="GBO126"/>
      <c r="GBP126"/>
      <c r="GBQ126"/>
      <c r="GBR126"/>
      <c r="GBS126"/>
      <c r="GBT126"/>
      <c r="GBU126"/>
      <c r="GBV126"/>
      <c r="GBW126"/>
      <c r="GBX126"/>
      <c r="GBY126"/>
      <c r="GBZ126"/>
      <c r="GCA126"/>
      <c r="GCB126"/>
      <c r="GCC126"/>
      <c r="GCD126"/>
      <c r="GCE126"/>
      <c r="GCF126"/>
      <c r="GCG126"/>
      <c r="GCH126"/>
      <c r="GCI126"/>
      <c r="GCJ126"/>
      <c r="GCK126"/>
      <c r="GCL126"/>
      <c r="GCM126"/>
      <c r="GCN126"/>
      <c r="GCO126"/>
      <c r="GCP126"/>
      <c r="GCQ126"/>
      <c r="GCR126"/>
      <c r="GCS126"/>
      <c r="GCT126"/>
      <c r="GCU126"/>
      <c r="GCV126"/>
      <c r="GCW126"/>
      <c r="GCX126"/>
      <c r="GCY126"/>
      <c r="GCZ126"/>
      <c r="GDA126"/>
      <c r="GDB126"/>
      <c r="GDC126"/>
      <c r="GDD126"/>
      <c r="GDE126"/>
      <c r="GDF126"/>
      <c r="GDG126"/>
      <c r="GDH126"/>
      <c r="GDI126"/>
      <c r="GDJ126"/>
      <c r="GDK126"/>
      <c r="GDL126"/>
      <c r="GDM126"/>
      <c r="GDN126"/>
      <c r="GDO126"/>
      <c r="GDP126"/>
      <c r="GDQ126"/>
      <c r="GDR126"/>
      <c r="GDS126"/>
      <c r="GDT126"/>
      <c r="GDU126"/>
      <c r="GDV126"/>
      <c r="GDW126"/>
      <c r="GDX126"/>
      <c r="GDY126"/>
      <c r="GDZ126"/>
      <c r="GEA126"/>
      <c r="GEB126"/>
      <c r="GEC126"/>
      <c r="GED126"/>
      <c r="GEE126"/>
      <c r="GEF126"/>
      <c r="GEG126"/>
      <c r="GEH126"/>
      <c r="GEI126"/>
      <c r="GEJ126"/>
      <c r="GEK126"/>
      <c r="GEL126"/>
      <c r="GEM126"/>
      <c r="GEN126"/>
      <c r="GEO126"/>
      <c r="GEP126"/>
      <c r="GEQ126"/>
      <c r="GER126"/>
      <c r="GES126"/>
      <c r="GET126"/>
      <c r="GEU126"/>
      <c r="GEV126"/>
      <c r="GEW126"/>
      <c r="GEX126"/>
      <c r="GEY126"/>
      <c r="GEZ126"/>
      <c r="GFA126"/>
      <c r="GFB126"/>
      <c r="GFC126"/>
      <c r="GFD126"/>
      <c r="GFE126"/>
      <c r="GFF126"/>
      <c r="GFG126"/>
      <c r="GFH126"/>
      <c r="GFI126"/>
      <c r="GFJ126"/>
      <c r="GFK126"/>
      <c r="GFL126"/>
      <c r="GFM126"/>
      <c r="GFN126"/>
      <c r="GFO126"/>
      <c r="GFP126"/>
      <c r="GFQ126"/>
      <c r="GFR126"/>
      <c r="GFS126"/>
      <c r="GFT126"/>
      <c r="GFU126"/>
      <c r="GFV126"/>
      <c r="GFW126"/>
      <c r="GFX126"/>
      <c r="GFY126"/>
      <c r="GFZ126"/>
      <c r="GGA126"/>
      <c r="GGB126"/>
      <c r="GGC126"/>
      <c r="GGD126"/>
      <c r="GGE126"/>
      <c r="GGF126"/>
      <c r="GGG126"/>
      <c r="GGH126"/>
      <c r="GGI126"/>
      <c r="GGJ126"/>
      <c r="GGK126"/>
      <c r="GGL126"/>
      <c r="GGM126"/>
      <c r="GGN126"/>
      <c r="GGO126"/>
      <c r="GGP126"/>
      <c r="GGQ126"/>
      <c r="GGR126"/>
      <c r="GGS126"/>
      <c r="GGT126"/>
      <c r="GGU126"/>
      <c r="GGV126"/>
      <c r="GGW126"/>
      <c r="GGX126"/>
      <c r="GGY126"/>
      <c r="GGZ126"/>
      <c r="GHA126"/>
      <c r="GHB126"/>
      <c r="GHC126"/>
      <c r="GHD126"/>
      <c r="GHE126"/>
      <c r="GHF126"/>
      <c r="GHG126"/>
      <c r="GHH126"/>
      <c r="GHI126"/>
      <c r="GHJ126"/>
      <c r="GHK126"/>
      <c r="GHL126"/>
      <c r="GHM126"/>
      <c r="GHN126"/>
      <c r="GHO126"/>
      <c r="GHP126"/>
      <c r="GHQ126"/>
      <c r="GHR126"/>
      <c r="GHS126"/>
      <c r="GHT126"/>
      <c r="GHU126"/>
      <c r="GHV126"/>
      <c r="GHW126"/>
      <c r="GHX126"/>
      <c r="GHY126"/>
      <c r="GHZ126"/>
      <c r="GIA126"/>
      <c r="GIB126"/>
      <c r="GIC126"/>
      <c r="GID126"/>
      <c r="GIE126"/>
      <c r="GIF126"/>
      <c r="GIG126"/>
      <c r="GIH126"/>
      <c r="GII126"/>
      <c r="GIJ126"/>
      <c r="GIK126"/>
      <c r="GIL126"/>
      <c r="GIM126"/>
      <c r="GIN126"/>
      <c r="GIO126"/>
      <c r="GIP126"/>
      <c r="GIQ126"/>
      <c r="GIR126"/>
      <c r="GIS126"/>
      <c r="GIT126"/>
      <c r="GIU126"/>
      <c r="GIV126"/>
      <c r="GIW126"/>
      <c r="GIX126"/>
      <c r="GIY126"/>
      <c r="GIZ126"/>
      <c r="GJA126"/>
      <c r="GJB126"/>
      <c r="GJC126"/>
      <c r="GJD126"/>
      <c r="GJE126"/>
      <c r="GJF126"/>
      <c r="GJG126"/>
      <c r="GJH126"/>
      <c r="GJI126"/>
      <c r="GJJ126"/>
      <c r="GJK126"/>
      <c r="GJL126"/>
      <c r="GJM126"/>
      <c r="GJN126"/>
      <c r="GJO126"/>
      <c r="GJP126"/>
      <c r="GJQ126"/>
      <c r="GJR126"/>
      <c r="GJS126"/>
      <c r="GJT126"/>
      <c r="GJU126"/>
      <c r="GJV126"/>
      <c r="GJW126"/>
      <c r="GJX126"/>
      <c r="GJY126"/>
      <c r="GJZ126"/>
      <c r="GKA126"/>
      <c r="GKB126"/>
      <c r="GKC126"/>
      <c r="GKD126"/>
      <c r="GKE126"/>
      <c r="GKF126"/>
      <c r="GKG126"/>
      <c r="GKH126"/>
      <c r="GKI126"/>
      <c r="GKJ126"/>
      <c r="GKK126"/>
      <c r="GKL126"/>
      <c r="GKM126"/>
      <c r="GKN126"/>
      <c r="GKO126"/>
      <c r="GKP126"/>
      <c r="GKQ126"/>
      <c r="GKR126"/>
      <c r="GKS126"/>
      <c r="GKT126"/>
      <c r="GKU126"/>
      <c r="GKV126"/>
      <c r="GKW126"/>
      <c r="GKX126"/>
      <c r="GKY126"/>
      <c r="GKZ126"/>
      <c r="GLA126"/>
      <c r="GLB126"/>
      <c r="GLC126"/>
      <c r="GLD126"/>
      <c r="GLE126"/>
      <c r="GLF126"/>
      <c r="GLG126"/>
      <c r="GLH126"/>
      <c r="GLI126"/>
      <c r="GLJ126"/>
      <c r="GLK126"/>
      <c r="GLL126"/>
      <c r="GLM126"/>
      <c r="GLN126"/>
      <c r="GLO126"/>
      <c r="GLP126"/>
      <c r="GLQ126"/>
      <c r="GLR126"/>
      <c r="GLS126"/>
      <c r="GLT126"/>
      <c r="GLU126"/>
      <c r="GLV126"/>
      <c r="GLW126"/>
      <c r="GLX126"/>
      <c r="GLY126"/>
      <c r="GLZ126"/>
      <c r="GMA126"/>
      <c r="GMB126"/>
      <c r="GMC126"/>
      <c r="GMD126"/>
      <c r="GME126"/>
      <c r="GMF126"/>
      <c r="GMG126"/>
      <c r="GMH126"/>
      <c r="GMI126"/>
      <c r="GMJ126"/>
      <c r="GMK126"/>
      <c r="GML126"/>
      <c r="GMM126"/>
      <c r="GMN126"/>
      <c r="GMO126"/>
      <c r="GMP126"/>
      <c r="GMQ126"/>
      <c r="GMR126"/>
      <c r="GMS126"/>
      <c r="GMT126"/>
      <c r="GMU126"/>
      <c r="GMV126"/>
      <c r="GMW126"/>
      <c r="GMX126"/>
      <c r="GMY126"/>
      <c r="GMZ126"/>
      <c r="GNA126"/>
      <c r="GNB126"/>
      <c r="GNC126"/>
      <c r="GND126"/>
      <c r="GNE126"/>
      <c r="GNF126"/>
      <c r="GNG126"/>
      <c r="GNH126"/>
      <c r="GNI126"/>
      <c r="GNJ126"/>
      <c r="GNK126"/>
      <c r="GNL126"/>
      <c r="GNM126"/>
      <c r="GNN126"/>
      <c r="GNO126"/>
      <c r="GNP126"/>
      <c r="GNQ126"/>
      <c r="GNR126"/>
      <c r="GNS126"/>
      <c r="GNT126"/>
      <c r="GNU126"/>
      <c r="GNV126"/>
      <c r="GNW126"/>
      <c r="GNX126"/>
      <c r="GNY126"/>
      <c r="GNZ126"/>
      <c r="GOA126"/>
      <c r="GOB126"/>
      <c r="GOC126"/>
      <c r="GOD126"/>
      <c r="GOE126"/>
      <c r="GOF126"/>
      <c r="GOG126"/>
      <c r="GOH126"/>
      <c r="GOI126"/>
      <c r="GOJ126"/>
      <c r="GOK126"/>
      <c r="GOL126"/>
      <c r="GOM126"/>
      <c r="GON126"/>
      <c r="GOO126"/>
      <c r="GOP126"/>
      <c r="GOQ126"/>
      <c r="GOR126"/>
      <c r="GOS126"/>
      <c r="GOT126"/>
      <c r="GOU126"/>
      <c r="GOV126"/>
      <c r="GOW126"/>
      <c r="GOX126"/>
      <c r="GOY126"/>
      <c r="GOZ126"/>
      <c r="GPA126"/>
      <c r="GPB126"/>
      <c r="GPC126"/>
      <c r="GPD126"/>
      <c r="GPE126"/>
      <c r="GPF126"/>
      <c r="GPG126"/>
      <c r="GPH126"/>
      <c r="GPI126"/>
      <c r="GPJ126"/>
      <c r="GPK126"/>
      <c r="GPL126"/>
      <c r="GPM126"/>
      <c r="GPN126"/>
      <c r="GPO126"/>
      <c r="GPP126"/>
      <c r="GPQ126"/>
      <c r="GPR126"/>
      <c r="GPS126"/>
      <c r="GPT126"/>
      <c r="GPU126"/>
      <c r="GPV126"/>
      <c r="GPW126"/>
      <c r="GPX126"/>
      <c r="GPY126"/>
      <c r="GPZ126"/>
      <c r="GQA126"/>
      <c r="GQB126"/>
      <c r="GQC126"/>
      <c r="GQD126"/>
      <c r="GQE126"/>
      <c r="GQF126"/>
      <c r="GQG126"/>
      <c r="GQH126"/>
      <c r="GQI126"/>
      <c r="GQJ126"/>
      <c r="GQK126"/>
      <c r="GQL126"/>
      <c r="GQM126"/>
      <c r="GQN126"/>
      <c r="GQO126"/>
      <c r="GQP126"/>
      <c r="GQQ126"/>
      <c r="GQR126"/>
      <c r="GQS126"/>
      <c r="GQT126"/>
      <c r="GQU126"/>
      <c r="GQV126"/>
      <c r="GQW126"/>
      <c r="GQX126"/>
      <c r="GQY126"/>
      <c r="GQZ126"/>
      <c r="GRA126"/>
      <c r="GRB126"/>
      <c r="GRC126"/>
      <c r="GRD126"/>
      <c r="GRE126"/>
      <c r="GRF126"/>
      <c r="GRG126"/>
      <c r="GRH126"/>
      <c r="GRI126"/>
      <c r="GRJ126"/>
      <c r="GRK126"/>
      <c r="GRL126"/>
      <c r="GRM126"/>
      <c r="GRN126"/>
      <c r="GRO126"/>
      <c r="GRP126"/>
      <c r="GRQ126"/>
      <c r="GRR126"/>
      <c r="GRS126"/>
      <c r="GRT126"/>
      <c r="GRU126"/>
      <c r="GRV126"/>
      <c r="GRW126"/>
      <c r="GRX126"/>
      <c r="GRY126"/>
      <c r="GRZ126"/>
      <c r="GSA126"/>
      <c r="GSB126"/>
      <c r="GSC126"/>
      <c r="GSD126"/>
      <c r="GSE126"/>
      <c r="GSF126"/>
      <c r="GSG126"/>
      <c r="GSH126"/>
      <c r="GSI126"/>
      <c r="GSJ126"/>
      <c r="GSK126"/>
      <c r="GSL126"/>
      <c r="GSM126"/>
      <c r="GSN126"/>
      <c r="GSO126"/>
      <c r="GSP126"/>
      <c r="GSQ126"/>
      <c r="GSR126"/>
      <c r="GSS126"/>
      <c r="GST126"/>
      <c r="GSU126"/>
      <c r="GSV126"/>
      <c r="GSW126"/>
      <c r="GSX126"/>
      <c r="GSY126"/>
      <c r="GSZ126"/>
      <c r="GTA126"/>
      <c r="GTB126"/>
      <c r="GTC126"/>
      <c r="GTD126"/>
      <c r="GTE126"/>
      <c r="GTF126"/>
      <c r="GTG126"/>
      <c r="GTH126"/>
      <c r="GTI126"/>
      <c r="GTJ126"/>
      <c r="GTK126"/>
      <c r="GTL126"/>
      <c r="GTM126"/>
      <c r="GTN126"/>
      <c r="GTO126"/>
      <c r="GTP126"/>
      <c r="GTQ126"/>
      <c r="GTR126"/>
      <c r="GTS126"/>
      <c r="GTT126"/>
      <c r="GTU126"/>
      <c r="GTV126"/>
      <c r="GTW126"/>
      <c r="GTX126"/>
      <c r="GTY126"/>
      <c r="GTZ126"/>
      <c r="GUA126"/>
      <c r="GUB126"/>
      <c r="GUC126"/>
      <c r="GUD126"/>
      <c r="GUE126"/>
      <c r="GUF126"/>
      <c r="GUG126"/>
      <c r="GUH126"/>
      <c r="GUI126"/>
      <c r="GUJ126"/>
      <c r="GUK126"/>
      <c r="GUL126"/>
      <c r="GUM126"/>
      <c r="GUN126"/>
      <c r="GUO126"/>
      <c r="GUP126"/>
      <c r="GUQ126"/>
      <c r="GUR126"/>
      <c r="GUS126"/>
      <c r="GUT126"/>
      <c r="GUU126"/>
      <c r="GUV126"/>
      <c r="GUW126"/>
      <c r="GUX126"/>
      <c r="GUY126"/>
      <c r="GUZ126"/>
      <c r="GVA126"/>
      <c r="GVB126"/>
      <c r="GVC126"/>
      <c r="GVD126"/>
      <c r="GVE126"/>
      <c r="GVF126"/>
      <c r="GVG126"/>
      <c r="GVH126"/>
      <c r="GVI126"/>
      <c r="GVJ126"/>
      <c r="GVK126"/>
      <c r="GVL126"/>
      <c r="GVM126"/>
      <c r="GVN126"/>
      <c r="GVO126"/>
      <c r="GVP126"/>
      <c r="GVQ126"/>
      <c r="GVR126"/>
      <c r="GVS126"/>
      <c r="GVT126"/>
      <c r="GVU126"/>
      <c r="GVV126"/>
      <c r="GVW126"/>
      <c r="GVX126"/>
      <c r="GVY126"/>
      <c r="GVZ126"/>
      <c r="GWA126"/>
      <c r="GWB126"/>
      <c r="GWC126"/>
      <c r="GWD126"/>
      <c r="GWE126"/>
      <c r="GWF126"/>
      <c r="GWG126"/>
      <c r="GWH126"/>
      <c r="GWI126"/>
      <c r="GWJ126"/>
      <c r="GWK126"/>
      <c r="GWL126"/>
      <c r="GWM126"/>
      <c r="GWN126"/>
      <c r="GWO126"/>
      <c r="GWP126"/>
      <c r="GWQ126"/>
      <c r="GWR126"/>
      <c r="GWS126"/>
      <c r="GWT126"/>
      <c r="GWU126"/>
      <c r="GWV126"/>
      <c r="GWW126"/>
      <c r="GWX126"/>
      <c r="GWY126"/>
      <c r="GWZ126"/>
      <c r="GXA126"/>
      <c r="GXB126"/>
      <c r="GXC126"/>
      <c r="GXD126"/>
      <c r="GXE126"/>
      <c r="GXF126"/>
      <c r="GXG126"/>
      <c r="GXH126"/>
      <c r="GXI126"/>
      <c r="GXJ126"/>
      <c r="GXK126"/>
      <c r="GXL126"/>
      <c r="GXM126"/>
      <c r="GXN126"/>
      <c r="GXO126"/>
      <c r="GXP126"/>
      <c r="GXQ126"/>
      <c r="GXR126"/>
      <c r="GXS126"/>
      <c r="GXT126"/>
      <c r="GXU126"/>
      <c r="GXV126"/>
      <c r="GXW126"/>
      <c r="GXX126"/>
      <c r="GXY126"/>
      <c r="GXZ126"/>
      <c r="GYA126"/>
      <c r="GYB126"/>
      <c r="GYC126"/>
      <c r="GYD126"/>
      <c r="GYE126"/>
      <c r="GYF126"/>
      <c r="GYG126"/>
      <c r="GYH126"/>
      <c r="GYI126"/>
      <c r="GYJ126"/>
      <c r="GYK126"/>
      <c r="GYL126"/>
      <c r="GYM126"/>
      <c r="GYN126"/>
      <c r="GYO126"/>
      <c r="GYP126"/>
      <c r="GYQ126"/>
      <c r="GYR126"/>
      <c r="GYS126"/>
      <c r="GYT126"/>
      <c r="GYU126"/>
      <c r="GYV126"/>
      <c r="GYW126"/>
      <c r="GYX126"/>
      <c r="GYY126"/>
      <c r="GYZ126"/>
      <c r="GZA126"/>
      <c r="GZB126"/>
      <c r="GZC126"/>
      <c r="GZD126"/>
      <c r="GZE126"/>
      <c r="GZF126"/>
      <c r="GZG126"/>
      <c r="GZH126"/>
      <c r="GZI126"/>
      <c r="GZJ126"/>
      <c r="GZK126"/>
      <c r="GZL126"/>
      <c r="GZM126"/>
      <c r="GZN126"/>
      <c r="GZO126"/>
      <c r="GZP126"/>
      <c r="GZQ126"/>
      <c r="GZR126"/>
      <c r="GZS126"/>
      <c r="GZT126"/>
      <c r="GZU126"/>
      <c r="GZV126"/>
      <c r="GZW126"/>
      <c r="GZX126"/>
      <c r="GZY126"/>
      <c r="GZZ126"/>
      <c r="HAA126"/>
      <c r="HAB126"/>
      <c r="HAC126"/>
      <c r="HAD126"/>
      <c r="HAE126"/>
      <c r="HAF126"/>
      <c r="HAG126"/>
      <c r="HAH126"/>
      <c r="HAI126"/>
      <c r="HAJ126"/>
      <c r="HAK126"/>
      <c r="HAL126"/>
      <c r="HAM126"/>
      <c r="HAN126"/>
      <c r="HAO126"/>
      <c r="HAP126"/>
      <c r="HAQ126"/>
      <c r="HAR126"/>
      <c r="HAS126"/>
      <c r="HAT126"/>
      <c r="HAU126"/>
      <c r="HAV126"/>
      <c r="HAW126"/>
      <c r="HAX126"/>
      <c r="HAY126"/>
      <c r="HAZ126"/>
      <c r="HBA126"/>
      <c r="HBB126"/>
      <c r="HBC126"/>
      <c r="HBD126"/>
      <c r="HBE126"/>
      <c r="HBF126"/>
      <c r="HBG126"/>
      <c r="HBH126"/>
      <c r="HBI126"/>
      <c r="HBJ126"/>
      <c r="HBK126"/>
      <c r="HBL126"/>
      <c r="HBM126"/>
      <c r="HBN126"/>
      <c r="HBO126"/>
      <c r="HBP126"/>
      <c r="HBQ126"/>
      <c r="HBR126"/>
      <c r="HBS126"/>
      <c r="HBT126"/>
      <c r="HBU126"/>
      <c r="HBV126"/>
      <c r="HBW126"/>
      <c r="HBX126"/>
      <c r="HBY126"/>
      <c r="HBZ126"/>
      <c r="HCA126"/>
      <c r="HCB126"/>
      <c r="HCC126"/>
      <c r="HCD126"/>
      <c r="HCE126"/>
      <c r="HCF126"/>
      <c r="HCG126"/>
      <c r="HCH126"/>
      <c r="HCI126"/>
      <c r="HCJ126"/>
      <c r="HCK126"/>
      <c r="HCL126"/>
      <c r="HCM126"/>
      <c r="HCN126"/>
      <c r="HCO126"/>
      <c r="HCP126"/>
      <c r="HCQ126"/>
      <c r="HCR126"/>
      <c r="HCS126"/>
      <c r="HCT126"/>
      <c r="HCU126"/>
      <c r="HCV126"/>
      <c r="HCW126"/>
      <c r="HCX126"/>
      <c r="HCY126"/>
      <c r="HCZ126"/>
      <c r="HDA126"/>
      <c r="HDB126"/>
      <c r="HDC126"/>
      <c r="HDD126"/>
      <c r="HDE126"/>
      <c r="HDF126"/>
      <c r="HDG126"/>
      <c r="HDH126"/>
      <c r="HDI126"/>
      <c r="HDJ126"/>
      <c r="HDK126"/>
      <c r="HDL126"/>
      <c r="HDM126"/>
      <c r="HDN126"/>
      <c r="HDO126"/>
      <c r="HDP126"/>
      <c r="HDQ126"/>
      <c r="HDR126"/>
      <c r="HDS126"/>
      <c r="HDT126"/>
      <c r="HDU126"/>
      <c r="HDV126"/>
      <c r="HDW126"/>
      <c r="HDX126"/>
      <c r="HDY126"/>
      <c r="HDZ126"/>
      <c r="HEA126"/>
      <c r="HEB126"/>
      <c r="HEC126"/>
      <c r="HED126"/>
      <c r="HEE126"/>
      <c r="HEF126"/>
      <c r="HEG126"/>
      <c r="HEH126"/>
      <c r="HEI126"/>
      <c r="HEJ126"/>
      <c r="HEK126"/>
      <c r="HEL126"/>
      <c r="HEM126"/>
      <c r="HEN126"/>
      <c r="HEO126"/>
      <c r="HEP126"/>
      <c r="HEQ126"/>
      <c r="HER126"/>
      <c r="HES126"/>
      <c r="HET126"/>
      <c r="HEU126"/>
      <c r="HEV126"/>
      <c r="HEW126"/>
      <c r="HEX126"/>
      <c r="HEY126"/>
      <c r="HEZ126"/>
      <c r="HFA126"/>
      <c r="HFB126"/>
      <c r="HFC126"/>
      <c r="HFD126"/>
      <c r="HFE126"/>
      <c r="HFF126"/>
      <c r="HFG126"/>
      <c r="HFH126"/>
      <c r="HFI126"/>
      <c r="HFJ126"/>
      <c r="HFK126"/>
      <c r="HFL126"/>
      <c r="HFM126"/>
      <c r="HFN126"/>
      <c r="HFO126"/>
      <c r="HFP126"/>
      <c r="HFQ126"/>
      <c r="HFR126"/>
      <c r="HFS126"/>
      <c r="HFT126"/>
      <c r="HFU126"/>
      <c r="HFV126"/>
      <c r="HFW126"/>
      <c r="HFX126"/>
      <c r="HFY126"/>
      <c r="HFZ126"/>
      <c r="HGA126"/>
      <c r="HGB126"/>
      <c r="HGC126"/>
      <c r="HGD126"/>
      <c r="HGE126"/>
      <c r="HGF126"/>
      <c r="HGG126"/>
      <c r="HGH126"/>
      <c r="HGI126"/>
      <c r="HGJ126"/>
      <c r="HGK126"/>
      <c r="HGL126"/>
      <c r="HGM126"/>
      <c r="HGN126"/>
      <c r="HGO126"/>
      <c r="HGP126"/>
      <c r="HGQ126"/>
      <c r="HGR126"/>
      <c r="HGS126"/>
      <c r="HGT126"/>
      <c r="HGU126"/>
      <c r="HGV126"/>
      <c r="HGW126"/>
      <c r="HGX126"/>
      <c r="HGY126"/>
      <c r="HGZ126"/>
      <c r="HHA126"/>
      <c r="HHB126"/>
      <c r="HHC126"/>
      <c r="HHD126"/>
      <c r="HHE126"/>
      <c r="HHF126"/>
      <c r="HHG126"/>
      <c r="HHH126"/>
      <c r="HHI126"/>
      <c r="HHJ126"/>
      <c r="HHK126"/>
      <c r="HHL126"/>
      <c r="HHM126"/>
      <c r="HHN126"/>
      <c r="HHO126"/>
      <c r="HHP126"/>
      <c r="HHQ126"/>
      <c r="HHR126"/>
      <c r="HHS126"/>
      <c r="HHT126"/>
      <c r="HHU126"/>
      <c r="HHV126"/>
      <c r="HHW126"/>
      <c r="HHX126"/>
      <c r="HHY126"/>
      <c r="HHZ126"/>
      <c r="HIA126"/>
      <c r="HIB126"/>
      <c r="HIC126"/>
      <c r="HID126"/>
      <c r="HIE126"/>
      <c r="HIF126"/>
      <c r="HIG126"/>
      <c r="HIH126"/>
      <c r="HII126"/>
      <c r="HIJ126"/>
      <c r="HIK126"/>
      <c r="HIL126"/>
      <c r="HIM126"/>
      <c r="HIN126"/>
      <c r="HIO126"/>
      <c r="HIP126"/>
      <c r="HIQ126"/>
      <c r="HIR126"/>
      <c r="HIS126"/>
      <c r="HIT126"/>
      <c r="HIU126"/>
      <c r="HIV126"/>
      <c r="HIW126"/>
      <c r="HIX126"/>
      <c r="HIY126"/>
      <c r="HIZ126"/>
      <c r="HJA126"/>
      <c r="HJB126"/>
      <c r="HJC126"/>
      <c r="HJD126"/>
      <c r="HJE126"/>
      <c r="HJF126"/>
      <c r="HJG126"/>
      <c r="HJH126"/>
      <c r="HJI126"/>
      <c r="HJJ126"/>
      <c r="HJK126"/>
      <c r="HJL126"/>
      <c r="HJM126"/>
      <c r="HJN126"/>
      <c r="HJO126"/>
      <c r="HJP126"/>
      <c r="HJQ126"/>
      <c r="HJR126"/>
      <c r="HJS126"/>
      <c r="HJT126"/>
      <c r="HJU126"/>
      <c r="HJV126"/>
      <c r="HJW126"/>
      <c r="HJX126"/>
      <c r="HJY126"/>
      <c r="HJZ126"/>
      <c r="HKA126"/>
      <c r="HKB126"/>
      <c r="HKC126"/>
      <c r="HKD126"/>
      <c r="HKE126"/>
      <c r="HKF126"/>
      <c r="HKG126"/>
      <c r="HKH126"/>
      <c r="HKI126"/>
      <c r="HKJ126"/>
      <c r="HKK126"/>
      <c r="HKL126"/>
      <c r="HKM126"/>
      <c r="HKN126"/>
      <c r="HKO126"/>
      <c r="HKP126"/>
      <c r="HKQ126"/>
      <c r="HKR126"/>
      <c r="HKS126"/>
      <c r="HKT126"/>
      <c r="HKU126"/>
      <c r="HKV126"/>
      <c r="HKW126"/>
      <c r="HKX126"/>
      <c r="HKY126"/>
      <c r="HKZ126"/>
      <c r="HLA126"/>
      <c r="HLB126"/>
      <c r="HLC126"/>
      <c r="HLD126"/>
      <c r="HLE126"/>
      <c r="HLF126"/>
      <c r="HLG126"/>
      <c r="HLH126"/>
      <c r="HLI126"/>
      <c r="HLJ126"/>
      <c r="HLK126"/>
      <c r="HLL126"/>
      <c r="HLM126"/>
      <c r="HLN126"/>
      <c r="HLO126"/>
      <c r="HLP126"/>
      <c r="HLQ126"/>
      <c r="HLR126"/>
      <c r="HLS126"/>
      <c r="HLT126"/>
      <c r="HLU126"/>
      <c r="HLV126"/>
      <c r="HLW126"/>
      <c r="HLX126"/>
      <c r="HLY126"/>
      <c r="HLZ126"/>
      <c r="HMA126"/>
      <c r="HMB126"/>
      <c r="HMC126"/>
      <c r="HMD126"/>
      <c r="HME126"/>
      <c r="HMF126"/>
      <c r="HMG126"/>
      <c r="HMH126"/>
      <c r="HMI126"/>
      <c r="HMJ126"/>
      <c r="HMK126"/>
      <c r="HML126"/>
      <c r="HMM126"/>
      <c r="HMN126"/>
      <c r="HMO126"/>
      <c r="HMP126"/>
      <c r="HMQ126"/>
      <c r="HMR126"/>
      <c r="HMS126"/>
      <c r="HMT126"/>
      <c r="HMU126"/>
      <c r="HMV126"/>
      <c r="HMW126"/>
      <c r="HMX126"/>
      <c r="HMY126"/>
      <c r="HMZ126"/>
      <c r="HNA126"/>
      <c r="HNB126"/>
      <c r="HNC126"/>
      <c r="HND126"/>
      <c r="HNE126"/>
      <c r="HNF126"/>
      <c r="HNG126"/>
      <c r="HNH126"/>
      <c r="HNI126"/>
      <c r="HNJ126"/>
      <c r="HNK126"/>
      <c r="HNL126"/>
      <c r="HNM126"/>
      <c r="HNN126"/>
      <c r="HNO126"/>
      <c r="HNP126"/>
      <c r="HNQ126"/>
      <c r="HNR126"/>
      <c r="HNS126"/>
      <c r="HNT126"/>
      <c r="HNU126"/>
      <c r="HNV126"/>
      <c r="HNW126"/>
      <c r="HNX126"/>
      <c r="HNY126"/>
      <c r="HNZ126"/>
      <c r="HOA126"/>
      <c r="HOB126"/>
      <c r="HOC126"/>
      <c r="HOD126"/>
      <c r="HOE126"/>
      <c r="HOF126"/>
      <c r="HOG126"/>
      <c r="HOH126"/>
      <c r="HOI126"/>
      <c r="HOJ126"/>
      <c r="HOK126"/>
      <c r="HOL126"/>
      <c r="HOM126"/>
      <c r="HON126"/>
      <c r="HOO126"/>
      <c r="HOP126"/>
      <c r="HOQ126"/>
      <c r="HOR126"/>
      <c r="HOS126"/>
      <c r="HOT126"/>
      <c r="HOU126"/>
      <c r="HOV126"/>
      <c r="HOW126"/>
      <c r="HOX126"/>
      <c r="HOY126"/>
      <c r="HOZ126"/>
      <c r="HPA126"/>
      <c r="HPB126"/>
      <c r="HPC126"/>
      <c r="HPD126"/>
      <c r="HPE126"/>
      <c r="HPF126"/>
      <c r="HPG126"/>
      <c r="HPH126"/>
      <c r="HPI126"/>
      <c r="HPJ126"/>
      <c r="HPK126"/>
      <c r="HPL126"/>
      <c r="HPM126"/>
      <c r="HPN126"/>
      <c r="HPO126"/>
      <c r="HPP126"/>
      <c r="HPQ126"/>
      <c r="HPR126"/>
      <c r="HPS126"/>
      <c r="HPT126"/>
      <c r="HPU126"/>
      <c r="HPV126"/>
      <c r="HPW126"/>
      <c r="HPX126"/>
      <c r="HPY126"/>
      <c r="HPZ126"/>
      <c r="HQA126"/>
      <c r="HQB126"/>
      <c r="HQC126"/>
      <c r="HQD126"/>
      <c r="HQE126"/>
      <c r="HQF126"/>
      <c r="HQG126"/>
      <c r="HQH126"/>
      <c r="HQI126"/>
      <c r="HQJ126"/>
      <c r="HQK126"/>
      <c r="HQL126"/>
      <c r="HQM126"/>
      <c r="HQN126"/>
      <c r="HQO126"/>
      <c r="HQP126"/>
      <c r="HQQ126"/>
      <c r="HQR126"/>
      <c r="HQS126"/>
      <c r="HQT126"/>
      <c r="HQU126"/>
      <c r="HQV126"/>
      <c r="HQW126"/>
      <c r="HQX126"/>
      <c r="HQY126"/>
      <c r="HQZ126"/>
      <c r="HRA126"/>
      <c r="HRB126"/>
      <c r="HRC126"/>
      <c r="HRD126"/>
      <c r="HRE126"/>
      <c r="HRF126"/>
      <c r="HRG126"/>
      <c r="HRH126"/>
      <c r="HRI126"/>
      <c r="HRJ126"/>
      <c r="HRK126"/>
      <c r="HRL126"/>
      <c r="HRM126"/>
      <c r="HRN126"/>
      <c r="HRO126"/>
      <c r="HRP126"/>
      <c r="HRQ126"/>
      <c r="HRR126"/>
      <c r="HRS126"/>
      <c r="HRT126"/>
      <c r="HRU126"/>
      <c r="HRV126"/>
      <c r="HRW126"/>
      <c r="HRX126"/>
      <c r="HRY126"/>
      <c r="HRZ126"/>
      <c r="HSA126"/>
      <c r="HSB126"/>
      <c r="HSC126"/>
      <c r="HSD126"/>
      <c r="HSE126"/>
      <c r="HSF126"/>
      <c r="HSG126"/>
      <c r="HSH126"/>
      <c r="HSI126"/>
      <c r="HSJ126"/>
      <c r="HSK126"/>
      <c r="HSL126"/>
      <c r="HSM126"/>
      <c r="HSN126"/>
      <c r="HSO126"/>
      <c r="HSP126"/>
      <c r="HSQ126"/>
      <c r="HSR126"/>
      <c r="HSS126"/>
      <c r="HST126"/>
      <c r="HSU126"/>
      <c r="HSV126"/>
      <c r="HSW126"/>
      <c r="HSX126"/>
      <c r="HSY126"/>
      <c r="HSZ126"/>
      <c r="HTA126"/>
      <c r="HTB126"/>
      <c r="HTC126"/>
      <c r="HTD126"/>
      <c r="HTE126"/>
      <c r="HTF126"/>
      <c r="HTG126"/>
      <c r="HTH126"/>
      <c r="HTI126"/>
      <c r="HTJ126"/>
      <c r="HTK126"/>
      <c r="HTL126"/>
      <c r="HTM126"/>
      <c r="HTN126"/>
      <c r="HTO126"/>
      <c r="HTP126"/>
      <c r="HTQ126"/>
      <c r="HTR126"/>
      <c r="HTS126"/>
      <c r="HTT126"/>
      <c r="HTU126"/>
      <c r="HTV126"/>
      <c r="HTW126"/>
      <c r="HTX126"/>
      <c r="HTY126"/>
      <c r="HTZ126"/>
      <c r="HUA126"/>
      <c r="HUB126"/>
      <c r="HUC126"/>
      <c r="HUD126"/>
      <c r="HUE126"/>
      <c r="HUF126"/>
      <c r="HUG126"/>
      <c r="HUH126"/>
      <c r="HUI126"/>
      <c r="HUJ126"/>
      <c r="HUK126"/>
      <c r="HUL126"/>
      <c r="HUM126"/>
      <c r="HUN126"/>
      <c r="HUO126"/>
      <c r="HUP126"/>
      <c r="HUQ126"/>
      <c r="HUR126"/>
      <c r="HUS126"/>
      <c r="HUT126"/>
      <c r="HUU126"/>
      <c r="HUV126"/>
      <c r="HUW126"/>
      <c r="HUX126"/>
      <c r="HUY126"/>
      <c r="HUZ126"/>
      <c r="HVA126"/>
      <c r="HVB126"/>
      <c r="HVC126"/>
      <c r="HVD126"/>
      <c r="HVE126"/>
      <c r="HVF126"/>
      <c r="HVG126"/>
      <c r="HVH126"/>
      <c r="HVI126"/>
      <c r="HVJ126"/>
      <c r="HVK126"/>
      <c r="HVL126"/>
      <c r="HVM126"/>
      <c r="HVN126"/>
      <c r="HVO126"/>
      <c r="HVP126"/>
      <c r="HVQ126"/>
      <c r="HVR126"/>
      <c r="HVS126"/>
      <c r="HVT126"/>
      <c r="HVU126"/>
      <c r="HVV126"/>
      <c r="HVW126"/>
      <c r="HVX126"/>
      <c r="HVY126"/>
      <c r="HVZ126"/>
      <c r="HWA126"/>
      <c r="HWB126"/>
      <c r="HWC126"/>
      <c r="HWD126"/>
      <c r="HWE126"/>
      <c r="HWF126"/>
      <c r="HWG126"/>
      <c r="HWH126"/>
      <c r="HWI126"/>
      <c r="HWJ126"/>
      <c r="HWK126"/>
      <c r="HWL126"/>
      <c r="HWM126"/>
      <c r="HWN126"/>
      <c r="HWO126"/>
      <c r="HWP126"/>
      <c r="HWQ126"/>
      <c r="HWR126"/>
      <c r="HWS126"/>
      <c r="HWT126"/>
      <c r="HWU126"/>
      <c r="HWV126"/>
      <c r="HWW126"/>
      <c r="HWX126"/>
      <c r="HWY126"/>
      <c r="HWZ126"/>
      <c r="HXA126"/>
      <c r="HXB126"/>
      <c r="HXC126"/>
      <c r="HXD126"/>
      <c r="HXE126"/>
      <c r="HXF126"/>
      <c r="HXG126"/>
      <c r="HXH126"/>
      <c r="HXI126"/>
      <c r="HXJ126"/>
      <c r="HXK126"/>
      <c r="HXL126"/>
      <c r="HXM126"/>
      <c r="HXN126"/>
      <c r="HXO126"/>
      <c r="HXP126"/>
      <c r="HXQ126"/>
      <c r="HXR126"/>
      <c r="HXS126"/>
      <c r="HXT126"/>
      <c r="HXU126"/>
      <c r="HXV126"/>
      <c r="HXW126"/>
      <c r="HXX126"/>
      <c r="HXY126"/>
      <c r="HXZ126"/>
      <c r="HYA126"/>
      <c r="HYB126"/>
      <c r="HYC126"/>
      <c r="HYD126"/>
      <c r="HYE126"/>
      <c r="HYF126"/>
      <c r="HYG126"/>
      <c r="HYH126"/>
      <c r="HYI126"/>
      <c r="HYJ126"/>
      <c r="HYK126"/>
      <c r="HYL126"/>
      <c r="HYM126"/>
      <c r="HYN126"/>
      <c r="HYO126"/>
      <c r="HYP126"/>
      <c r="HYQ126"/>
      <c r="HYR126"/>
      <c r="HYS126"/>
      <c r="HYT126"/>
      <c r="HYU126"/>
      <c r="HYV126"/>
      <c r="HYW126"/>
      <c r="HYX126"/>
      <c r="HYY126"/>
      <c r="HYZ126"/>
      <c r="HZA126"/>
      <c r="HZB126"/>
      <c r="HZC126"/>
      <c r="HZD126"/>
      <c r="HZE126"/>
      <c r="HZF126"/>
      <c r="HZG126"/>
      <c r="HZH126"/>
      <c r="HZI126"/>
      <c r="HZJ126"/>
      <c r="HZK126"/>
      <c r="HZL126"/>
      <c r="HZM126"/>
      <c r="HZN126"/>
      <c r="HZO126"/>
      <c r="HZP126"/>
      <c r="HZQ126"/>
      <c r="HZR126"/>
      <c r="HZS126"/>
      <c r="HZT126"/>
      <c r="HZU126"/>
      <c r="HZV126"/>
      <c r="HZW126"/>
      <c r="HZX126"/>
      <c r="HZY126"/>
      <c r="HZZ126"/>
      <c r="IAA126"/>
      <c r="IAB126"/>
      <c r="IAC126"/>
      <c r="IAD126"/>
      <c r="IAE126"/>
      <c r="IAF126"/>
      <c r="IAG126"/>
      <c r="IAH126"/>
      <c r="IAI126"/>
      <c r="IAJ126"/>
      <c r="IAK126"/>
      <c r="IAL126"/>
      <c r="IAM126"/>
      <c r="IAN126"/>
      <c r="IAO126"/>
      <c r="IAP126"/>
      <c r="IAQ126"/>
      <c r="IAR126"/>
      <c r="IAS126"/>
      <c r="IAT126"/>
      <c r="IAU126"/>
      <c r="IAV126"/>
      <c r="IAW126"/>
      <c r="IAX126"/>
      <c r="IAY126"/>
      <c r="IAZ126"/>
      <c r="IBA126"/>
      <c r="IBB126"/>
      <c r="IBC126"/>
      <c r="IBD126"/>
      <c r="IBE126"/>
      <c r="IBF126"/>
      <c r="IBG126"/>
      <c r="IBH126"/>
      <c r="IBI126"/>
      <c r="IBJ126"/>
      <c r="IBK126"/>
      <c r="IBL126"/>
      <c r="IBM126"/>
      <c r="IBN126"/>
      <c r="IBO126"/>
      <c r="IBP126"/>
      <c r="IBQ126"/>
      <c r="IBR126"/>
      <c r="IBS126"/>
      <c r="IBT126"/>
      <c r="IBU126"/>
      <c r="IBV126"/>
      <c r="IBW126"/>
      <c r="IBX126"/>
      <c r="IBY126"/>
      <c r="IBZ126"/>
      <c r="ICA126"/>
      <c r="ICB126"/>
      <c r="ICC126"/>
      <c r="ICD126"/>
      <c r="ICE126"/>
      <c r="ICF126"/>
      <c r="ICG126"/>
      <c r="ICH126"/>
      <c r="ICI126"/>
      <c r="ICJ126"/>
      <c r="ICK126"/>
      <c r="ICL126"/>
      <c r="ICM126"/>
      <c r="ICN126"/>
      <c r="ICO126"/>
      <c r="ICP126"/>
      <c r="ICQ126"/>
      <c r="ICR126"/>
      <c r="ICS126"/>
      <c r="ICT126"/>
      <c r="ICU126"/>
      <c r="ICV126"/>
      <c r="ICW126"/>
      <c r="ICX126"/>
      <c r="ICY126"/>
      <c r="ICZ126"/>
      <c r="IDA126"/>
      <c r="IDB126"/>
      <c r="IDC126"/>
      <c r="IDD126"/>
      <c r="IDE126"/>
      <c r="IDF126"/>
      <c r="IDG126"/>
      <c r="IDH126"/>
      <c r="IDI126"/>
      <c r="IDJ126"/>
      <c r="IDK126"/>
      <c r="IDL126"/>
      <c r="IDM126"/>
      <c r="IDN126"/>
      <c r="IDO126"/>
      <c r="IDP126"/>
      <c r="IDQ126"/>
      <c r="IDR126"/>
      <c r="IDS126"/>
      <c r="IDT126"/>
      <c r="IDU126"/>
      <c r="IDV126"/>
      <c r="IDW126"/>
      <c r="IDX126"/>
      <c r="IDY126"/>
      <c r="IDZ126"/>
      <c r="IEA126"/>
      <c r="IEB126"/>
      <c r="IEC126"/>
      <c r="IED126"/>
      <c r="IEE126"/>
      <c r="IEF126"/>
      <c r="IEG126"/>
      <c r="IEH126"/>
      <c r="IEI126"/>
      <c r="IEJ126"/>
      <c r="IEK126"/>
      <c r="IEL126"/>
      <c r="IEM126"/>
      <c r="IEN126"/>
      <c r="IEO126"/>
      <c r="IEP126"/>
      <c r="IEQ126"/>
      <c r="IER126"/>
      <c r="IES126"/>
      <c r="IET126"/>
      <c r="IEU126"/>
      <c r="IEV126"/>
      <c r="IEW126"/>
      <c r="IEX126"/>
      <c r="IEY126"/>
      <c r="IEZ126"/>
      <c r="IFA126"/>
      <c r="IFB126"/>
      <c r="IFC126"/>
      <c r="IFD126"/>
      <c r="IFE126"/>
      <c r="IFF126"/>
      <c r="IFG126"/>
      <c r="IFH126"/>
      <c r="IFI126"/>
      <c r="IFJ126"/>
      <c r="IFK126"/>
      <c r="IFL126"/>
      <c r="IFM126"/>
      <c r="IFN126"/>
      <c r="IFO126"/>
      <c r="IFP126"/>
      <c r="IFQ126"/>
      <c r="IFR126"/>
      <c r="IFS126"/>
      <c r="IFT126"/>
      <c r="IFU126"/>
      <c r="IFV126"/>
      <c r="IFW126"/>
      <c r="IFX126"/>
      <c r="IFY126"/>
      <c r="IFZ126"/>
      <c r="IGA126"/>
      <c r="IGB126"/>
      <c r="IGC126"/>
      <c r="IGD126"/>
      <c r="IGE126"/>
      <c r="IGF126"/>
      <c r="IGG126"/>
      <c r="IGH126"/>
      <c r="IGI126"/>
      <c r="IGJ126"/>
      <c r="IGK126"/>
      <c r="IGL126"/>
      <c r="IGM126"/>
      <c r="IGN126"/>
      <c r="IGO126"/>
      <c r="IGP126"/>
      <c r="IGQ126"/>
      <c r="IGR126"/>
      <c r="IGS126"/>
      <c r="IGT126"/>
      <c r="IGU126"/>
      <c r="IGV126"/>
      <c r="IGW126"/>
      <c r="IGX126"/>
      <c r="IGY126"/>
      <c r="IGZ126"/>
      <c r="IHA126"/>
      <c r="IHB126"/>
      <c r="IHC126"/>
      <c r="IHD126"/>
      <c r="IHE126"/>
      <c r="IHF126"/>
      <c r="IHG126"/>
      <c r="IHH126"/>
      <c r="IHI126"/>
      <c r="IHJ126"/>
      <c r="IHK126"/>
      <c r="IHL126"/>
      <c r="IHM126"/>
      <c r="IHN126"/>
      <c r="IHO126"/>
      <c r="IHP126"/>
      <c r="IHQ126"/>
      <c r="IHR126"/>
      <c r="IHS126"/>
      <c r="IHT126"/>
      <c r="IHU126"/>
      <c r="IHV126"/>
      <c r="IHW126"/>
      <c r="IHX126"/>
      <c r="IHY126"/>
      <c r="IHZ126"/>
      <c r="IIA126"/>
      <c r="IIB126"/>
      <c r="IIC126"/>
      <c r="IID126"/>
      <c r="IIE126"/>
      <c r="IIF126"/>
      <c r="IIG126"/>
      <c r="IIH126"/>
      <c r="III126"/>
      <c r="IIJ126"/>
      <c r="IIK126"/>
      <c r="IIL126"/>
      <c r="IIM126"/>
      <c r="IIN126"/>
      <c r="IIO126"/>
      <c r="IIP126"/>
      <c r="IIQ126"/>
      <c r="IIR126"/>
      <c r="IIS126"/>
      <c r="IIT126"/>
      <c r="IIU126"/>
      <c r="IIV126"/>
      <c r="IIW126"/>
      <c r="IIX126"/>
      <c r="IIY126"/>
      <c r="IIZ126"/>
      <c r="IJA126"/>
      <c r="IJB126"/>
      <c r="IJC126"/>
      <c r="IJD126"/>
      <c r="IJE126"/>
      <c r="IJF126"/>
      <c r="IJG126"/>
      <c r="IJH126"/>
      <c r="IJI126"/>
      <c r="IJJ126"/>
      <c r="IJK126"/>
      <c r="IJL126"/>
      <c r="IJM126"/>
      <c r="IJN126"/>
      <c r="IJO126"/>
      <c r="IJP126"/>
      <c r="IJQ126"/>
      <c r="IJR126"/>
      <c r="IJS126"/>
      <c r="IJT126"/>
      <c r="IJU126"/>
      <c r="IJV126"/>
      <c r="IJW126"/>
      <c r="IJX126"/>
      <c r="IJY126"/>
      <c r="IJZ126"/>
      <c r="IKA126"/>
      <c r="IKB126"/>
      <c r="IKC126"/>
      <c r="IKD126"/>
      <c r="IKE126"/>
      <c r="IKF126"/>
      <c r="IKG126"/>
      <c r="IKH126"/>
      <c r="IKI126"/>
      <c r="IKJ126"/>
      <c r="IKK126"/>
      <c r="IKL126"/>
      <c r="IKM126"/>
      <c r="IKN126"/>
      <c r="IKO126"/>
      <c r="IKP126"/>
      <c r="IKQ126"/>
      <c r="IKR126"/>
      <c r="IKS126"/>
      <c r="IKT126"/>
      <c r="IKU126"/>
      <c r="IKV126"/>
      <c r="IKW126"/>
      <c r="IKX126"/>
      <c r="IKY126"/>
      <c r="IKZ126"/>
      <c r="ILA126"/>
      <c r="ILB126"/>
      <c r="ILC126"/>
      <c r="ILD126"/>
      <c r="ILE126"/>
      <c r="ILF126"/>
      <c r="ILG126"/>
      <c r="ILH126"/>
      <c r="ILI126"/>
      <c r="ILJ126"/>
      <c r="ILK126"/>
      <c r="ILL126"/>
      <c r="ILM126"/>
      <c r="ILN126"/>
      <c r="ILO126"/>
      <c r="ILP126"/>
      <c r="ILQ126"/>
      <c r="ILR126"/>
      <c r="ILS126"/>
      <c r="ILT126"/>
      <c r="ILU126"/>
      <c r="ILV126"/>
      <c r="ILW126"/>
      <c r="ILX126"/>
      <c r="ILY126"/>
      <c r="ILZ126"/>
      <c r="IMA126"/>
      <c r="IMB126"/>
      <c r="IMC126"/>
      <c r="IMD126"/>
      <c r="IME126"/>
      <c r="IMF126"/>
      <c r="IMG126"/>
      <c r="IMH126"/>
      <c r="IMI126"/>
      <c r="IMJ126"/>
      <c r="IMK126"/>
      <c r="IML126"/>
      <c r="IMM126"/>
      <c r="IMN126"/>
      <c r="IMO126"/>
      <c r="IMP126"/>
      <c r="IMQ126"/>
      <c r="IMR126"/>
      <c r="IMS126"/>
      <c r="IMT126"/>
      <c r="IMU126"/>
      <c r="IMV126"/>
      <c r="IMW126"/>
      <c r="IMX126"/>
      <c r="IMY126"/>
      <c r="IMZ126"/>
      <c r="INA126"/>
      <c r="INB126"/>
      <c r="INC126"/>
      <c r="IND126"/>
      <c r="INE126"/>
      <c r="INF126"/>
      <c r="ING126"/>
      <c r="INH126"/>
      <c r="INI126"/>
      <c r="INJ126"/>
      <c r="INK126"/>
      <c r="INL126"/>
      <c r="INM126"/>
      <c r="INN126"/>
      <c r="INO126"/>
      <c r="INP126"/>
      <c r="INQ126"/>
      <c r="INR126"/>
      <c r="INS126"/>
      <c r="INT126"/>
      <c r="INU126"/>
      <c r="INV126"/>
      <c r="INW126"/>
      <c r="INX126"/>
      <c r="INY126"/>
      <c r="INZ126"/>
      <c r="IOA126"/>
      <c r="IOB126"/>
      <c r="IOC126"/>
      <c r="IOD126"/>
      <c r="IOE126"/>
      <c r="IOF126"/>
      <c r="IOG126"/>
      <c r="IOH126"/>
      <c r="IOI126"/>
      <c r="IOJ126"/>
      <c r="IOK126"/>
      <c r="IOL126"/>
      <c r="IOM126"/>
      <c r="ION126"/>
      <c r="IOO126"/>
      <c r="IOP126"/>
      <c r="IOQ126"/>
      <c r="IOR126"/>
      <c r="IOS126"/>
      <c r="IOT126"/>
      <c r="IOU126"/>
      <c r="IOV126"/>
      <c r="IOW126"/>
      <c r="IOX126"/>
      <c r="IOY126"/>
      <c r="IOZ126"/>
      <c r="IPA126"/>
      <c r="IPB126"/>
      <c r="IPC126"/>
      <c r="IPD126"/>
      <c r="IPE126"/>
      <c r="IPF126"/>
      <c r="IPG126"/>
      <c r="IPH126"/>
      <c r="IPI126"/>
      <c r="IPJ126"/>
      <c r="IPK126"/>
      <c r="IPL126"/>
      <c r="IPM126"/>
      <c r="IPN126"/>
      <c r="IPO126"/>
      <c r="IPP126"/>
      <c r="IPQ126"/>
      <c r="IPR126"/>
      <c r="IPS126"/>
      <c r="IPT126"/>
      <c r="IPU126"/>
      <c r="IPV126"/>
      <c r="IPW126"/>
      <c r="IPX126"/>
      <c r="IPY126"/>
      <c r="IPZ126"/>
      <c r="IQA126"/>
      <c r="IQB126"/>
      <c r="IQC126"/>
      <c r="IQD126"/>
      <c r="IQE126"/>
      <c r="IQF126"/>
      <c r="IQG126"/>
      <c r="IQH126"/>
      <c r="IQI126"/>
      <c r="IQJ126"/>
      <c r="IQK126"/>
      <c r="IQL126"/>
      <c r="IQM126"/>
      <c r="IQN126"/>
      <c r="IQO126"/>
      <c r="IQP126"/>
      <c r="IQQ126"/>
      <c r="IQR126"/>
      <c r="IQS126"/>
      <c r="IQT126"/>
      <c r="IQU126"/>
      <c r="IQV126"/>
      <c r="IQW126"/>
      <c r="IQX126"/>
      <c r="IQY126"/>
      <c r="IQZ126"/>
      <c r="IRA126"/>
      <c r="IRB126"/>
      <c r="IRC126"/>
      <c r="IRD126"/>
      <c r="IRE126"/>
      <c r="IRF126"/>
      <c r="IRG126"/>
      <c r="IRH126"/>
      <c r="IRI126"/>
      <c r="IRJ126"/>
      <c r="IRK126"/>
      <c r="IRL126"/>
      <c r="IRM126"/>
      <c r="IRN126"/>
      <c r="IRO126"/>
      <c r="IRP126"/>
      <c r="IRQ126"/>
      <c r="IRR126"/>
      <c r="IRS126"/>
      <c r="IRT126"/>
      <c r="IRU126"/>
      <c r="IRV126"/>
      <c r="IRW126"/>
      <c r="IRX126"/>
      <c r="IRY126"/>
      <c r="IRZ126"/>
      <c r="ISA126"/>
      <c r="ISB126"/>
      <c r="ISC126"/>
      <c r="ISD126"/>
      <c r="ISE126"/>
      <c r="ISF126"/>
      <c r="ISG126"/>
      <c r="ISH126"/>
      <c r="ISI126"/>
      <c r="ISJ126"/>
      <c r="ISK126"/>
      <c r="ISL126"/>
      <c r="ISM126"/>
      <c r="ISN126"/>
      <c r="ISO126"/>
      <c r="ISP126"/>
      <c r="ISQ126"/>
      <c r="ISR126"/>
      <c r="ISS126"/>
      <c r="IST126"/>
      <c r="ISU126"/>
      <c r="ISV126"/>
      <c r="ISW126"/>
      <c r="ISX126"/>
      <c r="ISY126"/>
      <c r="ISZ126"/>
      <c r="ITA126"/>
      <c r="ITB126"/>
      <c r="ITC126"/>
      <c r="ITD126"/>
      <c r="ITE126"/>
      <c r="ITF126"/>
      <c r="ITG126"/>
      <c r="ITH126"/>
      <c r="ITI126"/>
      <c r="ITJ126"/>
      <c r="ITK126"/>
      <c r="ITL126"/>
      <c r="ITM126"/>
      <c r="ITN126"/>
      <c r="ITO126"/>
      <c r="ITP126"/>
      <c r="ITQ126"/>
      <c r="ITR126"/>
      <c r="ITS126"/>
      <c r="ITT126"/>
      <c r="ITU126"/>
      <c r="ITV126"/>
      <c r="ITW126"/>
      <c r="ITX126"/>
      <c r="ITY126"/>
      <c r="ITZ126"/>
      <c r="IUA126"/>
      <c r="IUB126"/>
      <c r="IUC126"/>
      <c r="IUD126"/>
      <c r="IUE126"/>
      <c r="IUF126"/>
      <c r="IUG126"/>
      <c r="IUH126"/>
      <c r="IUI126"/>
      <c r="IUJ126"/>
      <c r="IUK126"/>
      <c r="IUL126"/>
      <c r="IUM126"/>
      <c r="IUN126"/>
      <c r="IUO126"/>
      <c r="IUP126"/>
      <c r="IUQ126"/>
      <c r="IUR126"/>
      <c r="IUS126"/>
      <c r="IUT126"/>
      <c r="IUU126"/>
      <c r="IUV126"/>
      <c r="IUW126"/>
      <c r="IUX126"/>
      <c r="IUY126"/>
      <c r="IUZ126"/>
      <c r="IVA126"/>
      <c r="IVB126"/>
      <c r="IVC126"/>
      <c r="IVD126"/>
      <c r="IVE126"/>
      <c r="IVF126"/>
      <c r="IVG126"/>
      <c r="IVH126"/>
      <c r="IVI126"/>
      <c r="IVJ126"/>
      <c r="IVK126"/>
      <c r="IVL126"/>
      <c r="IVM126"/>
      <c r="IVN126"/>
      <c r="IVO126"/>
      <c r="IVP126"/>
      <c r="IVQ126"/>
      <c r="IVR126"/>
      <c r="IVS126"/>
      <c r="IVT126"/>
      <c r="IVU126"/>
      <c r="IVV126"/>
      <c r="IVW126"/>
      <c r="IVX126"/>
      <c r="IVY126"/>
      <c r="IVZ126"/>
      <c r="IWA126"/>
      <c r="IWB126"/>
      <c r="IWC126"/>
      <c r="IWD126"/>
      <c r="IWE126"/>
      <c r="IWF126"/>
      <c r="IWG126"/>
      <c r="IWH126"/>
      <c r="IWI126"/>
      <c r="IWJ126"/>
      <c r="IWK126"/>
      <c r="IWL126"/>
      <c r="IWM126"/>
      <c r="IWN126"/>
      <c r="IWO126"/>
      <c r="IWP126"/>
      <c r="IWQ126"/>
      <c r="IWR126"/>
      <c r="IWS126"/>
      <c r="IWT126"/>
      <c r="IWU126"/>
      <c r="IWV126"/>
      <c r="IWW126"/>
      <c r="IWX126"/>
      <c r="IWY126"/>
      <c r="IWZ126"/>
      <c r="IXA126"/>
      <c r="IXB126"/>
      <c r="IXC126"/>
      <c r="IXD126"/>
      <c r="IXE126"/>
      <c r="IXF126"/>
      <c r="IXG126"/>
      <c r="IXH126"/>
      <c r="IXI126"/>
      <c r="IXJ126"/>
      <c r="IXK126"/>
      <c r="IXL126"/>
      <c r="IXM126"/>
      <c r="IXN126"/>
      <c r="IXO126"/>
      <c r="IXP126"/>
      <c r="IXQ126"/>
      <c r="IXR126"/>
      <c r="IXS126"/>
      <c r="IXT126"/>
      <c r="IXU126"/>
      <c r="IXV126"/>
      <c r="IXW126"/>
      <c r="IXX126"/>
      <c r="IXY126"/>
      <c r="IXZ126"/>
      <c r="IYA126"/>
      <c r="IYB126"/>
      <c r="IYC126"/>
      <c r="IYD126"/>
      <c r="IYE126"/>
      <c r="IYF126"/>
      <c r="IYG126"/>
      <c r="IYH126"/>
      <c r="IYI126"/>
      <c r="IYJ126"/>
      <c r="IYK126"/>
      <c r="IYL126"/>
      <c r="IYM126"/>
      <c r="IYN126"/>
      <c r="IYO126"/>
      <c r="IYP126"/>
      <c r="IYQ126"/>
      <c r="IYR126"/>
      <c r="IYS126"/>
      <c r="IYT126"/>
      <c r="IYU126"/>
      <c r="IYV126"/>
      <c r="IYW126"/>
      <c r="IYX126"/>
      <c r="IYY126"/>
      <c r="IYZ126"/>
      <c r="IZA126"/>
      <c r="IZB126"/>
      <c r="IZC126"/>
      <c r="IZD126"/>
      <c r="IZE126"/>
      <c r="IZF126"/>
      <c r="IZG126"/>
      <c r="IZH126"/>
      <c r="IZI126"/>
      <c r="IZJ126"/>
      <c r="IZK126"/>
      <c r="IZL126"/>
      <c r="IZM126"/>
      <c r="IZN126"/>
      <c r="IZO126"/>
      <c r="IZP126"/>
      <c r="IZQ126"/>
      <c r="IZR126"/>
      <c r="IZS126"/>
      <c r="IZT126"/>
      <c r="IZU126"/>
      <c r="IZV126"/>
      <c r="IZW126"/>
      <c r="IZX126"/>
      <c r="IZY126"/>
      <c r="IZZ126"/>
      <c r="JAA126"/>
      <c r="JAB126"/>
      <c r="JAC126"/>
      <c r="JAD126"/>
      <c r="JAE126"/>
      <c r="JAF126"/>
      <c r="JAG126"/>
      <c r="JAH126"/>
      <c r="JAI126"/>
      <c r="JAJ126"/>
      <c r="JAK126"/>
      <c r="JAL126"/>
      <c r="JAM126"/>
      <c r="JAN126"/>
      <c r="JAO126"/>
      <c r="JAP126"/>
      <c r="JAQ126"/>
      <c r="JAR126"/>
      <c r="JAS126"/>
      <c r="JAT126"/>
      <c r="JAU126"/>
      <c r="JAV126"/>
      <c r="JAW126"/>
      <c r="JAX126"/>
      <c r="JAY126"/>
      <c r="JAZ126"/>
      <c r="JBA126"/>
      <c r="JBB126"/>
      <c r="JBC126"/>
      <c r="JBD126"/>
      <c r="JBE126"/>
      <c r="JBF126"/>
      <c r="JBG126"/>
      <c r="JBH126"/>
      <c r="JBI126"/>
      <c r="JBJ126"/>
      <c r="JBK126"/>
      <c r="JBL126"/>
      <c r="JBM126"/>
      <c r="JBN126"/>
      <c r="JBO126"/>
      <c r="JBP126"/>
      <c r="JBQ126"/>
      <c r="JBR126"/>
      <c r="JBS126"/>
      <c r="JBT126"/>
      <c r="JBU126"/>
      <c r="JBV126"/>
      <c r="JBW126"/>
      <c r="JBX126"/>
      <c r="JBY126"/>
      <c r="JBZ126"/>
      <c r="JCA126"/>
      <c r="JCB126"/>
      <c r="JCC126"/>
      <c r="JCD126"/>
      <c r="JCE126"/>
      <c r="JCF126"/>
      <c r="JCG126"/>
      <c r="JCH126"/>
      <c r="JCI126"/>
      <c r="JCJ126"/>
      <c r="JCK126"/>
      <c r="JCL126"/>
      <c r="JCM126"/>
      <c r="JCN126"/>
      <c r="JCO126"/>
      <c r="JCP126"/>
      <c r="JCQ126"/>
      <c r="JCR126"/>
      <c r="JCS126"/>
      <c r="JCT126"/>
      <c r="JCU126"/>
      <c r="JCV126"/>
      <c r="JCW126"/>
      <c r="JCX126"/>
      <c r="JCY126"/>
      <c r="JCZ126"/>
      <c r="JDA126"/>
      <c r="JDB126"/>
      <c r="JDC126"/>
      <c r="JDD126"/>
      <c r="JDE126"/>
      <c r="JDF126"/>
      <c r="JDG126"/>
      <c r="JDH126"/>
      <c r="JDI126"/>
      <c r="JDJ126"/>
      <c r="JDK126"/>
      <c r="JDL126"/>
      <c r="JDM126"/>
      <c r="JDN126"/>
      <c r="JDO126"/>
      <c r="JDP126"/>
      <c r="JDQ126"/>
      <c r="JDR126"/>
      <c r="JDS126"/>
      <c r="JDT126"/>
      <c r="JDU126"/>
      <c r="JDV126"/>
      <c r="JDW126"/>
      <c r="JDX126"/>
      <c r="JDY126"/>
      <c r="JDZ126"/>
      <c r="JEA126"/>
      <c r="JEB126"/>
      <c r="JEC126"/>
      <c r="JED126"/>
      <c r="JEE126"/>
      <c r="JEF126"/>
      <c r="JEG126"/>
      <c r="JEH126"/>
      <c r="JEI126"/>
      <c r="JEJ126"/>
      <c r="JEK126"/>
      <c r="JEL126"/>
      <c r="JEM126"/>
      <c r="JEN126"/>
      <c r="JEO126"/>
      <c r="JEP126"/>
      <c r="JEQ126"/>
      <c r="JER126"/>
      <c r="JES126"/>
      <c r="JET126"/>
      <c r="JEU126"/>
      <c r="JEV126"/>
      <c r="JEW126"/>
      <c r="JEX126"/>
      <c r="JEY126"/>
      <c r="JEZ126"/>
      <c r="JFA126"/>
      <c r="JFB126"/>
      <c r="JFC126"/>
      <c r="JFD126"/>
      <c r="JFE126"/>
      <c r="JFF126"/>
      <c r="JFG126"/>
      <c r="JFH126"/>
      <c r="JFI126"/>
      <c r="JFJ126"/>
      <c r="JFK126"/>
      <c r="JFL126"/>
      <c r="JFM126"/>
      <c r="JFN126"/>
      <c r="JFO126"/>
      <c r="JFP126"/>
      <c r="JFQ126"/>
      <c r="JFR126"/>
      <c r="JFS126"/>
      <c r="JFT126"/>
      <c r="JFU126"/>
      <c r="JFV126"/>
      <c r="JFW126"/>
      <c r="JFX126"/>
      <c r="JFY126"/>
      <c r="JFZ126"/>
      <c r="JGA126"/>
      <c r="JGB126"/>
      <c r="JGC126"/>
      <c r="JGD126"/>
      <c r="JGE126"/>
      <c r="JGF126"/>
      <c r="JGG126"/>
      <c r="JGH126"/>
      <c r="JGI126"/>
      <c r="JGJ126"/>
      <c r="JGK126"/>
      <c r="JGL126"/>
      <c r="JGM126"/>
      <c r="JGN126"/>
      <c r="JGO126"/>
      <c r="JGP126"/>
      <c r="JGQ126"/>
      <c r="JGR126"/>
      <c r="JGS126"/>
      <c r="JGT126"/>
      <c r="JGU126"/>
      <c r="JGV126"/>
      <c r="JGW126"/>
      <c r="JGX126"/>
      <c r="JGY126"/>
      <c r="JGZ126"/>
      <c r="JHA126"/>
      <c r="JHB126"/>
      <c r="JHC126"/>
      <c r="JHD126"/>
      <c r="JHE126"/>
      <c r="JHF126"/>
      <c r="JHG126"/>
      <c r="JHH126"/>
      <c r="JHI126"/>
      <c r="JHJ126"/>
      <c r="JHK126"/>
      <c r="JHL126"/>
      <c r="JHM126"/>
      <c r="JHN126"/>
      <c r="JHO126"/>
      <c r="JHP126"/>
      <c r="JHQ126"/>
      <c r="JHR126"/>
      <c r="JHS126"/>
      <c r="JHT126"/>
      <c r="JHU126"/>
      <c r="JHV126"/>
      <c r="JHW126"/>
      <c r="JHX126"/>
      <c r="JHY126"/>
      <c r="JHZ126"/>
      <c r="JIA126"/>
      <c r="JIB126"/>
      <c r="JIC126"/>
      <c r="JID126"/>
      <c r="JIE126"/>
      <c r="JIF126"/>
      <c r="JIG126"/>
      <c r="JIH126"/>
      <c r="JII126"/>
      <c r="JIJ126"/>
      <c r="JIK126"/>
      <c r="JIL126"/>
      <c r="JIM126"/>
      <c r="JIN126"/>
      <c r="JIO126"/>
      <c r="JIP126"/>
      <c r="JIQ126"/>
      <c r="JIR126"/>
      <c r="JIS126"/>
      <c r="JIT126"/>
      <c r="JIU126"/>
      <c r="JIV126"/>
      <c r="JIW126"/>
      <c r="JIX126"/>
      <c r="JIY126"/>
      <c r="JIZ126"/>
      <c r="JJA126"/>
      <c r="JJB126"/>
      <c r="JJC126"/>
      <c r="JJD126"/>
      <c r="JJE126"/>
      <c r="JJF126"/>
      <c r="JJG126"/>
      <c r="JJH126"/>
      <c r="JJI126"/>
      <c r="JJJ126"/>
      <c r="JJK126"/>
      <c r="JJL126"/>
      <c r="JJM126"/>
      <c r="JJN126"/>
      <c r="JJO126"/>
      <c r="JJP126"/>
      <c r="JJQ126"/>
      <c r="JJR126"/>
      <c r="JJS126"/>
      <c r="JJT126"/>
      <c r="JJU126"/>
      <c r="JJV126"/>
      <c r="JJW126"/>
      <c r="JJX126"/>
      <c r="JJY126"/>
      <c r="JJZ126"/>
      <c r="JKA126"/>
      <c r="JKB126"/>
      <c r="JKC126"/>
      <c r="JKD126"/>
      <c r="JKE126"/>
      <c r="JKF126"/>
      <c r="JKG126"/>
      <c r="JKH126"/>
      <c r="JKI126"/>
      <c r="JKJ126"/>
      <c r="JKK126"/>
      <c r="JKL126"/>
      <c r="JKM126"/>
      <c r="JKN126"/>
      <c r="JKO126"/>
      <c r="JKP126"/>
      <c r="JKQ126"/>
      <c r="JKR126"/>
      <c r="JKS126"/>
      <c r="JKT126"/>
      <c r="JKU126"/>
      <c r="JKV126"/>
      <c r="JKW126"/>
      <c r="JKX126"/>
      <c r="JKY126"/>
      <c r="JKZ126"/>
      <c r="JLA126"/>
      <c r="JLB126"/>
      <c r="JLC126"/>
      <c r="JLD126"/>
      <c r="JLE126"/>
      <c r="JLF126"/>
      <c r="JLG126"/>
      <c r="JLH126"/>
      <c r="JLI126"/>
      <c r="JLJ126"/>
      <c r="JLK126"/>
      <c r="JLL126"/>
      <c r="JLM126"/>
      <c r="JLN126"/>
      <c r="JLO126"/>
      <c r="JLP126"/>
      <c r="JLQ126"/>
      <c r="JLR126"/>
      <c r="JLS126"/>
      <c r="JLT126"/>
      <c r="JLU126"/>
      <c r="JLV126"/>
      <c r="JLW126"/>
      <c r="JLX126"/>
      <c r="JLY126"/>
      <c r="JLZ126"/>
      <c r="JMA126"/>
      <c r="JMB126"/>
      <c r="JMC126"/>
      <c r="JMD126"/>
      <c r="JME126"/>
      <c r="JMF126"/>
      <c r="JMG126"/>
      <c r="JMH126"/>
      <c r="JMI126"/>
      <c r="JMJ126"/>
      <c r="JMK126"/>
      <c r="JML126"/>
      <c r="JMM126"/>
      <c r="JMN126"/>
      <c r="JMO126"/>
      <c r="JMP126"/>
      <c r="JMQ126"/>
      <c r="JMR126"/>
      <c r="JMS126"/>
      <c r="JMT126"/>
      <c r="JMU126"/>
      <c r="JMV126"/>
      <c r="JMW126"/>
      <c r="JMX126"/>
      <c r="JMY126"/>
      <c r="JMZ126"/>
      <c r="JNA126"/>
      <c r="JNB126"/>
      <c r="JNC126"/>
      <c r="JND126"/>
      <c r="JNE126"/>
      <c r="JNF126"/>
      <c r="JNG126"/>
      <c r="JNH126"/>
      <c r="JNI126"/>
      <c r="JNJ126"/>
      <c r="JNK126"/>
      <c r="JNL126"/>
      <c r="JNM126"/>
      <c r="JNN126"/>
      <c r="JNO126"/>
      <c r="JNP126"/>
      <c r="JNQ126"/>
      <c r="JNR126"/>
      <c r="JNS126"/>
      <c r="JNT126"/>
      <c r="JNU126"/>
      <c r="JNV126"/>
      <c r="JNW126"/>
      <c r="JNX126"/>
      <c r="JNY126"/>
      <c r="JNZ126"/>
      <c r="JOA126"/>
      <c r="JOB126"/>
      <c r="JOC126"/>
      <c r="JOD126"/>
      <c r="JOE126"/>
      <c r="JOF126"/>
      <c r="JOG126"/>
      <c r="JOH126"/>
      <c r="JOI126"/>
      <c r="JOJ126"/>
      <c r="JOK126"/>
      <c r="JOL126"/>
      <c r="JOM126"/>
      <c r="JON126"/>
      <c r="JOO126"/>
      <c r="JOP126"/>
      <c r="JOQ126"/>
      <c r="JOR126"/>
      <c r="JOS126"/>
      <c r="JOT126"/>
      <c r="JOU126"/>
      <c r="JOV126"/>
      <c r="JOW126"/>
      <c r="JOX126"/>
      <c r="JOY126"/>
      <c r="JOZ126"/>
      <c r="JPA126"/>
      <c r="JPB126"/>
      <c r="JPC126"/>
      <c r="JPD126"/>
      <c r="JPE126"/>
      <c r="JPF126"/>
      <c r="JPG126"/>
      <c r="JPH126"/>
      <c r="JPI126"/>
      <c r="JPJ126"/>
      <c r="JPK126"/>
      <c r="JPL126"/>
      <c r="JPM126"/>
      <c r="JPN126"/>
      <c r="JPO126"/>
      <c r="JPP126"/>
      <c r="JPQ126"/>
      <c r="JPR126"/>
      <c r="JPS126"/>
      <c r="JPT126"/>
      <c r="JPU126"/>
      <c r="JPV126"/>
      <c r="JPW126"/>
      <c r="JPX126"/>
      <c r="JPY126"/>
      <c r="JPZ126"/>
      <c r="JQA126"/>
      <c r="JQB126"/>
      <c r="JQC126"/>
      <c r="JQD126"/>
      <c r="JQE126"/>
      <c r="JQF126"/>
      <c r="JQG126"/>
      <c r="JQH126"/>
      <c r="JQI126"/>
      <c r="JQJ126"/>
      <c r="JQK126"/>
      <c r="JQL126"/>
      <c r="JQM126"/>
      <c r="JQN126"/>
      <c r="JQO126"/>
      <c r="JQP126"/>
      <c r="JQQ126"/>
      <c r="JQR126"/>
      <c r="JQS126"/>
      <c r="JQT126"/>
      <c r="JQU126"/>
      <c r="JQV126"/>
      <c r="JQW126"/>
      <c r="JQX126"/>
      <c r="JQY126"/>
      <c r="JQZ126"/>
      <c r="JRA126"/>
      <c r="JRB126"/>
      <c r="JRC126"/>
      <c r="JRD126"/>
      <c r="JRE126"/>
      <c r="JRF126"/>
      <c r="JRG126"/>
      <c r="JRH126"/>
      <c r="JRI126"/>
      <c r="JRJ126"/>
      <c r="JRK126"/>
      <c r="JRL126"/>
      <c r="JRM126"/>
      <c r="JRN126"/>
      <c r="JRO126"/>
      <c r="JRP126"/>
      <c r="JRQ126"/>
      <c r="JRR126"/>
      <c r="JRS126"/>
      <c r="JRT126"/>
      <c r="JRU126"/>
      <c r="JRV126"/>
      <c r="JRW126"/>
      <c r="JRX126"/>
      <c r="JRY126"/>
      <c r="JRZ126"/>
      <c r="JSA126"/>
      <c r="JSB126"/>
      <c r="JSC126"/>
      <c r="JSD126"/>
      <c r="JSE126"/>
      <c r="JSF126"/>
      <c r="JSG126"/>
      <c r="JSH126"/>
      <c r="JSI126"/>
      <c r="JSJ126"/>
      <c r="JSK126"/>
      <c r="JSL126"/>
      <c r="JSM126"/>
      <c r="JSN126"/>
      <c r="JSO126"/>
      <c r="JSP126"/>
      <c r="JSQ126"/>
      <c r="JSR126"/>
      <c r="JSS126"/>
      <c r="JST126"/>
      <c r="JSU126"/>
      <c r="JSV126"/>
      <c r="JSW126"/>
      <c r="JSX126"/>
      <c r="JSY126"/>
      <c r="JSZ126"/>
      <c r="JTA126"/>
      <c r="JTB126"/>
      <c r="JTC126"/>
      <c r="JTD126"/>
      <c r="JTE126"/>
      <c r="JTF126"/>
      <c r="JTG126"/>
      <c r="JTH126"/>
      <c r="JTI126"/>
      <c r="JTJ126"/>
      <c r="JTK126"/>
      <c r="JTL126"/>
      <c r="JTM126"/>
      <c r="JTN126"/>
      <c r="JTO126"/>
      <c r="JTP126"/>
      <c r="JTQ126"/>
      <c r="JTR126"/>
      <c r="JTS126"/>
      <c r="JTT126"/>
      <c r="JTU126"/>
      <c r="JTV126"/>
      <c r="JTW126"/>
      <c r="JTX126"/>
      <c r="JTY126"/>
      <c r="JTZ126"/>
      <c r="JUA126"/>
      <c r="JUB126"/>
      <c r="JUC126"/>
      <c r="JUD126"/>
      <c r="JUE126"/>
      <c r="JUF126"/>
      <c r="JUG126"/>
      <c r="JUH126"/>
      <c r="JUI126"/>
      <c r="JUJ126"/>
      <c r="JUK126"/>
      <c r="JUL126"/>
      <c r="JUM126"/>
      <c r="JUN126"/>
      <c r="JUO126"/>
      <c r="JUP126"/>
      <c r="JUQ126"/>
      <c r="JUR126"/>
      <c r="JUS126"/>
      <c r="JUT126"/>
      <c r="JUU126"/>
      <c r="JUV126"/>
      <c r="JUW126"/>
      <c r="JUX126"/>
      <c r="JUY126"/>
      <c r="JUZ126"/>
      <c r="JVA126"/>
      <c r="JVB126"/>
      <c r="JVC126"/>
      <c r="JVD126"/>
      <c r="JVE126"/>
      <c r="JVF126"/>
      <c r="JVG126"/>
      <c r="JVH126"/>
      <c r="JVI126"/>
      <c r="JVJ126"/>
      <c r="JVK126"/>
      <c r="JVL126"/>
      <c r="JVM126"/>
      <c r="JVN126"/>
      <c r="JVO126"/>
      <c r="JVP126"/>
      <c r="JVQ126"/>
      <c r="JVR126"/>
      <c r="JVS126"/>
      <c r="JVT126"/>
      <c r="JVU126"/>
      <c r="JVV126"/>
      <c r="JVW126"/>
      <c r="JVX126"/>
      <c r="JVY126"/>
      <c r="JVZ126"/>
      <c r="JWA126"/>
      <c r="JWB126"/>
      <c r="JWC126"/>
      <c r="JWD126"/>
      <c r="JWE126"/>
      <c r="JWF126"/>
      <c r="JWG126"/>
      <c r="JWH126"/>
      <c r="JWI126"/>
      <c r="JWJ126"/>
      <c r="JWK126"/>
      <c r="JWL126"/>
      <c r="JWM126"/>
      <c r="JWN126"/>
      <c r="JWO126"/>
      <c r="JWP126"/>
      <c r="JWQ126"/>
      <c r="JWR126"/>
      <c r="JWS126"/>
      <c r="JWT126"/>
      <c r="JWU126"/>
      <c r="JWV126"/>
      <c r="JWW126"/>
      <c r="JWX126"/>
      <c r="JWY126"/>
      <c r="JWZ126"/>
      <c r="JXA126"/>
      <c r="JXB126"/>
      <c r="JXC126"/>
      <c r="JXD126"/>
      <c r="JXE126"/>
      <c r="JXF126"/>
      <c r="JXG126"/>
      <c r="JXH126"/>
      <c r="JXI126"/>
      <c r="JXJ126"/>
      <c r="JXK126"/>
      <c r="JXL126"/>
      <c r="JXM126"/>
      <c r="JXN126"/>
      <c r="JXO126"/>
      <c r="JXP126"/>
      <c r="JXQ126"/>
      <c r="JXR126"/>
      <c r="JXS126"/>
      <c r="JXT126"/>
      <c r="JXU126"/>
      <c r="JXV126"/>
      <c r="JXW126"/>
      <c r="JXX126"/>
      <c r="JXY126"/>
      <c r="JXZ126"/>
      <c r="JYA126"/>
      <c r="JYB126"/>
      <c r="JYC126"/>
      <c r="JYD126"/>
      <c r="JYE126"/>
      <c r="JYF126"/>
      <c r="JYG126"/>
      <c r="JYH126"/>
      <c r="JYI126"/>
      <c r="JYJ126"/>
      <c r="JYK126"/>
      <c r="JYL126"/>
      <c r="JYM126"/>
      <c r="JYN126"/>
      <c r="JYO126"/>
      <c r="JYP126"/>
      <c r="JYQ126"/>
      <c r="JYR126"/>
      <c r="JYS126"/>
      <c r="JYT126"/>
      <c r="JYU126"/>
      <c r="JYV126"/>
      <c r="JYW126"/>
      <c r="JYX126"/>
      <c r="JYY126"/>
      <c r="JYZ126"/>
      <c r="JZA126"/>
      <c r="JZB126"/>
      <c r="JZC126"/>
      <c r="JZD126"/>
      <c r="JZE126"/>
      <c r="JZF126"/>
      <c r="JZG126"/>
      <c r="JZH126"/>
      <c r="JZI126"/>
      <c r="JZJ126"/>
      <c r="JZK126"/>
      <c r="JZL126"/>
      <c r="JZM126"/>
      <c r="JZN126"/>
      <c r="JZO126"/>
      <c r="JZP126"/>
      <c r="JZQ126"/>
      <c r="JZR126"/>
      <c r="JZS126"/>
      <c r="JZT126"/>
      <c r="JZU126"/>
      <c r="JZV126"/>
      <c r="JZW126"/>
      <c r="JZX126"/>
      <c r="JZY126"/>
      <c r="JZZ126"/>
      <c r="KAA126"/>
      <c r="KAB126"/>
      <c r="KAC126"/>
      <c r="KAD126"/>
      <c r="KAE126"/>
      <c r="KAF126"/>
      <c r="KAG126"/>
      <c r="KAH126"/>
      <c r="KAI126"/>
      <c r="KAJ126"/>
      <c r="KAK126"/>
      <c r="KAL126"/>
      <c r="KAM126"/>
      <c r="KAN126"/>
      <c r="KAO126"/>
      <c r="KAP126"/>
      <c r="KAQ126"/>
      <c r="KAR126"/>
      <c r="KAS126"/>
      <c r="KAT126"/>
      <c r="KAU126"/>
      <c r="KAV126"/>
      <c r="KAW126"/>
      <c r="KAX126"/>
      <c r="KAY126"/>
      <c r="KAZ126"/>
      <c r="KBA126"/>
      <c r="KBB126"/>
      <c r="KBC126"/>
      <c r="KBD126"/>
      <c r="KBE126"/>
      <c r="KBF126"/>
      <c r="KBG126"/>
      <c r="KBH126"/>
      <c r="KBI126"/>
      <c r="KBJ126"/>
      <c r="KBK126"/>
      <c r="KBL126"/>
      <c r="KBM126"/>
      <c r="KBN126"/>
      <c r="KBO126"/>
      <c r="KBP126"/>
      <c r="KBQ126"/>
      <c r="KBR126"/>
      <c r="KBS126"/>
      <c r="KBT126"/>
      <c r="KBU126"/>
      <c r="KBV126"/>
      <c r="KBW126"/>
      <c r="KBX126"/>
      <c r="KBY126"/>
      <c r="KBZ126"/>
      <c r="KCA126"/>
      <c r="KCB126"/>
      <c r="KCC126"/>
      <c r="KCD126"/>
      <c r="KCE126"/>
      <c r="KCF126"/>
      <c r="KCG126"/>
      <c r="KCH126"/>
      <c r="KCI126"/>
      <c r="KCJ126"/>
      <c r="KCK126"/>
      <c r="KCL126"/>
      <c r="KCM126"/>
      <c r="KCN126"/>
      <c r="KCO126"/>
      <c r="KCP126"/>
      <c r="KCQ126"/>
      <c r="KCR126"/>
      <c r="KCS126"/>
      <c r="KCT126"/>
      <c r="KCU126"/>
      <c r="KCV126"/>
      <c r="KCW126"/>
      <c r="KCX126"/>
      <c r="KCY126"/>
      <c r="KCZ126"/>
      <c r="KDA126"/>
      <c r="KDB126"/>
      <c r="KDC126"/>
      <c r="KDD126"/>
      <c r="KDE126"/>
      <c r="KDF126"/>
      <c r="KDG126"/>
      <c r="KDH126"/>
      <c r="KDI126"/>
      <c r="KDJ126"/>
      <c r="KDK126"/>
      <c r="KDL126"/>
      <c r="KDM126"/>
      <c r="KDN126"/>
      <c r="KDO126"/>
      <c r="KDP126"/>
      <c r="KDQ126"/>
      <c r="KDR126"/>
      <c r="KDS126"/>
      <c r="KDT126"/>
      <c r="KDU126"/>
      <c r="KDV126"/>
      <c r="KDW126"/>
      <c r="KDX126"/>
      <c r="KDY126"/>
      <c r="KDZ126"/>
      <c r="KEA126"/>
      <c r="KEB126"/>
      <c r="KEC126"/>
      <c r="KED126"/>
      <c r="KEE126"/>
      <c r="KEF126"/>
      <c r="KEG126"/>
      <c r="KEH126"/>
      <c r="KEI126"/>
      <c r="KEJ126"/>
      <c r="KEK126"/>
      <c r="KEL126"/>
      <c r="KEM126"/>
      <c r="KEN126"/>
      <c r="KEO126"/>
      <c r="KEP126"/>
      <c r="KEQ126"/>
      <c r="KER126"/>
      <c r="KES126"/>
      <c r="KET126"/>
      <c r="KEU126"/>
      <c r="KEV126"/>
      <c r="KEW126"/>
      <c r="KEX126"/>
      <c r="KEY126"/>
      <c r="KEZ126"/>
      <c r="KFA126"/>
      <c r="KFB126"/>
      <c r="KFC126"/>
      <c r="KFD126"/>
      <c r="KFE126"/>
      <c r="KFF126"/>
      <c r="KFG126"/>
      <c r="KFH126"/>
      <c r="KFI126"/>
      <c r="KFJ126"/>
      <c r="KFK126"/>
      <c r="KFL126"/>
      <c r="KFM126"/>
      <c r="KFN126"/>
      <c r="KFO126"/>
      <c r="KFP126"/>
      <c r="KFQ126"/>
      <c r="KFR126"/>
      <c r="KFS126"/>
      <c r="KFT126"/>
      <c r="KFU126"/>
      <c r="KFV126"/>
      <c r="KFW126"/>
      <c r="KFX126"/>
      <c r="KFY126"/>
      <c r="KFZ126"/>
      <c r="KGA126"/>
      <c r="KGB126"/>
      <c r="KGC126"/>
      <c r="KGD126"/>
      <c r="KGE126"/>
      <c r="KGF126"/>
      <c r="KGG126"/>
      <c r="KGH126"/>
      <c r="KGI126"/>
      <c r="KGJ126"/>
      <c r="KGK126"/>
      <c r="KGL126"/>
      <c r="KGM126"/>
      <c r="KGN126"/>
      <c r="KGO126"/>
      <c r="KGP126"/>
      <c r="KGQ126"/>
      <c r="KGR126"/>
      <c r="KGS126"/>
      <c r="KGT126"/>
      <c r="KGU126"/>
      <c r="KGV126"/>
      <c r="KGW126"/>
      <c r="KGX126"/>
      <c r="KGY126"/>
      <c r="KGZ126"/>
      <c r="KHA126"/>
      <c r="KHB126"/>
      <c r="KHC126"/>
      <c r="KHD126"/>
      <c r="KHE126"/>
      <c r="KHF126"/>
      <c r="KHG126"/>
      <c r="KHH126"/>
      <c r="KHI126"/>
      <c r="KHJ126"/>
      <c r="KHK126"/>
      <c r="KHL126"/>
      <c r="KHM126"/>
      <c r="KHN126"/>
      <c r="KHO126"/>
      <c r="KHP126"/>
      <c r="KHQ126"/>
      <c r="KHR126"/>
      <c r="KHS126"/>
      <c r="KHT126"/>
      <c r="KHU126"/>
      <c r="KHV126"/>
      <c r="KHW126"/>
      <c r="KHX126"/>
      <c r="KHY126"/>
      <c r="KHZ126"/>
      <c r="KIA126"/>
      <c r="KIB126"/>
      <c r="KIC126"/>
      <c r="KID126"/>
      <c r="KIE126"/>
      <c r="KIF126"/>
      <c r="KIG126"/>
      <c r="KIH126"/>
      <c r="KII126"/>
      <c r="KIJ126"/>
      <c r="KIK126"/>
      <c r="KIL126"/>
      <c r="KIM126"/>
      <c r="KIN126"/>
      <c r="KIO126"/>
      <c r="KIP126"/>
      <c r="KIQ126"/>
      <c r="KIR126"/>
      <c r="KIS126"/>
      <c r="KIT126"/>
      <c r="KIU126"/>
      <c r="KIV126"/>
      <c r="KIW126"/>
      <c r="KIX126"/>
      <c r="KIY126"/>
      <c r="KIZ126"/>
      <c r="KJA126"/>
      <c r="KJB126"/>
      <c r="KJC126"/>
      <c r="KJD126"/>
      <c r="KJE126"/>
      <c r="KJF126"/>
      <c r="KJG126"/>
      <c r="KJH126"/>
      <c r="KJI126"/>
      <c r="KJJ126"/>
      <c r="KJK126"/>
      <c r="KJL126"/>
      <c r="KJM126"/>
      <c r="KJN126"/>
      <c r="KJO126"/>
      <c r="KJP126"/>
      <c r="KJQ126"/>
      <c r="KJR126"/>
      <c r="KJS126"/>
      <c r="KJT126"/>
      <c r="KJU126"/>
      <c r="KJV126"/>
      <c r="KJW126"/>
      <c r="KJX126"/>
      <c r="KJY126"/>
      <c r="KJZ126"/>
      <c r="KKA126"/>
      <c r="KKB126"/>
      <c r="KKC126"/>
      <c r="KKD126"/>
      <c r="KKE126"/>
      <c r="KKF126"/>
      <c r="KKG126"/>
      <c r="KKH126"/>
      <c r="KKI126"/>
      <c r="KKJ126"/>
      <c r="KKK126"/>
      <c r="KKL126"/>
      <c r="KKM126"/>
      <c r="KKN126"/>
      <c r="KKO126"/>
      <c r="KKP126"/>
      <c r="KKQ126"/>
      <c r="KKR126"/>
      <c r="KKS126"/>
      <c r="KKT126"/>
      <c r="KKU126"/>
      <c r="KKV126"/>
      <c r="KKW126"/>
      <c r="KKX126"/>
      <c r="KKY126"/>
      <c r="KKZ126"/>
      <c r="KLA126"/>
      <c r="KLB126"/>
      <c r="KLC126"/>
      <c r="KLD126"/>
      <c r="KLE126"/>
      <c r="KLF126"/>
      <c r="KLG126"/>
      <c r="KLH126"/>
      <c r="KLI126"/>
      <c r="KLJ126"/>
      <c r="KLK126"/>
      <c r="KLL126"/>
      <c r="KLM126"/>
      <c r="KLN126"/>
      <c r="KLO126"/>
      <c r="KLP126"/>
      <c r="KLQ126"/>
      <c r="KLR126"/>
      <c r="KLS126"/>
      <c r="KLT126"/>
      <c r="KLU126"/>
      <c r="KLV126"/>
      <c r="KLW126"/>
      <c r="KLX126"/>
      <c r="KLY126"/>
      <c r="KLZ126"/>
      <c r="KMA126"/>
      <c r="KMB126"/>
      <c r="KMC126"/>
      <c r="KMD126"/>
      <c r="KME126"/>
      <c r="KMF126"/>
      <c r="KMG126"/>
      <c r="KMH126"/>
      <c r="KMI126"/>
      <c r="KMJ126"/>
      <c r="KMK126"/>
      <c r="KML126"/>
      <c r="KMM126"/>
      <c r="KMN126"/>
      <c r="KMO126"/>
      <c r="KMP126"/>
      <c r="KMQ126"/>
      <c r="KMR126"/>
      <c r="KMS126"/>
      <c r="KMT126"/>
      <c r="KMU126"/>
      <c r="KMV126"/>
      <c r="KMW126"/>
      <c r="KMX126"/>
      <c r="KMY126"/>
      <c r="KMZ126"/>
      <c r="KNA126"/>
      <c r="KNB126"/>
      <c r="KNC126"/>
      <c r="KND126"/>
      <c r="KNE126"/>
      <c r="KNF126"/>
      <c r="KNG126"/>
      <c r="KNH126"/>
      <c r="KNI126"/>
      <c r="KNJ126"/>
      <c r="KNK126"/>
      <c r="KNL126"/>
      <c r="KNM126"/>
      <c r="KNN126"/>
      <c r="KNO126"/>
      <c r="KNP126"/>
      <c r="KNQ126"/>
      <c r="KNR126"/>
      <c r="KNS126"/>
      <c r="KNT126"/>
      <c r="KNU126"/>
      <c r="KNV126"/>
      <c r="KNW126"/>
      <c r="KNX126"/>
      <c r="KNY126"/>
      <c r="KNZ126"/>
      <c r="KOA126"/>
      <c r="KOB126"/>
      <c r="KOC126"/>
      <c r="KOD126"/>
      <c r="KOE126"/>
      <c r="KOF126"/>
      <c r="KOG126"/>
      <c r="KOH126"/>
      <c r="KOI126"/>
      <c r="KOJ126"/>
      <c r="KOK126"/>
      <c r="KOL126"/>
      <c r="KOM126"/>
      <c r="KON126"/>
      <c r="KOO126"/>
      <c r="KOP126"/>
      <c r="KOQ126"/>
      <c r="KOR126"/>
      <c r="KOS126"/>
      <c r="KOT126"/>
      <c r="KOU126"/>
      <c r="KOV126"/>
      <c r="KOW126"/>
      <c r="KOX126"/>
      <c r="KOY126"/>
      <c r="KOZ126"/>
      <c r="KPA126"/>
      <c r="KPB126"/>
      <c r="KPC126"/>
      <c r="KPD126"/>
      <c r="KPE126"/>
      <c r="KPF126"/>
      <c r="KPG126"/>
      <c r="KPH126"/>
      <c r="KPI126"/>
      <c r="KPJ126"/>
      <c r="KPK126"/>
      <c r="KPL126"/>
      <c r="KPM126"/>
      <c r="KPN126"/>
      <c r="KPO126"/>
      <c r="KPP126"/>
      <c r="KPQ126"/>
      <c r="KPR126"/>
      <c r="KPS126"/>
      <c r="KPT126"/>
      <c r="KPU126"/>
      <c r="KPV126"/>
      <c r="KPW126"/>
      <c r="KPX126"/>
      <c r="KPY126"/>
      <c r="KPZ126"/>
      <c r="KQA126"/>
      <c r="KQB126"/>
      <c r="KQC126"/>
      <c r="KQD126"/>
      <c r="KQE126"/>
      <c r="KQF126"/>
      <c r="KQG126"/>
      <c r="KQH126"/>
      <c r="KQI126"/>
      <c r="KQJ126"/>
      <c r="KQK126"/>
      <c r="KQL126"/>
      <c r="KQM126"/>
      <c r="KQN126"/>
      <c r="KQO126"/>
      <c r="KQP126"/>
      <c r="KQQ126"/>
      <c r="KQR126"/>
      <c r="KQS126"/>
      <c r="KQT126"/>
      <c r="KQU126"/>
      <c r="KQV126"/>
      <c r="KQW126"/>
      <c r="KQX126"/>
      <c r="KQY126"/>
      <c r="KQZ126"/>
      <c r="KRA126"/>
      <c r="KRB126"/>
      <c r="KRC126"/>
      <c r="KRD126"/>
      <c r="KRE126"/>
      <c r="KRF126"/>
      <c r="KRG126"/>
      <c r="KRH126"/>
      <c r="KRI126"/>
      <c r="KRJ126"/>
      <c r="KRK126"/>
      <c r="KRL126"/>
      <c r="KRM126"/>
      <c r="KRN126"/>
      <c r="KRO126"/>
      <c r="KRP126"/>
      <c r="KRQ126"/>
      <c r="KRR126"/>
      <c r="KRS126"/>
      <c r="KRT126"/>
      <c r="KRU126"/>
      <c r="KRV126"/>
      <c r="KRW126"/>
      <c r="KRX126"/>
      <c r="KRY126"/>
      <c r="KRZ126"/>
      <c r="KSA126"/>
      <c r="KSB126"/>
      <c r="KSC126"/>
      <c r="KSD126"/>
      <c r="KSE126"/>
      <c r="KSF126"/>
      <c r="KSG126"/>
      <c r="KSH126"/>
      <c r="KSI126"/>
      <c r="KSJ126"/>
      <c r="KSK126"/>
      <c r="KSL126"/>
      <c r="KSM126"/>
      <c r="KSN126"/>
      <c r="KSO126"/>
      <c r="KSP126"/>
      <c r="KSQ126"/>
      <c r="KSR126"/>
      <c r="KSS126"/>
      <c r="KST126"/>
      <c r="KSU126"/>
      <c r="KSV126"/>
      <c r="KSW126"/>
      <c r="KSX126"/>
      <c r="KSY126"/>
      <c r="KSZ126"/>
      <c r="KTA126"/>
      <c r="KTB126"/>
      <c r="KTC126"/>
      <c r="KTD126"/>
      <c r="KTE126"/>
      <c r="KTF126"/>
      <c r="KTG126"/>
      <c r="KTH126"/>
      <c r="KTI126"/>
      <c r="KTJ126"/>
      <c r="KTK126"/>
      <c r="KTL126"/>
      <c r="KTM126"/>
      <c r="KTN126"/>
      <c r="KTO126"/>
      <c r="KTP126"/>
      <c r="KTQ126"/>
      <c r="KTR126"/>
      <c r="KTS126"/>
      <c r="KTT126"/>
      <c r="KTU126"/>
      <c r="KTV126"/>
      <c r="KTW126"/>
      <c r="KTX126"/>
      <c r="KTY126"/>
      <c r="KTZ126"/>
      <c r="KUA126"/>
      <c r="KUB126"/>
      <c r="KUC126"/>
      <c r="KUD126"/>
      <c r="KUE126"/>
      <c r="KUF126"/>
      <c r="KUG126"/>
      <c r="KUH126"/>
      <c r="KUI126"/>
      <c r="KUJ126"/>
      <c r="KUK126"/>
      <c r="KUL126"/>
      <c r="KUM126"/>
      <c r="KUN126"/>
      <c r="KUO126"/>
      <c r="KUP126"/>
      <c r="KUQ126"/>
      <c r="KUR126"/>
      <c r="KUS126"/>
      <c r="KUT126"/>
      <c r="KUU126"/>
      <c r="KUV126"/>
      <c r="KUW126"/>
      <c r="KUX126"/>
      <c r="KUY126"/>
      <c r="KUZ126"/>
      <c r="KVA126"/>
      <c r="KVB126"/>
      <c r="KVC126"/>
      <c r="KVD126"/>
      <c r="KVE126"/>
      <c r="KVF126"/>
      <c r="KVG126"/>
      <c r="KVH126"/>
      <c r="KVI126"/>
      <c r="KVJ126"/>
      <c r="KVK126"/>
      <c r="KVL126"/>
      <c r="KVM126"/>
      <c r="KVN126"/>
      <c r="KVO126"/>
      <c r="KVP126"/>
      <c r="KVQ126"/>
      <c r="KVR126"/>
      <c r="KVS126"/>
      <c r="KVT126"/>
      <c r="KVU126"/>
      <c r="KVV126"/>
      <c r="KVW126"/>
      <c r="KVX126"/>
      <c r="KVY126"/>
      <c r="KVZ126"/>
      <c r="KWA126"/>
      <c r="KWB126"/>
      <c r="KWC126"/>
      <c r="KWD126"/>
      <c r="KWE126"/>
      <c r="KWF126"/>
      <c r="KWG126"/>
      <c r="KWH126"/>
      <c r="KWI126"/>
      <c r="KWJ126"/>
      <c r="KWK126"/>
      <c r="KWL126"/>
      <c r="KWM126"/>
      <c r="KWN126"/>
      <c r="KWO126"/>
      <c r="KWP126"/>
      <c r="KWQ126"/>
      <c r="KWR126"/>
      <c r="KWS126"/>
      <c r="KWT126"/>
      <c r="KWU126"/>
      <c r="KWV126"/>
      <c r="KWW126"/>
      <c r="KWX126"/>
      <c r="KWY126"/>
      <c r="KWZ126"/>
      <c r="KXA126"/>
      <c r="KXB126"/>
      <c r="KXC126"/>
      <c r="KXD126"/>
      <c r="KXE126"/>
      <c r="KXF126"/>
      <c r="KXG126"/>
      <c r="KXH126"/>
      <c r="KXI126"/>
      <c r="KXJ126"/>
      <c r="KXK126"/>
      <c r="KXL126"/>
      <c r="KXM126"/>
      <c r="KXN126"/>
      <c r="KXO126"/>
      <c r="KXP126"/>
      <c r="KXQ126"/>
      <c r="KXR126"/>
      <c r="KXS126"/>
      <c r="KXT126"/>
      <c r="KXU126"/>
      <c r="KXV126"/>
      <c r="KXW126"/>
      <c r="KXX126"/>
      <c r="KXY126"/>
      <c r="KXZ126"/>
      <c r="KYA126"/>
      <c r="KYB126"/>
      <c r="KYC126"/>
      <c r="KYD126"/>
      <c r="KYE126"/>
      <c r="KYF126"/>
      <c r="KYG126"/>
      <c r="KYH126"/>
      <c r="KYI126"/>
      <c r="KYJ126"/>
      <c r="KYK126"/>
      <c r="KYL126"/>
      <c r="KYM126"/>
      <c r="KYN126"/>
      <c r="KYO126"/>
      <c r="KYP126"/>
      <c r="KYQ126"/>
      <c r="KYR126"/>
      <c r="KYS126"/>
      <c r="KYT126"/>
      <c r="KYU126"/>
      <c r="KYV126"/>
      <c r="KYW126"/>
      <c r="KYX126"/>
      <c r="KYY126"/>
      <c r="KYZ126"/>
      <c r="KZA126"/>
      <c r="KZB126"/>
      <c r="KZC126"/>
      <c r="KZD126"/>
      <c r="KZE126"/>
      <c r="KZF126"/>
      <c r="KZG126"/>
      <c r="KZH126"/>
      <c r="KZI126"/>
      <c r="KZJ126"/>
      <c r="KZK126"/>
      <c r="KZL126"/>
      <c r="KZM126"/>
      <c r="KZN126"/>
      <c r="KZO126"/>
      <c r="KZP126"/>
      <c r="KZQ126"/>
      <c r="KZR126"/>
      <c r="KZS126"/>
      <c r="KZT126"/>
      <c r="KZU126"/>
      <c r="KZV126"/>
      <c r="KZW126"/>
      <c r="KZX126"/>
      <c r="KZY126"/>
      <c r="KZZ126"/>
      <c r="LAA126"/>
      <c r="LAB126"/>
      <c r="LAC126"/>
      <c r="LAD126"/>
      <c r="LAE126"/>
      <c r="LAF126"/>
      <c r="LAG126"/>
      <c r="LAH126"/>
      <c r="LAI126"/>
      <c r="LAJ126"/>
      <c r="LAK126"/>
      <c r="LAL126"/>
      <c r="LAM126"/>
      <c r="LAN126"/>
      <c r="LAO126"/>
      <c r="LAP126"/>
      <c r="LAQ126"/>
      <c r="LAR126"/>
      <c r="LAS126"/>
      <c r="LAT126"/>
      <c r="LAU126"/>
      <c r="LAV126"/>
      <c r="LAW126"/>
      <c r="LAX126"/>
      <c r="LAY126"/>
      <c r="LAZ126"/>
      <c r="LBA126"/>
      <c r="LBB126"/>
      <c r="LBC126"/>
      <c r="LBD126"/>
      <c r="LBE126"/>
      <c r="LBF126"/>
      <c r="LBG126"/>
      <c r="LBH126"/>
      <c r="LBI126"/>
      <c r="LBJ126"/>
      <c r="LBK126"/>
      <c r="LBL126"/>
      <c r="LBM126"/>
      <c r="LBN126"/>
      <c r="LBO126"/>
      <c r="LBP126"/>
      <c r="LBQ126"/>
      <c r="LBR126"/>
      <c r="LBS126"/>
      <c r="LBT126"/>
      <c r="LBU126"/>
      <c r="LBV126"/>
      <c r="LBW126"/>
      <c r="LBX126"/>
      <c r="LBY126"/>
      <c r="LBZ126"/>
      <c r="LCA126"/>
      <c r="LCB126"/>
      <c r="LCC126"/>
      <c r="LCD126"/>
      <c r="LCE126"/>
      <c r="LCF126"/>
      <c r="LCG126"/>
      <c r="LCH126"/>
      <c r="LCI126"/>
      <c r="LCJ126"/>
      <c r="LCK126"/>
      <c r="LCL126"/>
      <c r="LCM126"/>
      <c r="LCN126"/>
      <c r="LCO126"/>
      <c r="LCP126"/>
      <c r="LCQ126"/>
      <c r="LCR126"/>
      <c r="LCS126"/>
      <c r="LCT126"/>
      <c r="LCU126"/>
      <c r="LCV126"/>
      <c r="LCW126"/>
      <c r="LCX126"/>
      <c r="LCY126"/>
      <c r="LCZ126"/>
      <c r="LDA126"/>
      <c r="LDB126"/>
      <c r="LDC126"/>
      <c r="LDD126"/>
      <c r="LDE126"/>
      <c r="LDF126"/>
      <c r="LDG126"/>
      <c r="LDH126"/>
      <c r="LDI126"/>
      <c r="LDJ126"/>
      <c r="LDK126"/>
      <c r="LDL126"/>
      <c r="LDM126"/>
      <c r="LDN126"/>
      <c r="LDO126"/>
      <c r="LDP126"/>
      <c r="LDQ126"/>
      <c r="LDR126"/>
      <c r="LDS126"/>
      <c r="LDT126"/>
      <c r="LDU126"/>
      <c r="LDV126"/>
      <c r="LDW126"/>
      <c r="LDX126"/>
      <c r="LDY126"/>
      <c r="LDZ126"/>
      <c r="LEA126"/>
      <c r="LEB126"/>
      <c r="LEC126"/>
      <c r="LED126"/>
      <c r="LEE126"/>
      <c r="LEF126"/>
      <c r="LEG126"/>
      <c r="LEH126"/>
      <c r="LEI126"/>
      <c r="LEJ126"/>
      <c r="LEK126"/>
      <c r="LEL126"/>
      <c r="LEM126"/>
      <c r="LEN126"/>
      <c r="LEO126"/>
      <c r="LEP126"/>
      <c r="LEQ126"/>
      <c r="LER126"/>
      <c r="LES126"/>
      <c r="LET126"/>
      <c r="LEU126"/>
      <c r="LEV126"/>
      <c r="LEW126"/>
      <c r="LEX126"/>
      <c r="LEY126"/>
      <c r="LEZ126"/>
      <c r="LFA126"/>
      <c r="LFB126"/>
      <c r="LFC126"/>
      <c r="LFD126"/>
      <c r="LFE126"/>
      <c r="LFF126"/>
      <c r="LFG126"/>
      <c r="LFH126"/>
      <c r="LFI126"/>
      <c r="LFJ126"/>
      <c r="LFK126"/>
      <c r="LFL126"/>
      <c r="LFM126"/>
      <c r="LFN126"/>
      <c r="LFO126"/>
      <c r="LFP126"/>
      <c r="LFQ126"/>
      <c r="LFR126"/>
      <c r="LFS126"/>
      <c r="LFT126"/>
      <c r="LFU126"/>
      <c r="LFV126"/>
      <c r="LFW126"/>
      <c r="LFX126"/>
      <c r="LFY126"/>
      <c r="LFZ126"/>
      <c r="LGA126"/>
      <c r="LGB126"/>
      <c r="LGC126"/>
      <c r="LGD126"/>
      <c r="LGE126"/>
      <c r="LGF126"/>
      <c r="LGG126"/>
      <c r="LGH126"/>
      <c r="LGI126"/>
      <c r="LGJ126"/>
      <c r="LGK126"/>
      <c r="LGL126"/>
      <c r="LGM126"/>
      <c r="LGN126"/>
      <c r="LGO126"/>
      <c r="LGP126"/>
      <c r="LGQ126"/>
      <c r="LGR126"/>
      <c r="LGS126"/>
      <c r="LGT126"/>
      <c r="LGU126"/>
      <c r="LGV126"/>
      <c r="LGW126"/>
      <c r="LGX126"/>
      <c r="LGY126"/>
      <c r="LGZ126"/>
      <c r="LHA126"/>
      <c r="LHB126"/>
      <c r="LHC126"/>
      <c r="LHD126"/>
      <c r="LHE126"/>
      <c r="LHF126"/>
      <c r="LHG126"/>
      <c r="LHH126"/>
      <c r="LHI126"/>
      <c r="LHJ126"/>
      <c r="LHK126"/>
      <c r="LHL126"/>
      <c r="LHM126"/>
      <c r="LHN126"/>
      <c r="LHO126"/>
      <c r="LHP126"/>
      <c r="LHQ126"/>
      <c r="LHR126"/>
      <c r="LHS126"/>
      <c r="LHT126"/>
      <c r="LHU126"/>
      <c r="LHV126"/>
      <c r="LHW126"/>
      <c r="LHX126"/>
      <c r="LHY126"/>
      <c r="LHZ126"/>
      <c r="LIA126"/>
      <c r="LIB126"/>
      <c r="LIC126"/>
      <c r="LID126"/>
      <c r="LIE126"/>
      <c r="LIF126"/>
      <c r="LIG126"/>
      <c r="LIH126"/>
      <c r="LII126"/>
      <c r="LIJ126"/>
      <c r="LIK126"/>
      <c r="LIL126"/>
      <c r="LIM126"/>
      <c r="LIN126"/>
      <c r="LIO126"/>
      <c r="LIP126"/>
      <c r="LIQ126"/>
      <c r="LIR126"/>
      <c r="LIS126"/>
      <c r="LIT126"/>
      <c r="LIU126"/>
      <c r="LIV126"/>
      <c r="LIW126"/>
      <c r="LIX126"/>
      <c r="LIY126"/>
      <c r="LIZ126"/>
      <c r="LJA126"/>
      <c r="LJB126"/>
      <c r="LJC126"/>
      <c r="LJD126"/>
      <c r="LJE126"/>
      <c r="LJF126"/>
      <c r="LJG126"/>
      <c r="LJH126"/>
      <c r="LJI126"/>
      <c r="LJJ126"/>
      <c r="LJK126"/>
      <c r="LJL126"/>
      <c r="LJM126"/>
      <c r="LJN126"/>
      <c r="LJO126"/>
      <c r="LJP126"/>
      <c r="LJQ126"/>
      <c r="LJR126"/>
      <c r="LJS126"/>
      <c r="LJT126"/>
      <c r="LJU126"/>
      <c r="LJV126"/>
      <c r="LJW126"/>
      <c r="LJX126"/>
      <c r="LJY126"/>
      <c r="LJZ126"/>
      <c r="LKA126"/>
      <c r="LKB126"/>
      <c r="LKC126"/>
      <c r="LKD126"/>
      <c r="LKE126"/>
      <c r="LKF126"/>
      <c r="LKG126"/>
      <c r="LKH126"/>
      <c r="LKI126"/>
      <c r="LKJ126"/>
      <c r="LKK126"/>
      <c r="LKL126"/>
      <c r="LKM126"/>
      <c r="LKN126"/>
      <c r="LKO126"/>
      <c r="LKP126"/>
      <c r="LKQ126"/>
      <c r="LKR126"/>
      <c r="LKS126"/>
      <c r="LKT126"/>
      <c r="LKU126"/>
      <c r="LKV126"/>
      <c r="LKW126"/>
      <c r="LKX126"/>
      <c r="LKY126"/>
      <c r="LKZ126"/>
      <c r="LLA126"/>
      <c r="LLB126"/>
      <c r="LLC126"/>
      <c r="LLD126"/>
      <c r="LLE126"/>
      <c r="LLF126"/>
      <c r="LLG126"/>
      <c r="LLH126"/>
      <c r="LLI126"/>
      <c r="LLJ126"/>
      <c r="LLK126"/>
      <c r="LLL126"/>
      <c r="LLM126"/>
      <c r="LLN126"/>
      <c r="LLO126"/>
      <c r="LLP126"/>
      <c r="LLQ126"/>
      <c r="LLR126"/>
      <c r="LLS126"/>
      <c r="LLT126"/>
      <c r="LLU126"/>
      <c r="LLV126"/>
      <c r="LLW126"/>
      <c r="LLX126"/>
      <c r="LLY126"/>
      <c r="LLZ126"/>
      <c r="LMA126"/>
      <c r="LMB126"/>
      <c r="LMC126"/>
      <c r="LMD126"/>
      <c r="LME126"/>
      <c r="LMF126"/>
      <c r="LMG126"/>
      <c r="LMH126"/>
      <c r="LMI126"/>
      <c r="LMJ126"/>
      <c r="LMK126"/>
      <c r="LML126"/>
      <c r="LMM126"/>
      <c r="LMN126"/>
      <c r="LMO126"/>
      <c r="LMP126"/>
      <c r="LMQ126"/>
      <c r="LMR126"/>
      <c r="LMS126"/>
      <c r="LMT126"/>
      <c r="LMU126"/>
      <c r="LMV126"/>
      <c r="LMW126"/>
      <c r="LMX126"/>
      <c r="LMY126"/>
      <c r="LMZ126"/>
      <c r="LNA126"/>
      <c r="LNB126"/>
      <c r="LNC126"/>
      <c r="LND126"/>
      <c r="LNE126"/>
      <c r="LNF126"/>
      <c r="LNG126"/>
      <c r="LNH126"/>
      <c r="LNI126"/>
      <c r="LNJ126"/>
      <c r="LNK126"/>
      <c r="LNL126"/>
      <c r="LNM126"/>
      <c r="LNN126"/>
      <c r="LNO126"/>
      <c r="LNP126"/>
      <c r="LNQ126"/>
      <c r="LNR126"/>
      <c r="LNS126"/>
      <c r="LNT126"/>
      <c r="LNU126"/>
      <c r="LNV126"/>
      <c r="LNW126"/>
      <c r="LNX126"/>
      <c r="LNY126"/>
      <c r="LNZ126"/>
      <c r="LOA126"/>
      <c r="LOB126"/>
      <c r="LOC126"/>
      <c r="LOD126"/>
      <c r="LOE126"/>
      <c r="LOF126"/>
      <c r="LOG126"/>
      <c r="LOH126"/>
      <c r="LOI126"/>
      <c r="LOJ126"/>
      <c r="LOK126"/>
      <c r="LOL126"/>
      <c r="LOM126"/>
      <c r="LON126"/>
      <c r="LOO126"/>
      <c r="LOP126"/>
      <c r="LOQ126"/>
      <c r="LOR126"/>
      <c r="LOS126"/>
      <c r="LOT126"/>
      <c r="LOU126"/>
      <c r="LOV126"/>
      <c r="LOW126"/>
      <c r="LOX126"/>
      <c r="LOY126"/>
      <c r="LOZ126"/>
      <c r="LPA126"/>
      <c r="LPB126"/>
      <c r="LPC126"/>
      <c r="LPD126"/>
      <c r="LPE126"/>
      <c r="LPF126"/>
      <c r="LPG126"/>
      <c r="LPH126"/>
      <c r="LPI126"/>
      <c r="LPJ126"/>
      <c r="LPK126"/>
      <c r="LPL126"/>
      <c r="LPM126"/>
      <c r="LPN126"/>
      <c r="LPO126"/>
      <c r="LPP126"/>
      <c r="LPQ126"/>
      <c r="LPR126"/>
      <c r="LPS126"/>
      <c r="LPT126"/>
      <c r="LPU126"/>
      <c r="LPV126"/>
      <c r="LPW126"/>
      <c r="LPX126"/>
      <c r="LPY126"/>
      <c r="LPZ126"/>
      <c r="LQA126"/>
      <c r="LQB126"/>
      <c r="LQC126"/>
      <c r="LQD126"/>
      <c r="LQE126"/>
      <c r="LQF126"/>
      <c r="LQG126"/>
      <c r="LQH126"/>
      <c r="LQI126"/>
      <c r="LQJ126"/>
      <c r="LQK126"/>
      <c r="LQL126"/>
      <c r="LQM126"/>
      <c r="LQN126"/>
      <c r="LQO126"/>
      <c r="LQP126"/>
      <c r="LQQ126"/>
      <c r="LQR126"/>
      <c r="LQS126"/>
      <c r="LQT126"/>
      <c r="LQU126"/>
      <c r="LQV126"/>
      <c r="LQW126"/>
      <c r="LQX126"/>
      <c r="LQY126"/>
      <c r="LQZ126"/>
      <c r="LRA126"/>
      <c r="LRB126"/>
      <c r="LRC126"/>
      <c r="LRD126"/>
      <c r="LRE126"/>
      <c r="LRF126"/>
      <c r="LRG126"/>
      <c r="LRH126"/>
      <c r="LRI126"/>
      <c r="LRJ126"/>
      <c r="LRK126"/>
      <c r="LRL126"/>
      <c r="LRM126"/>
      <c r="LRN126"/>
      <c r="LRO126"/>
      <c r="LRP126"/>
      <c r="LRQ126"/>
      <c r="LRR126"/>
      <c r="LRS126"/>
      <c r="LRT126"/>
      <c r="LRU126"/>
      <c r="LRV126"/>
      <c r="LRW126"/>
      <c r="LRX126"/>
      <c r="LRY126"/>
      <c r="LRZ126"/>
      <c r="LSA126"/>
      <c r="LSB126"/>
      <c r="LSC126"/>
      <c r="LSD126"/>
      <c r="LSE126"/>
      <c r="LSF126"/>
      <c r="LSG126"/>
      <c r="LSH126"/>
      <c r="LSI126"/>
      <c r="LSJ126"/>
      <c r="LSK126"/>
      <c r="LSL126"/>
      <c r="LSM126"/>
      <c r="LSN126"/>
      <c r="LSO126"/>
      <c r="LSP126"/>
      <c r="LSQ126"/>
      <c r="LSR126"/>
      <c r="LSS126"/>
      <c r="LST126"/>
      <c r="LSU126"/>
      <c r="LSV126"/>
      <c r="LSW126"/>
      <c r="LSX126"/>
      <c r="LSY126"/>
      <c r="LSZ126"/>
      <c r="LTA126"/>
      <c r="LTB126"/>
      <c r="LTC126"/>
      <c r="LTD126"/>
      <c r="LTE126"/>
      <c r="LTF126"/>
      <c r="LTG126"/>
      <c r="LTH126"/>
      <c r="LTI126"/>
      <c r="LTJ126"/>
      <c r="LTK126"/>
      <c r="LTL126"/>
      <c r="LTM126"/>
      <c r="LTN126"/>
      <c r="LTO126"/>
      <c r="LTP126"/>
      <c r="LTQ126"/>
      <c r="LTR126"/>
      <c r="LTS126"/>
      <c r="LTT126"/>
      <c r="LTU126"/>
      <c r="LTV126"/>
      <c r="LTW126"/>
      <c r="LTX126"/>
      <c r="LTY126"/>
      <c r="LTZ126"/>
      <c r="LUA126"/>
      <c r="LUB126"/>
      <c r="LUC126"/>
      <c r="LUD126"/>
      <c r="LUE126"/>
      <c r="LUF126"/>
      <c r="LUG126"/>
      <c r="LUH126"/>
      <c r="LUI126"/>
      <c r="LUJ126"/>
      <c r="LUK126"/>
      <c r="LUL126"/>
      <c r="LUM126"/>
      <c r="LUN126"/>
      <c r="LUO126"/>
      <c r="LUP126"/>
      <c r="LUQ126"/>
      <c r="LUR126"/>
      <c r="LUS126"/>
      <c r="LUT126"/>
      <c r="LUU126"/>
      <c r="LUV126"/>
      <c r="LUW126"/>
      <c r="LUX126"/>
      <c r="LUY126"/>
      <c r="LUZ126"/>
      <c r="LVA126"/>
      <c r="LVB126"/>
      <c r="LVC126"/>
      <c r="LVD126"/>
      <c r="LVE126"/>
      <c r="LVF126"/>
      <c r="LVG126"/>
      <c r="LVH126"/>
      <c r="LVI126"/>
      <c r="LVJ126"/>
      <c r="LVK126"/>
      <c r="LVL126"/>
      <c r="LVM126"/>
      <c r="LVN126"/>
      <c r="LVO126"/>
      <c r="LVP126"/>
      <c r="LVQ126"/>
      <c r="LVR126"/>
      <c r="LVS126"/>
      <c r="LVT126"/>
      <c r="LVU126"/>
      <c r="LVV126"/>
      <c r="LVW126"/>
      <c r="LVX126"/>
      <c r="LVY126"/>
      <c r="LVZ126"/>
      <c r="LWA126"/>
      <c r="LWB126"/>
      <c r="LWC126"/>
      <c r="LWD126"/>
      <c r="LWE126"/>
      <c r="LWF126"/>
      <c r="LWG126"/>
      <c r="LWH126"/>
      <c r="LWI126"/>
      <c r="LWJ126"/>
      <c r="LWK126"/>
      <c r="LWL126"/>
      <c r="LWM126"/>
      <c r="LWN126"/>
      <c r="LWO126"/>
      <c r="LWP126"/>
      <c r="LWQ126"/>
      <c r="LWR126"/>
      <c r="LWS126"/>
      <c r="LWT126"/>
      <c r="LWU126"/>
      <c r="LWV126"/>
      <c r="LWW126"/>
      <c r="LWX126"/>
      <c r="LWY126"/>
      <c r="LWZ126"/>
      <c r="LXA126"/>
      <c r="LXB126"/>
      <c r="LXC126"/>
      <c r="LXD126"/>
      <c r="LXE126"/>
      <c r="LXF126"/>
      <c r="LXG126"/>
      <c r="LXH126"/>
      <c r="LXI126"/>
      <c r="LXJ126"/>
      <c r="LXK126"/>
      <c r="LXL126"/>
      <c r="LXM126"/>
      <c r="LXN126"/>
      <c r="LXO126"/>
      <c r="LXP126"/>
      <c r="LXQ126"/>
      <c r="LXR126"/>
      <c r="LXS126"/>
      <c r="LXT126"/>
      <c r="LXU126"/>
      <c r="LXV126"/>
      <c r="LXW126"/>
      <c r="LXX126"/>
      <c r="LXY126"/>
      <c r="LXZ126"/>
      <c r="LYA126"/>
      <c r="LYB126"/>
      <c r="LYC126"/>
      <c r="LYD126"/>
      <c r="LYE126"/>
      <c r="LYF126"/>
      <c r="LYG126"/>
      <c r="LYH126"/>
      <c r="LYI126"/>
      <c r="LYJ126"/>
      <c r="LYK126"/>
      <c r="LYL126"/>
      <c r="LYM126"/>
      <c r="LYN126"/>
      <c r="LYO126"/>
      <c r="LYP126"/>
      <c r="LYQ126"/>
      <c r="LYR126"/>
      <c r="LYS126"/>
      <c r="LYT126"/>
      <c r="LYU126"/>
      <c r="LYV126"/>
      <c r="LYW126"/>
      <c r="LYX126"/>
      <c r="LYY126"/>
      <c r="LYZ126"/>
      <c r="LZA126"/>
      <c r="LZB126"/>
      <c r="LZC126"/>
      <c r="LZD126"/>
      <c r="LZE126"/>
      <c r="LZF126"/>
      <c r="LZG126"/>
      <c r="LZH126"/>
      <c r="LZI126"/>
      <c r="LZJ126"/>
      <c r="LZK126"/>
      <c r="LZL126"/>
      <c r="LZM126"/>
      <c r="LZN126"/>
      <c r="LZO126"/>
      <c r="LZP126"/>
      <c r="LZQ126"/>
      <c r="LZR126"/>
      <c r="LZS126"/>
      <c r="LZT126"/>
      <c r="LZU126"/>
      <c r="LZV126"/>
      <c r="LZW126"/>
      <c r="LZX126"/>
      <c r="LZY126"/>
      <c r="LZZ126"/>
      <c r="MAA126"/>
      <c r="MAB126"/>
      <c r="MAC126"/>
      <c r="MAD126"/>
      <c r="MAE126"/>
      <c r="MAF126"/>
      <c r="MAG126"/>
      <c r="MAH126"/>
      <c r="MAI126"/>
      <c r="MAJ126"/>
      <c r="MAK126"/>
      <c r="MAL126"/>
      <c r="MAM126"/>
      <c r="MAN126"/>
      <c r="MAO126"/>
      <c r="MAP126"/>
      <c r="MAQ126"/>
      <c r="MAR126"/>
      <c r="MAS126"/>
      <c r="MAT126"/>
      <c r="MAU126"/>
      <c r="MAV126"/>
      <c r="MAW126"/>
      <c r="MAX126"/>
      <c r="MAY126"/>
      <c r="MAZ126"/>
      <c r="MBA126"/>
      <c r="MBB126"/>
      <c r="MBC126"/>
      <c r="MBD126"/>
      <c r="MBE126"/>
      <c r="MBF126"/>
      <c r="MBG126"/>
      <c r="MBH126"/>
      <c r="MBI126"/>
      <c r="MBJ126"/>
      <c r="MBK126"/>
      <c r="MBL126"/>
      <c r="MBM126"/>
      <c r="MBN126"/>
      <c r="MBO126"/>
      <c r="MBP126"/>
      <c r="MBQ126"/>
      <c r="MBR126"/>
      <c r="MBS126"/>
      <c r="MBT126"/>
      <c r="MBU126"/>
      <c r="MBV126"/>
      <c r="MBW126"/>
      <c r="MBX126"/>
      <c r="MBY126"/>
      <c r="MBZ126"/>
      <c r="MCA126"/>
      <c r="MCB126"/>
      <c r="MCC126"/>
      <c r="MCD126"/>
      <c r="MCE126"/>
      <c r="MCF126"/>
      <c r="MCG126"/>
      <c r="MCH126"/>
      <c r="MCI126"/>
      <c r="MCJ126"/>
      <c r="MCK126"/>
      <c r="MCL126"/>
      <c r="MCM126"/>
      <c r="MCN126"/>
      <c r="MCO126"/>
      <c r="MCP126"/>
      <c r="MCQ126"/>
      <c r="MCR126"/>
      <c r="MCS126"/>
      <c r="MCT126"/>
      <c r="MCU126"/>
      <c r="MCV126"/>
      <c r="MCW126"/>
      <c r="MCX126"/>
      <c r="MCY126"/>
      <c r="MCZ126"/>
      <c r="MDA126"/>
      <c r="MDB126"/>
      <c r="MDC126"/>
      <c r="MDD126"/>
      <c r="MDE126"/>
      <c r="MDF126"/>
      <c r="MDG126"/>
      <c r="MDH126"/>
      <c r="MDI126"/>
      <c r="MDJ126"/>
      <c r="MDK126"/>
      <c r="MDL126"/>
      <c r="MDM126"/>
      <c r="MDN126"/>
      <c r="MDO126"/>
      <c r="MDP126"/>
      <c r="MDQ126"/>
      <c r="MDR126"/>
      <c r="MDS126"/>
      <c r="MDT126"/>
      <c r="MDU126"/>
      <c r="MDV126"/>
      <c r="MDW126"/>
      <c r="MDX126"/>
      <c r="MDY126"/>
      <c r="MDZ126"/>
      <c r="MEA126"/>
      <c r="MEB126"/>
      <c r="MEC126"/>
      <c r="MED126"/>
      <c r="MEE126"/>
      <c r="MEF126"/>
      <c r="MEG126"/>
      <c r="MEH126"/>
      <c r="MEI126"/>
      <c r="MEJ126"/>
      <c r="MEK126"/>
      <c r="MEL126"/>
      <c r="MEM126"/>
      <c r="MEN126"/>
      <c r="MEO126"/>
      <c r="MEP126"/>
      <c r="MEQ126"/>
      <c r="MER126"/>
      <c r="MES126"/>
      <c r="MET126"/>
      <c r="MEU126"/>
      <c r="MEV126"/>
      <c r="MEW126"/>
      <c r="MEX126"/>
      <c r="MEY126"/>
      <c r="MEZ126"/>
      <c r="MFA126"/>
      <c r="MFB126"/>
      <c r="MFC126"/>
      <c r="MFD126"/>
      <c r="MFE126"/>
      <c r="MFF126"/>
      <c r="MFG126"/>
      <c r="MFH126"/>
      <c r="MFI126"/>
      <c r="MFJ126"/>
      <c r="MFK126"/>
      <c r="MFL126"/>
      <c r="MFM126"/>
      <c r="MFN126"/>
      <c r="MFO126"/>
      <c r="MFP126"/>
      <c r="MFQ126"/>
      <c r="MFR126"/>
      <c r="MFS126"/>
      <c r="MFT126"/>
      <c r="MFU126"/>
      <c r="MFV126"/>
      <c r="MFW126"/>
      <c r="MFX126"/>
      <c r="MFY126"/>
      <c r="MFZ126"/>
      <c r="MGA126"/>
      <c r="MGB126"/>
      <c r="MGC126"/>
      <c r="MGD126"/>
      <c r="MGE126"/>
      <c r="MGF126"/>
      <c r="MGG126"/>
      <c r="MGH126"/>
      <c r="MGI126"/>
      <c r="MGJ126"/>
      <c r="MGK126"/>
      <c r="MGL126"/>
      <c r="MGM126"/>
      <c r="MGN126"/>
      <c r="MGO126"/>
      <c r="MGP126"/>
      <c r="MGQ126"/>
      <c r="MGR126"/>
      <c r="MGS126"/>
      <c r="MGT126"/>
      <c r="MGU126"/>
      <c r="MGV126"/>
      <c r="MGW126"/>
      <c r="MGX126"/>
      <c r="MGY126"/>
      <c r="MGZ126"/>
      <c r="MHA126"/>
      <c r="MHB126"/>
      <c r="MHC126"/>
      <c r="MHD126"/>
      <c r="MHE126"/>
      <c r="MHF126"/>
      <c r="MHG126"/>
      <c r="MHH126"/>
      <c r="MHI126"/>
      <c r="MHJ126"/>
      <c r="MHK126"/>
      <c r="MHL126"/>
      <c r="MHM126"/>
      <c r="MHN126"/>
      <c r="MHO126"/>
      <c r="MHP126"/>
      <c r="MHQ126"/>
      <c r="MHR126"/>
      <c r="MHS126"/>
      <c r="MHT126"/>
      <c r="MHU126"/>
      <c r="MHV126"/>
      <c r="MHW126"/>
      <c r="MHX126"/>
      <c r="MHY126"/>
      <c r="MHZ126"/>
      <c r="MIA126"/>
      <c r="MIB126"/>
      <c r="MIC126"/>
      <c r="MID126"/>
      <c r="MIE126"/>
      <c r="MIF126"/>
      <c r="MIG126"/>
      <c r="MIH126"/>
      <c r="MII126"/>
      <c r="MIJ126"/>
      <c r="MIK126"/>
      <c r="MIL126"/>
      <c r="MIM126"/>
      <c r="MIN126"/>
      <c r="MIO126"/>
      <c r="MIP126"/>
      <c r="MIQ126"/>
      <c r="MIR126"/>
      <c r="MIS126"/>
      <c r="MIT126"/>
      <c r="MIU126"/>
      <c r="MIV126"/>
      <c r="MIW126"/>
      <c r="MIX126"/>
      <c r="MIY126"/>
      <c r="MIZ126"/>
      <c r="MJA126"/>
      <c r="MJB126"/>
      <c r="MJC126"/>
      <c r="MJD126"/>
      <c r="MJE126"/>
      <c r="MJF126"/>
      <c r="MJG126"/>
      <c r="MJH126"/>
      <c r="MJI126"/>
      <c r="MJJ126"/>
      <c r="MJK126"/>
      <c r="MJL126"/>
      <c r="MJM126"/>
      <c r="MJN126"/>
      <c r="MJO126"/>
      <c r="MJP126"/>
      <c r="MJQ126"/>
      <c r="MJR126"/>
      <c r="MJS126"/>
      <c r="MJT126"/>
      <c r="MJU126"/>
      <c r="MJV126"/>
      <c r="MJW126"/>
      <c r="MJX126"/>
      <c r="MJY126"/>
      <c r="MJZ126"/>
      <c r="MKA126"/>
      <c r="MKB126"/>
      <c r="MKC126"/>
      <c r="MKD126"/>
      <c r="MKE126"/>
      <c r="MKF126"/>
      <c r="MKG126"/>
      <c r="MKH126"/>
      <c r="MKI126"/>
      <c r="MKJ126"/>
      <c r="MKK126"/>
      <c r="MKL126"/>
      <c r="MKM126"/>
      <c r="MKN126"/>
      <c r="MKO126"/>
      <c r="MKP126"/>
      <c r="MKQ126"/>
      <c r="MKR126"/>
      <c r="MKS126"/>
      <c r="MKT126"/>
      <c r="MKU126"/>
      <c r="MKV126"/>
      <c r="MKW126"/>
      <c r="MKX126"/>
      <c r="MKY126"/>
      <c r="MKZ126"/>
      <c r="MLA126"/>
      <c r="MLB126"/>
      <c r="MLC126"/>
      <c r="MLD126"/>
      <c r="MLE126"/>
      <c r="MLF126"/>
      <c r="MLG126"/>
      <c r="MLH126"/>
      <c r="MLI126"/>
      <c r="MLJ126"/>
      <c r="MLK126"/>
      <c r="MLL126"/>
      <c r="MLM126"/>
      <c r="MLN126"/>
      <c r="MLO126"/>
      <c r="MLP126"/>
      <c r="MLQ126"/>
      <c r="MLR126"/>
      <c r="MLS126"/>
      <c r="MLT126"/>
      <c r="MLU126"/>
      <c r="MLV126"/>
      <c r="MLW126"/>
      <c r="MLX126"/>
      <c r="MLY126"/>
      <c r="MLZ126"/>
      <c r="MMA126"/>
      <c r="MMB126"/>
      <c r="MMC126"/>
      <c r="MMD126"/>
      <c r="MME126"/>
      <c r="MMF126"/>
      <c r="MMG126"/>
      <c r="MMH126"/>
      <c r="MMI126"/>
      <c r="MMJ126"/>
      <c r="MMK126"/>
      <c r="MML126"/>
      <c r="MMM126"/>
      <c r="MMN126"/>
      <c r="MMO126"/>
      <c r="MMP126"/>
      <c r="MMQ126"/>
      <c r="MMR126"/>
      <c r="MMS126"/>
      <c r="MMT126"/>
      <c r="MMU126"/>
      <c r="MMV126"/>
      <c r="MMW126"/>
      <c r="MMX126"/>
      <c r="MMY126"/>
      <c r="MMZ126"/>
      <c r="MNA126"/>
      <c r="MNB126"/>
      <c r="MNC126"/>
      <c r="MND126"/>
      <c r="MNE126"/>
      <c r="MNF126"/>
      <c r="MNG126"/>
      <c r="MNH126"/>
      <c r="MNI126"/>
      <c r="MNJ126"/>
      <c r="MNK126"/>
      <c r="MNL126"/>
      <c r="MNM126"/>
      <c r="MNN126"/>
      <c r="MNO126"/>
      <c r="MNP126"/>
      <c r="MNQ126"/>
      <c r="MNR126"/>
      <c r="MNS126"/>
      <c r="MNT126"/>
      <c r="MNU126"/>
      <c r="MNV126"/>
      <c r="MNW126"/>
      <c r="MNX126"/>
      <c r="MNY126"/>
      <c r="MNZ126"/>
      <c r="MOA126"/>
      <c r="MOB126"/>
      <c r="MOC126"/>
      <c r="MOD126"/>
      <c r="MOE126"/>
      <c r="MOF126"/>
      <c r="MOG126"/>
      <c r="MOH126"/>
      <c r="MOI126"/>
      <c r="MOJ126"/>
      <c r="MOK126"/>
      <c r="MOL126"/>
      <c r="MOM126"/>
      <c r="MON126"/>
      <c r="MOO126"/>
      <c r="MOP126"/>
      <c r="MOQ126"/>
      <c r="MOR126"/>
      <c r="MOS126"/>
      <c r="MOT126"/>
      <c r="MOU126"/>
      <c r="MOV126"/>
      <c r="MOW126"/>
      <c r="MOX126"/>
      <c r="MOY126"/>
      <c r="MOZ126"/>
      <c r="MPA126"/>
      <c r="MPB126"/>
      <c r="MPC126"/>
      <c r="MPD126"/>
      <c r="MPE126"/>
      <c r="MPF126"/>
      <c r="MPG126"/>
      <c r="MPH126"/>
      <c r="MPI126"/>
      <c r="MPJ126"/>
      <c r="MPK126"/>
      <c r="MPL126"/>
      <c r="MPM126"/>
      <c r="MPN126"/>
      <c r="MPO126"/>
      <c r="MPP126"/>
      <c r="MPQ126"/>
      <c r="MPR126"/>
      <c r="MPS126"/>
      <c r="MPT126"/>
      <c r="MPU126"/>
      <c r="MPV126"/>
      <c r="MPW126"/>
      <c r="MPX126"/>
      <c r="MPY126"/>
      <c r="MPZ126"/>
      <c r="MQA126"/>
      <c r="MQB126"/>
      <c r="MQC126"/>
      <c r="MQD126"/>
      <c r="MQE126"/>
      <c r="MQF126"/>
      <c r="MQG126"/>
      <c r="MQH126"/>
      <c r="MQI126"/>
      <c r="MQJ126"/>
      <c r="MQK126"/>
      <c r="MQL126"/>
      <c r="MQM126"/>
      <c r="MQN126"/>
      <c r="MQO126"/>
      <c r="MQP126"/>
      <c r="MQQ126"/>
      <c r="MQR126"/>
      <c r="MQS126"/>
      <c r="MQT126"/>
      <c r="MQU126"/>
      <c r="MQV126"/>
      <c r="MQW126"/>
      <c r="MQX126"/>
      <c r="MQY126"/>
      <c r="MQZ126"/>
      <c r="MRA126"/>
      <c r="MRB126"/>
      <c r="MRC126"/>
      <c r="MRD126"/>
      <c r="MRE126"/>
      <c r="MRF126"/>
      <c r="MRG126"/>
      <c r="MRH126"/>
      <c r="MRI126"/>
      <c r="MRJ126"/>
      <c r="MRK126"/>
      <c r="MRL126"/>
      <c r="MRM126"/>
      <c r="MRN126"/>
      <c r="MRO126"/>
      <c r="MRP126"/>
      <c r="MRQ126"/>
      <c r="MRR126"/>
      <c r="MRS126"/>
      <c r="MRT126"/>
      <c r="MRU126"/>
      <c r="MRV126"/>
      <c r="MRW126"/>
      <c r="MRX126"/>
      <c r="MRY126"/>
      <c r="MRZ126"/>
      <c r="MSA126"/>
      <c r="MSB126"/>
      <c r="MSC126"/>
      <c r="MSD126"/>
      <c r="MSE126"/>
      <c r="MSF126"/>
      <c r="MSG126"/>
      <c r="MSH126"/>
      <c r="MSI126"/>
      <c r="MSJ126"/>
      <c r="MSK126"/>
      <c r="MSL126"/>
      <c r="MSM126"/>
      <c r="MSN126"/>
      <c r="MSO126"/>
      <c r="MSP126"/>
      <c r="MSQ126"/>
      <c r="MSR126"/>
      <c r="MSS126"/>
      <c r="MST126"/>
      <c r="MSU126"/>
      <c r="MSV126"/>
      <c r="MSW126"/>
      <c r="MSX126"/>
      <c r="MSY126"/>
      <c r="MSZ126"/>
      <c r="MTA126"/>
      <c r="MTB126"/>
      <c r="MTC126"/>
      <c r="MTD126"/>
      <c r="MTE126"/>
      <c r="MTF126"/>
      <c r="MTG126"/>
      <c r="MTH126"/>
      <c r="MTI126"/>
      <c r="MTJ126"/>
      <c r="MTK126"/>
      <c r="MTL126"/>
      <c r="MTM126"/>
      <c r="MTN126"/>
      <c r="MTO126"/>
      <c r="MTP126"/>
      <c r="MTQ126"/>
      <c r="MTR126"/>
      <c r="MTS126"/>
      <c r="MTT126"/>
      <c r="MTU126"/>
      <c r="MTV126"/>
      <c r="MTW126"/>
      <c r="MTX126"/>
      <c r="MTY126"/>
      <c r="MTZ126"/>
      <c r="MUA126"/>
      <c r="MUB126"/>
      <c r="MUC126"/>
      <c r="MUD126"/>
      <c r="MUE126"/>
      <c r="MUF126"/>
      <c r="MUG126"/>
      <c r="MUH126"/>
      <c r="MUI126"/>
      <c r="MUJ126"/>
      <c r="MUK126"/>
      <c r="MUL126"/>
      <c r="MUM126"/>
      <c r="MUN126"/>
      <c r="MUO126"/>
      <c r="MUP126"/>
      <c r="MUQ126"/>
      <c r="MUR126"/>
      <c r="MUS126"/>
      <c r="MUT126"/>
      <c r="MUU126"/>
      <c r="MUV126"/>
      <c r="MUW126"/>
      <c r="MUX126"/>
      <c r="MUY126"/>
      <c r="MUZ126"/>
      <c r="MVA126"/>
      <c r="MVB126"/>
      <c r="MVC126"/>
      <c r="MVD126"/>
      <c r="MVE126"/>
      <c r="MVF126"/>
      <c r="MVG126"/>
      <c r="MVH126"/>
      <c r="MVI126"/>
      <c r="MVJ126"/>
      <c r="MVK126"/>
      <c r="MVL126"/>
      <c r="MVM126"/>
      <c r="MVN126"/>
      <c r="MVO126"/>
      <c r="MVP126"/>
      <c r="MVQ126"/>
      <c r="MVR126"/>
      <c r="MVS126"/>
      <c r="MVT126"/>
      <c r="MVU126"/>
      <c r="MVV126"/>
      <c r="MVW126"/>
      <c r="MVX126"/>
      <c r="MVY126"/>
      <c r="MVZ126"/>
      <c r="MWA126"/>
      <c r="MWB126"/>
      <c r="MWC126"/>
      <c r="MWD126"/>
      <c r="MWE126"/>
      <c r="MWF126"/>
      <c r="MWG126"/>
      <c r="MWH126"/>
      <c r="MWI126"/>
      <c r="MWJ126"/>
      <c r="MWK126"/>
      <c r="MWL126"/>
      <c r="MWM126"/>
      <c r="MWN126"/>
      <c r="MWO126"/>
      <c r="MWP126"/>
      <c r="MWQ126"/>
      <c r="MWR126"/>
      <c r="MWS126"/>
      <c r="MWT126"/>
      <c r="MWU126"/>
      <c r="MWV126"/>
      <c r="MWW126"/>
      <c r="MWX126"/>
      <c r="MWY126"/>
      <c r="MWZ126"/>
      <c r="MXA126"/>
      <c r="MXB126"/>
      <c r="MXC126"/>
      <c r="MXD126"/>
      <c r="MXE126"/>
      <c r="MXF126"/>
      <c r="MXG126"/>
      <c r="MXH126"/>
      <c r="MXI126"/>
      <c r="MXJ126"/>
      <c r="MXK126"/>
      <c r="MXL126"/>
      <c r="MXM126"/>
      <c r="MXN126"/>
      <c r="MXO126"/>
      <c r="MXP126"/>
      <c r="MXQ126"/>
      <c r="MXR126"/>
      <c r="MXS126"/>
      <c r="MXT126"/>
      <c r="MXU126"/>
      <c r="MXV126"/>
      <c r="MXW126"/>
      <c r="MXX126"/>
      <c r="MXY126"/>
      <c r="MXZ126"/>
      <c r="MYA126"/>
      <c r="MYB126"/>
      <c r="MYC126"/>
      <c r="MYD126"/>
      <c r="MYE126"/>
      <c r="MYF126"/>
      <c r="MYG126"/>
      <c r="MYH126"/>
      <c r="MYI126"/>
      <c r="MYJ126"/>
      <c r="MYK126"/>
      <c r="MYL126"/>
      <c r="MYM126"/>
      <c r="MYN126"/>
      <c r="MYO126"/>
      <c r="MYP126"/>
      <c r="MYQ126"/>
      <c r="MYR126"/>
      <c r="MYS126"/>
      <c r="MYT126"/>
      <c r="MYU126"/>
      <c r="MYV126"/>
      <c r="MYW126"/>
      <c r="MYX126"/>
      <c r="MYY126"/>
      <c r="MYZ126"/>
      <c r="MZA126"/>
      <c r="MZB126"/>
      <c r="MZC126"/>
      <c r="MZD126"/>
      <c r="MZE126"/>
      <c r="MZF126"/>
      <c r="MZG126"/>
      <c r="MZH126"/>
      <c r="MZI126"/>
      <c r="MZJ126"/>
      <c r="MZK126"/>
      <c r="MZL126"/>
      <c r="MZM126"/>
      <c r="MZN126"/>
      <c r="MZO126"/>
      <c r="MZP126"/>
      <c r="MZQ126"/>
      <c r="MZR126"/>
      <c r="MZS126"/>
      <c r="MZT126"/>
      <c r="MZU126"/>
      <c r="MZV126"/>
      <c r="MZW126"/>
      <c r="MZX126"/>
      <c r="MZY126"/>
      <c r="MZZ126"/>
      <c r="NAA126"/>
      <c r="NAB126"/>
      <c r="NAC126"/>
      <c r="NAD126"/>
      <c r="NAE126"/>
      <c r="NAF126"/>
      <c r="NAG126"/>
      <c r="NAH126"/>
      <c r="NAI126"/>
      <c r="NAJ126"/>
      <c r="NAK126"/>
      <c r="NAL126"/>
      <c r="NAM126"/>
      <c r="NAN126"/>
      <c r="NAO126"/>
      <c r="NAP126"/>
      <c r="NAQ126"/>
      <c r="NAR126"/>
      <c r="NAS126"/>
      <c r="NAT126"/>
      <c r="NAU126"/>
      <c r="NAV126"/>
      <c r="NAW126"/>
      <c r="NAX126"/>
      <c r="NAY126"/>
      <c r="NAZ126"/>
      <c r="NBA126"/>
      <c r="NBB126"/>
      <c r="NBC126"/>
      <c r="NBD126"/>
      <c r="NBE126"/>
      <c r="NBF126"/>
      <c r="NBG126"/>
      <c r="NBH126"/>
      <c r="NBI126"/>
      <c r="NBJ126"/>
      <c r="NBK126"/>
      <c r="NBL126"/>
      <c r="NBM126"/>
      <c r="NBN126"/>
      <c r="NBO126"/>
      <c r="NBP126"/>
      <c r="NBQ126"/>
      <c r="NBR126"/>
      <c r="NBS126"/>
      <c r="NBT126"/>
      <c r="NBU126"/>
      <c r="NBV126"/>
      <c r="NBW126"/>
      <c r="NBX126"/>
      <c r="NBY126"/>
      <c r="NBZ126"/>
      <c r="NCA126"/>
      <c r="NCB126"/>
      <c r="NCC126"/>
      <c r="NCD126"/>
      <c r="NCE126"/>
      <c r="NCF126"/>
      <c r="NCG126"/>
      <c r="NCH126"/>
      <c r="NCI126"/>
      <c r="NCJ126"/>
      <c r="NCK126"/>
      <c r="NCL126"/>
      <c r="NCM126"/>
      <c r="NCN126"/>
      <c r="NCO126"/>
      <c r="NCP126"/>
      <c r="NCQ126"/>
      <c r="NCR126"/>
      <c r="NCS126"/>
      <c r="NCT126"/>
      <c r="NCU126"/>
      <c r="NCV126"/>
      <c r="NCW126"/>
      <c r="NCX126"/>
      <c r="NCY126"/>
      <c r="NCZ126"/>
      <c r="NDA126"/>
      <c r="NDB126"/>
      <c r="NDC126"/>
      <c r="NDD126"/>
      <c r="NDE126"/>
      <c r="NDF126"/>
      <c r="NDG126"/>
      <c r="NDH126"/>
      <c r="NDI126"/>
      <c r="NDJ126"/>
      <c r="NDK126"/>
      <c r="NDL126"/>
      <c r="NDM126"/>
      <c r="NDN126"/>
      <c r="NDO126"/>
      <c r="NDP126"/>
      <c r="NDQ126"/>
      <c r="NDR126"/>
      <c r="NDS126"/>
      <c r="NDT126"/>
      <c r="NDU126"/>
      <c r="NDV126"/>
      <c r="NDW126"/>
      <c r="NDX126"/>
      <c r="NDY126"/>
      <c r="NDZ126"/>
      <c r="NEA126"/>
      <c r="NEB126"/>
      <c r="NEC126"/>
      <c r="NED126"/>
      <c r="NEE126"/>
      <c r="NEF126"/>
      <c r="NEG126"/>
      <c r="NEH126"/>
      <c r="NEI126"/>
      <c r="NEJ126"/>
      <c r="NEK126"/>
      <c r="NEL126"/>
      <c r="NEM126"/>
      <c r="NEN126"/>
      <c r="NEO126"/>
      <c r="NEP126"/>
      <c r="NEQ126"/>
      <c r="NER126"/>
      <c r="NES126"/>
      <c r="NET126"/>
      <c r="NEU126"/>
      <c r="NEV126"/>
      <c r="NEW126"/>
      <c r="NEX126"/>
      <c r="NEY126"/>
      <c r="NEZ126"/>
      <c r="NFA126"/>
      <c r="NFB126"/>
      <c r="NFC126"/>
      <c r="NFD126"/>
      <c r="NFE126"/>
      <c r="NFF126"/>
      <c r="NFG126"/>
      <c r="NFH126"/>
      <c r="NFI126"/>
      <c r="NFJ126"/>
      <c r="NFK126"/>
      <c r="NFL126"/>
      <c r="NFM126"/>
      <c r="NFN126"/>
      <c r="NFO126"/>
      <c r="NFP126"/>
      <c r="NFQ126"/>
      <c r="NFR126"/>
      <c r="NFS126"/>
      <c r="NFT126"/>
      <c r="NFU126"/>
      <c r="NFV126"/>
      <c r="NFW126"/>
      <c r="NFX126"/>
      <c r="NFY126"/>
      <c r="NFZ126"/>
      <c r="NGA126"/>
      <c r="NGB126"/>
      <c r="NGC126"/>
      <c r="NGD126"/>
      <c r="NGE126"/>
      <c r="NGF126"/>
      <c r="NGG126"/>
      <c r="NGH126"/>
      <c r="NGI126"/>
      <c r="NGJ126"/>
      <c r="NGK126"/>
      <c r="NGL126"/>
      <c r="NGM126"/>
      <c r="NGN126"/>
      <c r="NGO126"/>
      <c r="NGP126"/>
      <c r="NGQ126"/>
      <c r="NGR126"/>
      <c r="NGS126"/>
      <c r="NGT126"/>
      <c r="NGU126"/>
      <c r="NGV126"/>
      <c r="NGW126"/>
      <c r="NGX126"/>
      <c r="NGY126"/>
      <c r="NGZ126"/>
      <c r="NHA126"/>
      <c r="NHB126"/>
      <c r="NHC126"/>
      <c r="NHD126"/>
      <c r="NHE126"/>
      <c r="NHF126"/>
      <c r="NHG126"/>
      <c r="NHH126"/>
      <c r="NHI126"/>
      <c r="NHJ126"/>
      <c r="NHK126"/>
      <c r="NHL126"/>
      <c r="NHM126"/>
      <c r="NHN126"/>
      <c r="NHO126"/>
      <c r="NHP126"/>
      <c r="NHQ126"/>
      <c r="NHR126"/>
      <c r="NHS126"/>
      <c r="NHT126"/>
      <c r="NHU126"/>
      <c r="NHV126"/>
      <c r="NHW126"/>
      <c r="NHX126"/>
      <c r="NHY126"/>
      <c r="NHZ126"/>
      <c r="NIA126"/>
      <c r="NIB126"/>
      <c r="NIC126"/>
      <c r="NID126"/>
      <c r="NIE126"/>
      <c r="NIF126"/>
      <c r="NIG126"/>
      <c r="NIH126"/>
      <c r="NII126"/>
      <c r="NIJ126"/>
      <c r="NIK126"/>
      <c r="NIL126"/>
      <c r="NIM126"/>
      <c r="NIN126"/>
      <c r="NIO126"/>
      <c r="NIP126"/>
      <c r="NIQ126"/>
      <c r="NIR126"/>
      <c r="NIS126"/>
      <c r="NIT126"/>
      <c r="NIU126"/>
      <c r="NIV126"/>
      <c r="NIW126"/>
      <c r="NIX126"/>
      <c r="NIY126"/>
      <c r="NIZ126"/>
      <c r="NJA126"/>
      <c r="NJB126"/>
      <c r="NJC126"/>
      <c r="NJD126"/>
      <c r="NJE126"/>
      <c r="NJF126"/>
      <c r="NJG126"/>
      <c r="NJH126"/>
      <c r="NJI126"/>
      <c r="NJJ126"/>
      <c r="NJK126"/>
      <c r="NJL126"/>
      <c r="NJM126"/>
      <c r="NJN126"/>
      <c r="NJO126"/>
      <c r="NJP126"/>
      <c r="NJQ126"/>
      <c r="NJR126"/>
      <c r="NJS126"/>
      <c r="NJT126"/>
      <c r="NJU126"/>
      <c r="NJV126"/>
      <c r="NJW126"/>
      <c r="NJX126"/>
      <c r="NJY126"/>
      <c r="NJZ126"/>
      <c r="NKA126"/>
      <c r="NKB126"/>
      <c r="NKC126"/>
      <c r="NKD126"/>
      <c r="NKE126"/>
      <c r="NKF126"/>
      <c r="NKG126"/>
      <c r="NKH126"/>
      <c r="NKI126"/>
      <c r="NKJ126"/>
      <c r="NKK126"/>
      <c r="NKL126"/>
      <c r="NKM126"/>
      <c r="NKN126"/>
      <c r="NKO126"/>
      <c r="NKP126"/>
      <c r="NKQ126"/>
      <c r="NKR126"/>
      <c r="NKS126"/>
      <c r="NKT126"/>
      <c r="NKU126"/>
      <c r="NKV126"/>
      <c r="NKW126"/>
      <c r="NKX126"/>
      <c r="NKY126"/>
      <c r="NKZ126"/>
      <c r="NLA126"/>
      <c r="NLB126"/>
      <c r="NLC126"/>
      <c r="NLD126"/>
      <c r="NLE126"/>
      <c r="NLF126"/>
      <c r="NLG126"/>
      <c r="NLH126"/>
      <c r="NLI126"/>
      <c r="NLJ126"/>
      <c r="NLK126"/>
      <c r="NLL126"/>
      <c r="NLM126"/>
      <c r="NLN126"/>
      <c r="NLO126"/>
      <c r="NLP126"/>
      <c r="NLQ126"/>
      <c r="NLR126"/>
      <c r="NLS126"/>
      <c r="NLT126"/>
      <c r="NLU126"/>
      <c r="NLV126"/>
      <c r="NLW126"/>
      <c r="NLX126"/>
      <c r="NLY126"/>
      <c r="NLZ126"/>
      <c r="NMA126"/>
      <c r="NMB126"/>
      <c r="NMC126"/>
      <c r="NMD126"/>
      <c r="NME126"/>
      <c r="NMF126"/>
      <c r="NMG126"/>
      <c r="NMH126"/>
      <c r="NMI126"/>
      <c r="NMJ126"/>
      <c r="NMK126"/>
      <c r="NML126"/>
      <c r="NMM126"/>
      <c r="NMN126"/>
      <c r="NMO126"/>
      <c r="NMP126"/>
      <c r="NMQ126"/>
      <c r="NMR126"/>
      <c r="NMS126"/>
      <c r="NMT126"/>
      <c r="NMU126"/>
      <c r="NMV126"/>
      <c r="NMW126"/>
      <c r="NMX126"/>
      <c r="NMY126"/>
      <c r="NMZ126"/>
      <c r="NNA126"/>
      <c r="NNB126"/>
      <c r="NNC126"/>
      <c r="NND126"/>
      <c r="NNE126"/>
      <c r="NNF126"/>
      <c r="NNG126"/>
      <c r="NNH126"/>
      <c r="NNI126"/>
      <c r="NNJ126"/>
      <c r="NNK126"/>
      <c r="NNL126"/>
      <c r="NNM126"/>
      <c r="NNN126"/>
      <c r="NNO126"/>
      <c r="NNP126"/>
      <c r="NNQ126"/>
      <c r="NNR126"/>
      <c r="NNS126"/>
      <c r="NNT126"/>
      <c r="NNU126"/>
      <c r="NNV126"/>
      <c r="NNW126"/>
      <c r="NNX126"/>
      <c r="NNY126"/>
      <c r="NNZ126"/>
      <c r="NOA126"/>
      <c r="NOB126"/>
      <c r="NOC126"/>
      <c r="NOD126"/>
      <c r="NOE126"/>
      <c r="NOF126"/>
      <c r="NOG126"/>
      <c r="NOH126"/>
      <c r="NOI126"/>
      <c r="NOJ126"/>
      <c r="NOK126"/>
      <c r="NOL126"/>
      <c r="NOM126"/>
      <c r="NON126"/>
      <c r="NOO126"/>
      <c r="NOP126"/>
      <c r="NOQ126"/>
      <c r="NOR126"/>
      <c r="NOS126"/>
      <c r="NOT126"/>
      <c r="NOU126"/>
      <c r="NOV126"/>
      <c r="NOW126"/>
      <c r="NOX126"/>
      <c r="NOY126"/>
      <c r="NOZ126"/>
      <c r="NPA126"/>
      <c r="NPB126"/>
      <c r="NPC126"/>
      <c r="NPD126"/>
      <c r="NPE126"/>
      <c r="NPF126"/>
      <c r="NPG126"/>
      <c r="NPH126"/>
      <c r="NPI126"/>
      <c r="NPJ126"/>
      <c r="NPK126"/>
      <c r="NPL126"/>
      <c r="NPM126"/>
      <c r="NPN126"/>
      <c r="NPO126"/>
      <c r="NPP126"/>
      <c r="NPQ126"/>
      <c r="NPR126"/>
      <c r="NPS126"/>
      <c r="NPT126"/>
      <c r="NPU126"/>
      <c r="NPV126"/>
      <c r="NPW126"/>
      <c r="NPX126"/>
      <c r="NPY126"/>
      <c r="NPZ126"/>
      <c r="NQA126"/>
      <c r="NQB126"/>
      <c r="NQC126"/>
      <c r="NQD126"/>
      <c r="NQE126"/>
      <c r="NQF126"/>
      <c r="NQG126"/>
      <c r="NQH126"/>
      <c r="NQI126"/>
      <c r="NQJ126"/>
      <c r="NQK126"/>
      <c r="NQL126"/>
      <c r="NQM126"/>
      <c r="NQN126"/>
      <c r="NQO126"/>
      <c r="NQP126"/>
      <c r="NQQ126"/>
      <c r="NQR126"/>
      <c r="NQS126"/>
      <c r="NQT126"/>
      <c r="NQU126"/>
      <c r="NQV126"/>
      <c r="NQW126"/>
      <c r="NQX126"/>
      <c r="NQY126"/>
      <c r="NQZ126"/>
      <c r="NRA126"/>
      <c r="NRB126"/>
      <c r="NRC126"/>
      <c r="NRD126"/>
      <c r="NRE126"/>
      <c r="NRF126"/>
      <c r="NRG126"/>
      <c r="NRH126"/>
      <c r="NRI126"/>
      <c r="NRJ126"/>
      <c r="NRK126"/>
      <c r="NRL126"/>
      <c r="NRM126"/>
      <c r="NRN126"/>
      <c r="NRO126"/>
      <c r="NRP126"/>
      <c r="NRQ126"/>
      <c r="NRR126"/>
      <c r="NRS126"/>
      <c r="NRT126"/>
      <c r="NRU126"/>
      <c r="NRV126"/>
      <c r="NRW126"/>
      <c r="NRX126"/>
      <c r="NRY126"/>
      <c r="NRZ126"/>
      <c r="NSA126"/>
      <c r="NSB126"/>
      <c r="NSC126"/>
      <c r="NSD126"/>
      <c r="NSE126"/>
      <c r="NSF126"/>
      <c r="NSG126"/>
      <c r="NSH126"/>
      <c r="NSI126"/>
      <c r="NSJ126"/>
      <c r="NSK126"/>
      <c r="NSL126"/>
      <c r="NSM126"/>
      <c r="NSN126"/>
      <c r="NSO126"/>
      <c r="NSP126"/>
      <c r="NSQ126"/>
      <c r="NSR126"/>
      <c r="NSS126"/>
      <c r="NST126"/>
      <c r="NSU126"/>
      <c r="NSV126"/>
      <c r="NSW126"/>
      <c r="NSX126"/>
      <c r="NSY126"/>
      <c r="NSZ126"/>
      <c r="NTA126"/>
      <c r="NTB126"/>
      <c r="NTC126"/>
      <c r="NTD126"/>
      <c r="NTE126"/>
      <c r="NTF126"/>
      <c r="NTG126"/>
      <c r="NTH126"/>
      <c r="NTI126"/>
      <c r="NTJ126"/>
      <c r="NTK126"/>
      <c r="NTL126"/>
      <c r="NTM126"/>
      <c r="NTN126"/>
      <c r="NTO126"/>
      <c r="NTP126"/>
      <c r="NTQ126"/>
      <c r="NTR126"/>
      <c r="NTS126"/>
      <c r="NTT126"/>
      <c r="NTU126"/>
      <c r="NTV126"/>
      <c r="NTW126"/>
      <c r="NTX126"/>
      <c r="NTY126"/>
      <c r="NTZ126"/>
      <c r="NUA126"/>
      <c r="NUB126"/>
      <c r="NUC126"/>
      <c r="NUD126"/>
      <c r="NUE126"/>
      <c r="NUF126"/>
      <c r="NUG126"/>
      <c r="NUH126"/>
      <c r="NUI126"/>
      <c r="NUJ126"/>
      <c r="NUK126"/>
      <c r="NUL126"/>
      <c r="NUM126"/>
      <c r="NUN126"/>
      <c r="NUO126"/>
      <c r="NUP126"/>
      <c r="NUQ126"/>
      <c r="NUR126"/>
      <c r="NUS126"/>
      <c r="NUT126"/>
      <c r="NUU126"/>
      <c r="NUV126"/>
      <c r="NUW126"/>
      <c r="NUX126"/>
      <c r="NUY126"/>
      <c r="NUZ126"/>
      <c r="NVA126"/>
      <c r="NVB126"/>
      <c r="NVC126"/>
      <c r="NVD126"/>
      <c r="NVE126"/>
      <c r="NVF126"/>
      <c r="NVG126"/>
      <c r="NVH126"/>
      <c r="NVI126"/>
      <c r="NVJ126"/>
      <c r="NVK126"/>
      <c r="NVL126"/>
      <c r="NVM126"/>
      <c r="NVN126"/>
      <c r="NVO126"/>
      <c r="NVP126"/>
      <c r="NVQ126"/>
      <c r="NVR126"/>
      <c r="NVS126"/>
      <c r="NVT126"/>
      <c r="NVU126"/>
      <c r="NVV126"/>
      <c r="NVW126"/>
      <c r="NVX126"/>
      <c r="NVY126"/>
      <c r="NVZ126"/>
      <c r="NWA126"/>
      <c r="NWB126"/>
      <c r="NWC126"/>
      <c r="NWD126"/>
      <c r="NWE126"/>
      <c r="NWF126"/>
      <c r="NWG126"/>
      <c r="NWH126"/>
      <c r="NWI126"/>
      <c r="NWJ126"/>
      <c r="NWK126"/>
      <c r="NWL126"/>
      <c r="NWM126"/>
      <c r="NWN126"/>
      <c r="NWO126"/>
      <c r="NWP126"/>
      <c r="NWQ126"/>
      <c r="NWR126"/>
      <c r="NWS126"/>
      <c r="NWT126"/>
      <c r="NWU126"/>
      <c r="NWV126"/>
      <c r="NWW126"/>
      <c r="NWX126"/>
      <c r="NWY126"/>
      <c r="NWZ126"/>
      <c r="NXA126"/>
      <c r="NXB126"/>
      <c r="NXC126"/>
      <c r="NXD126"/>
      <c r="NXE126"/>
      <c r="NXF126"/>
      <c r="NXG126"/>
      <c r="NXH126"/>
      <c r="NXI126"/>
      <c r="NXJ126"/>
      <c r="NXK126"/>
      <c r="NXL126"/>
      <c r="NXM126"/>
      <c r="NXN126"/>
      <c r="NXO126"/>
      <c r="NXP126"/>
      <c r="NXQ126"/>
      <c r="NXR126"/>
      <c r="NXS126"/>
      <c r="NXT126"/>
      <c r="NXU126"/>
      <c r="NXV126"/>
      <c r="NXW126"/>
      <c r="NXX126"/>
      <c r="NXY126"/>
      <c r="NXZ126"/>
      <c r="NYA126"/>
      <c r="NYB126"/>
      <c r="NYC126"/>
      <c r="NYD126"/>
      <c r="NYE126"/>
      <c r="NYF126"/>
      <c r="NYG126"/>
      <c r="NYH126"/>
      <c r="NYI126"/>
      <c r="NYJ126"/>
      <c r="NYK126"/>
      <c r="NYL126"/>
      <c r="NYM126"/>
      <c r="NYN126"/>
      <c r="NYO126"/>
      <c r="NYP126"/>
      <c r="NYQ126"/>
      <c r="NYR126"/>
      <c r="NYS126"/>
      <c r="NYT126"/>
      <c r="NYU126"/>
      <c r="NYV126"/>
      <c r="NYW126"/>
      <c r="NYX126"/>
      <c r="NYY126"/>
      <c r="NYZ126"/>
      <c r="NZA126"/>
      <c r="NZB126"/>
      <c r="NZC126"/>
      <c r="NZD126"/>
      <c r="NZE126"/>
      <c r="NZF126"/>
      <c r="NZG126"/>
      <c r="NZH126"/>
      <c r="NZI126"/>
      <c r="NZJ126"/>
      <c r="NZK126"/>
      <c r="NZL126"/>
      <c r="NZM126"/>
      <c r="NZN126"/>
      <c r="NZO126"/>
      <c r="NZP126"/>
      <c r="NZQ126"/>
      <c r="NZR126"/>
      <c r="NZS126"/>
      <c r="NZT126"/>
      <c r="NZU126"/>
      <c r="NZV126"/>
      <c r="NZW126"/>
      <c r="NZX126"/>
      <c r="NZY126"/>
      <c r="NZZ126"/>
      <c r="OAA126"/>
      <c r="OAB126"/>
      <c r="OAC126"/>
      <c r="OAD126"/>
      <c r="OAE126"/>
      <c r="OAF126"/>
      <c r="OAG126"/>
      <c r="OAH126"/>
      <c r="OAI126"/>
      <c r="OAJ126"/>
      <c r="OAK126"/>
      <c r="OAL126"/>
      <c r="OAM126"/>
      <c r="OAN126"/>
      <c r="OAO126"/>
      <c r="OAP126"/>
      <c r="OAQ126"/>
      <c r="OAR126"/>
      <c r="OAS126"/>
      <c r="OAT126"/>
      <c r="OAU126"/>
      <c r="OAV126"/>
      <c r="OAW126"/>
      <c r="OAX126"/>
      <c r="OAY126"/>
      <c r="OAZ126"/>
      <c r="OBA126"/>
      <c r="OBB126"/>
      <c r="OBC126"/>
      <c r="OBD126"/>
      <c r="OBE126"/>
      <c r="OBF126"/>
      <c r="OBG126"/>
      <c r="OBH126"/>
      <c r="OBI126"/>
      <c r="OBJ126"/>
      <c r="OBK126"/>
      <c r="OBL126"/>
      <c r="OBM126"/>
      <c r="OBN126"/>
      <c r="OBO126"/>
      <c r="OBP126"/>
      <c r="OBQ126"/>
      <c r="OBR126"/>
      <c r="OBS126"/>
      <c r="OBT126"/>
      <c r="OBU126"/>
      <c r="OBV126"/>
      <c r="OBW126"/>
      <c r="OBX126"/>
      <c r="OBY126"/>
      <c r="OBZ126"/>
      <c r="OCA126"/>
      <c r="OCB126"/>
      <c r="OCC126"/>
      <c r="OCD126"/>
      <c r="OCE126"/>
      <c r="OCF126"/>
      <c r="OCG126"/>
      <c r="OCH126"/>
      <c r="OCI126"/>
      <c r="OCJ126"/>
      <c r="OCK126"/>
      <c r="OCL126"/>
      <c r="OCM126"/>
      <c r="OCN126"/>
      <c r="OCO126"/>
      <c r="OCP126"/>
      <c r="OCQ126"/>
      <c r="OCR126"/>
      <c r="OCS126"/>
      <c r="OCT126"/>
      <c r="OCU126"/>
      <c r="OCV126"/>
      <c r="OCW126"/>
      <c r="OCX126"/>
      <c r="OCY126"/>
      <c r="OCZ126"/>
      <c r="ODA126"/>
      <c r="ODB126"/>
      <c r="ODC126"/>
      <c r="ODD126"/>
      <c r="ODE126"/>
      <c r="ODF126"/>
      <c r="ODG126"/>
      <c r="ODH126"/>
      <c r="ODI126"/>
      <c r="ODJ126"/>
      <c r="ODK126"/>
      <c r="ODL126"/>
      <c r="ODM126"/>
      <c r="ODN126"/>
      <c r="ODO126"/>
      <c r="ODP126"/>
      <c r="ODQ126"/>
      <c r="ODR126"/>
      <c r="ODS126"/>
      <c r="ODT126"/>
      <c r="ODU126"/>
      <c r="ODV126"/>
      <c r="ODW126"/>
      <c r="ODX126"/>
      <c r="ODY126"/>
      <c r="ODZ126"/>
      <c r="OEA126"/>
      <c r="OEB126"/>
      <c r="OEC126"/>
      <c r="OED126"/>
      <c r="OEE126"/>
      <c r="OEF126"/>
      <c r="OEG126"/>
      <c r="OEH126"/>
      <c r="OEI126"/>
      <c r="OEJ126"/>
      <c r="OEK126"/>
      <c r="OEL126"/>
      <c r="OEM126"/>
      <c r="OEN126"/>
      <c r="OEO126"/>
      <c r="OEP126"/>
      <c r="OEQ126"/>
      <c r="OER126"/>
      <c r="OES126"/>
      <c r="OET126"/>
      <c r="OEU126"/>
      <c r="OEV126"/>
      <c r="OEW126"/>
      <c r="OEX126"/>
      <c r="OEY126"/>
      <c r="OEZ126"/>
      <c r="OFA126"/>
      <c r="OFB126"/>
      <c r="OFC126"/>
      <c r="OFD126"/>
      <c r="OFE126"/>
      <c r="OFF126"/>
      <c r="OFG126"/>
      <c r="OFH126"/>
      <c r="OFI126"/>
      <c r="OFJ126"/>
      <c r="OFK126"/>
      <c r="OFL126"/>
      <c r="OFM126"/>
      <c r="OFN126"/>
      <c r="OFO126"/>
      <c r="OFP126"/>
      <c r="OFQ126"/>
      <c r="OFR126"/>
      <c r="OFS126"/>
      <c r="OFT126"/>
      <c r="OFU126"/>
      <c r="OFV126"/>
      <c r="OFW126"/>
      <c r="OFX126"/>
      <c r="OFY126"/>
      <c r="OFZ126"/>
      <c r="OGA126"/>
      <c r="OGB126"/>
      <c r="OGC126"/>
      <c r="OGD126"/>
      <c r="OGE126"/>
      <c r="OGF126"/>
      <c r="OGG126"/>
      <c r="OGH126"/>
      <c r="OGI126"/>
      <c r="OGJ126"/>
      <c r="OGK126"/>
      <c r="OGL126"/>
      <c r="OGM126"/>
      <c r="OGN126"/>
      <c r="OGO126"/>
      <c r="OGP126"/>
      <c r="OGQ126"/>
      <c r="OGR126"/>
      <c r="OGS126"/>
      <c r="OGT126"/>
      <c r="OGU126"/>
      <c r="OGV126"/>
      <c r="OGW126"/>
      <c r="OGX126"/>
      <c r="OGY126"/>
      <c r="OGZ126"/>
      <c r="OHA126"/>
      <c r="OHB126"/>
      <c r="OHC126"/>
      <c r="OHD126"/>
      <c r="OHE126"/>
      <c r="OHF126"/>
      <c r="OHG126"/>
      <c r="OHH126"/>
      <c r="OHI126"/>
      <c r="OHJ126"/>
      <c r="OHK126"/>
      <c r="OHL126"/>
      <c r="OHM126"/>
      <c r="OHN126"/>
      <c r="OHO126"/>
      <c r="OHP126"/>
      <c r="OHQ126"/>
      <c r="OHR126"/>
      <c r="OHS126"/>
      <c r="OHT126"/>
      <c r="OHU126"/>
      <c r="OHV126"/>
      <c r="OHW126"/>
      <c r="OHX126"/>
      <c r="OHY126"/>
      <c r="OHZ126"/>
      <c r="OIA126"/>
      <c r="OIB126"/>
      <c r="OIC126"/>
      <c r="OID126"/>
      <c r="OIE126"/>
      <c r="OIF126"/>
      <c r="OIG126"/>
      <c r="OIH126"/>
      <c r="OII126"/>
      <c r="OIJ126"/>
      <c r="OIK126"/>
      <c r="OIL126"/>
      <c r="OIM126"/>
      <c r="OIN126"/>
      <c r="OIO126"/>
      <c r="OIP126"/>
      <c r="OIQ126"/>
      <c r="OIR126"/>
      <c r="OIS126"/>
      <c r="OIT126"/>
      <c r="OIU126"/>
      <c r="OIV126"/>
      <c r="OIW126"/>
      <c r="OIX126"/>
      <c r="OIY126"/>
      <c r="OIZ126"/>
      <c r="OJA126"/>
      <c r="OJB126"/>
      <c r="OJC126"/>
      <c r="OJD126"/>
      <c r="OJE126"/>
      <c r="OJF126"/>
      <c r="OJG126"/>
      <c r="OJH126"/>
      <c r="OJI126"/>
      <c r="OJJ126"/>
      <c r="OJK126"/>
      <c r="OJL126"/>
      <c r="OJM126"/>
      <c r="OJN126"/>
      <c r="OJO126"/>
      <c r="OJP126"/>
      <c r="OJQ126"/>
      <c r="OJR126"/>
      <c r="OJS126"/>
      <c r="OJT126"/>
      <c r="OJU126"/>
      <c r="OJV126"/>
      <c r="OJW126"/>
      <c r="OJX126"/>
      <c r="OJY126"/>
      <c r="OJZ126"/>
      <c r="OKA126"/>
      <c r="OKB126"/>
      <c r="OKC126"/>
      <c r="OKD126"/>
      <c r="OKE126"/>
      <c r="OKF126"/>
      <c r="OKG126"/>
      <c r="OKH126"/>
      <c r="OKI126"/>
      <c r="OKJ126"/>
      <c r="OKK126"/>
      <c r="OKL126"/>
      <c r="OKM126"/>
      <c r="OKN126"/>
      <c r="OKO126"/>
      <c r="OKP126"/>
      <c r="OKQ126"/>
      <c r="OKR126"/>
      <c r="OKS126"/>
      <c r="OKT126"/>
      <c r="OKU126"/>
      <c r="OKV126"/>
      <c r="OKW126"/>
      <c r="OKX126"/>
      <c r="OKY126"/>
      <c r="OKZ126"/>
      <c r="OLA126"/>
      <c r="OLB126"/>
      <c r="OLC126"/>
      <c r="OLD126"/>
      <c r="OLE126"/>
      <c r="OLF126"/>
      <c r="OLG126"/>
      <c r="OLH126"/>
      <c r="OLI126"/>
      <c r="OLJ126"/>
      <c r="OLK126"/>
      <c r="OLL126"/>
      <c r="OLM126"/>
      <c r="OLN126"/>
      <c r="OLO126"/>
      <c r="OLP126"/>
      <c r="OLQ126"/>
      <c r="OLR126"/>
      <c r="OLS126"/>
      <c r="OLT126"/>
      <c r="OLU126"/>
      <c r="OLV126"/>
      <c r="OLW126"/>
      <c r="OLX126"/>
      <c r="OLY126"/>
      <c r="OLZ126"/>
      <c r="OMA126"/>
      <c r="OMB126"/>
      <c r="OMC126"/>
      <c r="OMD126"/>
      <c r="OME126"/>
      <c r="OMF126"/>
      <c r="OMG126"/>
      <c r="OMH126"/>
      <c r="OMI126"/>
      <c r="OMJ126"/>
      <c r="OMK126"/>
      <c r="OML126"/>
      <c r="OMM126"/>
      <c r="OMN126"/>
      <c r="OMO126"/>
      <c r="OMP126"/>
      <c r="OMQ126"/>
      <c r="OMR126"/>
      <c r="OMS126"/>
      <c r="OMT126"/>
      <c r="OMU126"/>
      <c r="OMV126"/>
      <c r="OMW126"/>
      <c r="OMX126"/>
      <c r="OMY126"/>
      <c r="OMZ126"/>
      <c r="ONA126"/>
      <c r="ONB126"/>
      <c r="ONC126"/>
      <c r="OND126"/>
      <c r="ONE126"/>
      <c r="ONF126"/>
      <c r="ONG126"/>
      <c r="ONH126"/>
      <c r="ONI126"/>
      <c r="ONJ126"/>
      <c r="ONK126"/>
      <c r="ONL126"/>
      <c r="ONM126"/>
      <c r="ONN126"/>
      <c r="ONO126"/>
      <c r="ONP126"/>
      <c r="ONQ126"/>
      <c r="ONR126"/>
      <c r="ONS126"/>
      <c r="ONT126"/>
      <c r="ONU126"/>
      <c r="ONV126"/>
      <c r="ONW126"/>
      <c r="ONX126"/>
      <c r="ONY126"/>
      <c r="ONZ126"/>
      <c r="OOA126"/>
      <c r="OOB126"/>
      <c r="OOC126"/>
      <c r="OOD126"/>
      <c r="OOE126"/>
      <c r="OOF126"/>
      <c r="OOG126"/>
      <c r="OOH126"/>
      <c r="OOI126"/>
      <c r="OOJ126"/>
      <c r="OOK126"/>
      <c r="OOL126"/>
      <c r="OOM126"/>
      <c r="OON126"/>
      <c r="OOO126"/>
      <c r="OOP126"/>
      <c r="OOQ126"/>
      <c r="OOR126"/>
      <c r="OOS126"/>
      <c r="OOT126"/>
      <c r="OOU126"/>
      <c r="OOV126"/>
      <c r="OOW126"/>
      <c r="OOX126"/>
      <c r="OOY126"/>
      <c r="OOZ126"/>
      <c r="OPA126"/>
      <c r="OPB126"/>
      <c r="OPC126"/>
      <c r="OPD126"/>
      <c r="OPE126"/>
      <c r="OPF126"/>
      <c r="OPG126"/>
      <c r="OPH126"/>
      <c r="OPI126"/>
      <c r="OPJ126"/>
      <c r="OPK126"/>
      <c r="OPL126"/>
      <c r="OPM126"/>
      <c r="OPN126"/>
      <c r="OPO126"/>
      <c r="OPP126"/>
      <c r="OPQ126"/>
      <c r="OPR126"/>
      <c r="OPS126"/>
      <c r="OPT126"/>
      <c r="OPU126"/>
      <c r="OPV126"/>
      <c r="OPW126"/>
      <c r="OPX126"/>
      <c r="OPY126"/>
      <c r="OPZ126"/>
      <c r="OQA126"/>
      <c r="OQB126"/>
      <c r="OQC126"/>
      <c r="OQD126"/>
      <c r="OQE126"/>
      <c r="OQF126"/>
      <c r="OQG126"/>
      <c r="OQH126"/>
      <c r="OQI126"/>
      <c r="OQJ126"/>
      <c r="OQK126"/>
      <c r="OQL126"/>
      <c r="OQM126"/>
      <c r="OQN126"/>
      <c r="OQO126"/>
      <c r="OQP126"/>
      <c r="OQQ126"/>
      <c r="OQR126"/>
      <c r="OQS126"/>
      <c r="OQT126"/>
      <c r="OQU126"/>
      <c r="OQV126"/>
      <c r="OQW126"/>
      <c r="OQX126"/>
      <c r="OQY126"/>
      <c r="OQZ126"/>
      <c r="ORA126"/>
      <c r="ORB126"/>
      <c r="ORC126"/>
      <c r="ORD126"/>
      <c r="ORE126"/>
      <c r="ORF126"/>
      <c r="ORG126"/>
      <c r="ORH126"/>
      <c r="ORI126"/>
      <c r="ORJ126"/>
      <c r="ORK126"/>
      <c r="ORL126"/>
      <c r="ORM126"/>
      <c r="ORN126"/>
      <c r="ORO126"/>
      <c r="ORP126"/>
      <c r="ORQ126"/>
      <c r="ORR126"/>
      <c r="ORS126"/>
      <c r="ORT126"/>
      <c r="ORU126"/>
      <c r="ORV126"/>
      <c r="ORW126"/>
      <c r="ORX126"/>
      <c r="ORY126"/>
      <c r="ORZ126"/>
      <c r="OSA126"/>
      <c r="OSB126"/>
      <c r="OSC126"/>
      <c r="OSD126"/>
      <c r="OSE126"/>
      <c r="OSF126"/>
      <c r="OSG126"/>
      <c r="OSH126"/>
      <c r="OSI126"/>
      <c r="OSJ126"/>
      <c r="OSK126"/>
      <c r="OSL126"/>
      <c r="OSM126"/>
      <c r="OSN126"/>
      <c r="OSO126"/>
      <c r="OSP126"/>
      <c r="OSQ126"/>
      <c r="OSR126"/>
      <c r="OSS126"/>
      <c r="OST126"/>
      <c r="OSU126"/>
      <c r="OSV126"/>
      <c r="OSW126"/>
      <c r="OSX126"/>
      <c r="OSY126"/>
      <c r="OSZ126"/>
      <c r="OTA126"/>
      <c r="OTB126"/>
      <c r="OTC126"/>
      <c r="OTD126"/>
      <c r="OTE126"/>
      <c r="OTF126"/>
      <c r="OTG126"/>
      <c r="OTH126"/>
      <c r="OTI126"/>
      <c r="OTJ126"/>
      <c r="OTK126"/>
      <c r="OTL126"/>
      <c r="OTM126"/>
      <c r="OTN126"/>
      <c r="OTO126"/>
      <c r="OTP126"/>
      <c r="OTQ126"/>
      <c r="OTR126"/>
      <c r="OTS126"/>
      <c r="OTT126"/>
      <c r="OTU126"/>
      <c r="OTV126"/>
      <c r="OTW126"/>
      <c r="OTX126"/>
      <c r="OTY126"/>
      <c r="OTZ126"/>
      <c r="OUA126"/>
      <c r="OUB126"/>
      <c r="OUC126"/>
      <c r="OUD126"/>
      <c r="OUE126"/>
      <c r="OUF126"/>
      <c r="OUG126"/>
      <c r="OUH126"/>
      <c r="OUI126"/>
      <c r="OUJ126"/>
      <c r="OUK126"/>
      <c r="OUL126"/>
      <c r="OUM126"/>
      <c r="OUN126"/>
      <c r="OUO126"/>
      <c r="OUP126"/>
      <c r="OUQ126"/>
      <c r="OUR126"/>
      <c r="OUS126"/>
      <c r="OUT126"/>
      <c r="OUU126"/>
      <c r="OUV126"/>
      <c r="OUW126"/>
      <c r="OUX126"/>
      <c r="OUY126"/>
      <c r="OUZ126"/>
      <c r="OVA126"/>
      <c r="OVB126"/>
      <c r="OVC126"/>
      <c r="OVD126"/>
      <c r="OVE126"/>
      <c r="OVF126"/>
      <c r="OVG126"/>
      <c r="OVH126"/>
      <c r="OVI126"/>
      <c r="OVJ126"/>
      <c r="OVK126"/>
      <c r="OVL126"/>
      <c r="OVM126"/>
      <c r="OVN126"/>
      <c r="OVO126"/>
      <c r="OVP126"/>
      <c r="OVQ126"/>
      <c r="OVR126"/>
      <c r="OVS126"/>
      <c r="OVT126"/>
      <c r="OVU126"/>
      <c r="OVV126"/>
      <c r="OVW126"/>
      <c r="OVX126"/>
      <c r="OVY126"/>
      <c r="OVZ126"/>
      <c r="OWA126"/>
      <c r="OWB126"/>
      <c r="OWC126"/>
      <c r="OWD126"/>
      <c r="OWE126"/>
      <c r="OWF126"/>
      <c r="OWG126"/>
      <c r="OWH126"/>
      <c r="OWI126"/>
      <c r="OWJ126"/>
      <c r="OWK126"/>
      <c r="OWL126"/>
      <c r="OWM126"/>
      <c r="OWN126"/>
      <c r="OWO126"/>
      <c r="OWP126"/>
      <c r="OWQ126"/>
      <c r="OWR126"/>
      <c r="OWS126"/>
      <c r="OWT126"/>
      <c r="OWU126"/>
      <c r="OWV126"/>
      <c r="OWW126"/>
      <c r="OWX126"/>
      <c r="OWY126"/>
      <c r="OWZ126"/>
      <c r="OXA126"/>
      <c r="OXB126"/>
      <c r="OXC126"/>
      <c r="OXD126"/>
      <c r="OXE126"/>
      <c r="OXF126"/>
      <c r="OXG126"/>
      <c r="OXH126"/>
      <c r="OXI126"/>
      <c r="OXJ126"/>
      <c r="OXK126"/>
      <c r="OXL126"/>
      <c r="OXM126"/>
      <c r="OXN126"/>
      <c r="OXO126"/>
      <c r="OXP126"/>
      <c r="OXQ126"/>
      <c r="OXR126"/>
      <c r="OXS126"/>
      <c r="OXT126"/>
      <c r="OXU126"/>
      <c r="OXV126"/>
      <c r="OXW126"/>
      <c r="OXX126"/>
      <c r="OXY126"/>
      <c r="OXZ126"/>
      <c r="OYA126"/>
      <c r="OYB126"/>
      <c r="OYC126"/>
      <c r="OYD126"/>
      <c r="OYE126"/>
      <c r="OYF126"/>
      <c r="OYG126"/>
      <c r="OYH126"/>
      <c r="OYI126"/>
      <c r="OYJ126"/>
      <c r="OYK126"/>
      <c r="OYL126"/>
      <c r="OYM126"/>
      <c r="OYN126"/>
      <c r="OYO126"/>
      <c r="OYP126"/>
      <c r="OYQ126"/>
      <c r="OYR126"/>
      <c r="OYS126"/>
      <c r="OYT126"/>
      <c r="OYU126"/>
      <c r="OYV126"/>
      <c r="OYW126"/>
      <c r="OYX126"/>
      <c r="OYY126"/>
      <c r="OYZ126"/>
      <c r="OZA126"/>
      <c r="OZB126"/>
      <c r="OZC126"/>
      <c r="OZD126"/>
      <c r="OZE126"/>
      <c r="OZF126"/>
      <c r="OZG126"/>
      <c r="OZH126"/>
      <c r="OZI126"/>
      <c r="OZJ126"/>
      <c r="OZK126"/>
      <c r="OZL126"/>
      <c r="OZM126"/>
      <c r="OZN126"/>
      <c r="OZO126"/>
      <c r="OZP126"/>
      <c r="OZQ126"/>
      <c r="OZR126"/>
      <c r="OZS126"/>
      <c r="OZT126"/>
      <c r="OZU126"/>
      <c r="OZV126"/>
      <c r="OZW126"/>
      <c r="OZX126"/>
      <c r="OZY126"/>
      <c r="OZZ126"/>
      <c r="PAA126"/>
      <c r="PAB126"/>
      <c r="PAC126"/>
      <c r="PAD126"/>
      <c r="PAE126"/>
      <c r="PAF126"/>
      <c r="PAG126"/>
      <c r="PAH126"/>
      <c r="PAI126"/>
      <c r="PAJ126"/>
      <c r="PAK126"/>
      <c r="PAL126"/>
      <c r="PAM126"/>
      <c r="PAN126"/>
      <c r="PAO126"/>
      <c r="PAP126"/>
      <c r="PAQ126"/>
      <c r="PAR126"/>
      <c r="PAS126"/>
      <c r="PAT126"/>
      <c r="PAU126"/>
      <c r="PAV126"/>
      <c r="PAW126"/>
      <c r="PAX126"/>
      <c r="PAY126"/>
      <c r="PAZ126"/>
      <c r="PBA126"/>
      <c r="PBB126"/>
      <c r="PBC126"/>
      <c r="PBD126"/>
      <c r="PBE126"/>
      <c r="PBF126"/>
      <c r="PBG126"/>
      <c r="PBH126"/>
      <c r="PBI126"/>
      <c r="PBJ126"/>
      <c r="PBK126"/>
      <c r="PBL126"/>
      <c r="PBM126"/>
      <c r="PBN126"/>
      <c r="PBO126"/>
      <c r="PBP126"/>
      <c r="PBQ126"/>
      <c r="PBR126"/>
      <c r="PBS126"/>
      <c r="PBT126"/>
      <c r="PBU126"/>
      <c r="PBV126"/>
      <c r="PBW126"/>
      <c r="PBX126"/>
      <c r="PBY126"/>
      <c r="PBZ126"/>
      <c r="PCA126"/>
      <c r="PCB126"/>
      <c r="PCC126"/>
      <c r="PCD126"/>
      <c r="PCE126"/>
      <c r="PCF126"/>
      <c r="PCG126"/>
      <c r="PCH126"/>
      <c r="PCI126"/>
      <c r="PCJ126"/>
      <c r="PCK126"/>
      <c r="PCL126"/>
      <c r="PCM126"/>
      <c r="PCN126"/>
      <c r="PCO126"/>
      <c r="PCP126"/>
      <c r="PCQ126"/>
      <c r="PCR126"/>
      <c r="PCS126"/>
      <c r="PCT126"/>
      <c r="PCU126"/>
      <c r="PCV126"/>
      <c r="PCW126"/>
      <c r="PCX126"/>
      <c r="PCY126"/>
      <c r="PCZ126"/>
      <c r="PDA126"/>
      <c r="PDB126"/>
      <c r="PDC126"/>
      <c r="PDD126"/>
      <c r="PDE126"/>
      <c r="PDF126"/>
      <c r="PDG126"/>
      <c r="PDH126"/>
      <c r="PDI126"/>
      <c r="PDJ126"/>
      <c r="PDK126"/>
      <c r="PDL126"/>
      <c r="PDM126"/>
      <c r="PDN126"/>
      <c r="PDO126"/>
      <c r="PDP126"/>
      <c r="PDQ126"/>
      <c r="PDR126"/>
      <c r="PDS126"/>
      <c r="PDT126"/>
      <c r="PDU126"/>
      <c r="PDV126"/>
      <c r="PDW126"/>
      <c r="PDX126"/>
      <c r="PDY126"/>
      <c r="PDZ126"/>
      <c r="PEA126"/>
      <c r="PEB126"/>
      <c r="PEC126"/>
      <c r="PED126"/>
      <c r="PEE126"/>
      <c r="PEF126"/>
      <c r="PEG126"/>
      <c r="PEH126"/>
      <c r="PEI126"/>
      <c r="PEJ126"/>
      <c r="PEK126"/>
      <c r="PEL126"/>
      <c r="PEM126"/>
      <c r="PEN126"/>
      <c r="PEO126"/>
      <c r="PEP126"/>
      <c r="PEQ126"/>
      <c r="PER126"/>
      <c r="PES126"/>
      <c r="PET126"/>
      <c r="PEU126"/>
      <c r="PEV126"/>
      <c r="PEW126"/>
      <c r="PEX126"/>
      <c r="PEY126"/>
      <c r="PEZ126"/>
      <c r="PFA126"/>
      <c r="PFB126"/>
      <c r="PFC126"/>
      <c r="PFD126"/>
      <c r="PFE126"/>
      <c r="PFF126"/>
      <c r="PFG126"/>
      <c r="PFH126"/>
      <c r="PFI126"/>
      <c r="PFJ126"/>
      <c r="PFK126"/>
      <c r="PFL126"/>
      <c r="PFM126"/>
      <c r="PFN126"/>
      <c r="PFO126"/>
      <c r="PFP126"/>
      <c r="PFQ126"/>
      <c r="PFR126"/>
      <c r="PFS126"/>
      <c r="PFT126"/>
      <c r="PFU126"/>
      <c r="PFV126"/>
      <c r="PFW126"/>
      <c r="PFX126"/>
      <c r="PFY126"/>
      <c r="PFZ126"/>
      <c r="PGA126"/>
      <c r="PGB126"/>
      <c r="PGC126"/>
      <c r="PGD126"/>
      <c r="PGE126"/>
      <c r="PGF126"/>
      <c r="PGG126"/>
      <c r="PGH126"/>
      <c r="PGI126"/>
      <c r="PGJ126"/>
      <c r="PGK126"/>
      <c r="PGL126"/>
      <c r="PGM126"/>
      <c r="PGN126"/>
      <c r="PGO126"/>
      <c r="PGP126"/>
      <c r="PGQ126"/>
      <c r="PGR126"/>
      <c r="PGS126"/>
      <c r="PGT126"/>
      <c r="PGU126"/>
      <c r="PGV126"/>
      <c r="PGW126"/>
      <c r="PGX126"/>
      <c r="PGY126"/>
      <c r="PGZ126"/>
      <c r="PHA126"/>
      <c r="PHB126"/>
      <c r="PHC126"/>
      <c r="PHD126"/>
      <c r="PHE126"/>
      <c r="PHF126"/>
      <c r="PHG126"/>
      <c r="PHH126"/>
      <c r="PHI126"/>
      <c r="PHJ126"/>
      <c r="PHK126"/>
      <c r="PHL126"/>
      <c r="PHM126"/>
      <c r="PHN126"/>
      <c r="PHO126"/>
      <c r="PHP126"/>
      <c r="PHQ126"/>
      <c r="PHR126"/>
      <c r="PHS126"/>
      <c r="PHT126"/>
      <c r="PHU126"/>
      <c r="PHV126"/>
      <c r="PHW126"/>
      <c r="PHX126"/>
      <c r="PHY126"/>
      <c r="PHZ126"/>
      <c r="PIA126"/>
      <c r="PIB126"/>
      <c r="PIC126"/>
      <c r="PID126"/>
      <c r="PIE126"/>
      <c r="PIF126"/>
      <c r="PIG126"/>
      <c r="PIH126"/>
      <c r="PII126"/>
      <c r="PIJ126"/>
      <c r="PIK126"/>
      <c r="PIL126"/>
      <c r="PIM126"/>
      <c r="PIN126"/>
      <c r="PIO126"/>
      <c r="PIP126"/>
      <c r="PIQ126"/>
      <c r="PIR126"/>
      <c r="PIS126"/>
      <c r="PIT126"/>
      <c r="PIU126"/>
      <c r="PIV126"/>
      <c r="PIW126"/>
      <c r="PIX126"/>
      <c r="PIY126"/>
      <c r="PIZ126"/>
      <c r="PJA126"/>
      <c r="PJB126"/>
      <c r="PJC126"/>
      <c r="PJD126"/>
      <c r="PJE126"/>
      <c r="PJF126"/>
      <c r="PJG126"/>
      <c r="PJH126"/>
      <c r="PJI126"/>
      <c r="PJJ126"/>
      <c r="PJK126"/>
      <c r="PJL126"/>
      <c r="PJM126"/>
      <c r="PJN126"/>
      <c r="PJO126"/>
      <c r="PJP126"/>
      <c r="PJQ126"/>
      <c r="PJR126"/>
      <c r="PJS126"/>
      <c r="PJT126"/>
      <c r="PJU126"/>
      <c r="PJV126"/>
      <c r="PJW126"/>
      <c r="PJX126"/>
      <c r="PJY126"/>
      <c r="PJZ126"/>
      <c r="PKA126"/>
      <c r="PKB126"/>
      <c r="PKC126"/>
      <c r="PKD126"/>
      <c r="PKE126"/>
      <c r="PKF126"/>
      <c r="PKG126"/>
      <c r="PKH126"/>
      <c r="PKI126"/>
      <c r="PKJ126"/>
      <c r="PKK126"/>
      <c r="PKL126"/>
      <c r="PKM126"/>
      <c r="PKN126"/>
      <c r="PKO126"/>
      <c r="PKP126"/>
      <c r="PKQ126"/>
      <c r="PKR126"/>
      <c r="PKS126"/>
      <c r="PKT126"/>
      <c r="PKU126"/>
      <c r="PKV126"/>
      <c r="PKW126"/>
      <c r="PKX126"/>
      <c r="PKY126"/>
      <c r="PKZ126"/>
      <c r="PLA126"/>
      <c r="PLB126"/>
      <c r="PLC126"/>
      <c r="PLD126"/>
      <c r="PLE126"/>
      <c r="PLF126"/>
      <c r="PLG126"/>
      <c r="PLH126"/>
      <c r="PLI126"/>
      <c r="PLJ126"/>
      <c r="PLK126"/>
      <c r="PLL126"/>
      <c r="PLM126"/>
      <c r="PLN126"/>
      <c r="PLO126"/>
      <c r="PLP126"/>
      <c r="PLQ126"/>
      <c r="PLR126"/>
      <c r="PLS126"/>
      <c r="PLT126"/>
      <c r="PLU126"/>
      <c r="PLV126"/>
      <c r="PLW126"/>
      <c r="PLX126"/>
      <c r="PLY126"/>
      <c r="PLZ126"/>
      <c r="PMA126"/>
      <c r="PMB126"/>
      <c r="PMC126"/>
      <c r="PMD126"/>
      <c r="PME126"/>
      <c r="PMF126"/>
      <c r="PMG126"/>
      <c r="PMH126"/>
      <c r="PMI126"/>
      <c r="PMJ126"/>
      <c r="PMK126"/>
      <c r="PML126"/>
      <c r="PMM126"/>
      <c r="PMN126"/>
      <c r="PMO126"/>
      <c r="PMP126"/>
      <c r="PMQ126"/>
      <c r="PMR126"/>
      <c r="PMS126"/>
      <c r="PMT126"/>
      <c r="PMU126"/>
      <c r="PMV126"/>
      <c r="PMW126"/>
      <c r="PMX126"/>
      <c r="PMY126"/>
      <c r="PMZ126"/>
      <c r="PNA126"/>
      <c r="PNB126"/>
      <c r="PNC126"/>
      <c r="PND126"/>
      <c r="PNE126"/>
      <c r="PNF126"/>
      <c r="PNG126"/>
      <c r="PNH126"/>
      <c r="PNI126"/>
      <c r="PNJ126"/>
      <c r="PNK126"/>
      <c r="PNL126"/>
      <c r="PNM126"/>
      <c r="PNN126"/>
      <c r="PNO126"/>
      <c r="PNP126"/>
      <c r="PNQ126"/>
      <c r="PNR126"/>
      <c r="PNS126"/>
      <c r="PNT126"/>
      <c r="PNU126"/>
      <c r="PNV126"/>
      <c r="PNW126"/>
      <c r="PNX126"/>
      <c r="PNY126"/>
      <c r="PNZ126"/>
      <c r="POA126"/>
      <c r="POB126"/>
      <c r="POC126"/>
      <c r="POD126"/>
      <c r="POE126"/>
      <c r="POF126"/>
      <c r="POG126"/>
      <c r="POH126"/>
      <c r="POI126"/>
      <c r="POJ126"/>
      <c r="POK126"/>
      <c r="POL126"/>
      <c r="POM126"/>
      <c r="PON126"/>
      <c r="POO126"/>
      <c r="POP126"/>
      <c r="POQ126"/>
      <c r="POR126"/>
      <c r="POS126"/>
      <c r="POT126"/>
      <c r="POU126"/>
      <c r="POV126"/>
      <c r="POW126"/>
      <c r="POX126"/>
      <c r="POY126"/>
      <c r="POZ126"/>
      <c r="PPA126"/>
      <c r="PPB126"/>
      <c r="PPC126"/>
      <c r="PPD126"/>
      <c r="PPE126"/>
      <c r="PPF126"/>
      <c r="PPG126"/>
      <c r="PPH126"/>
      <c r="PPI126"/>
      <c r="PPJ126"/>
      <c r="PPK126"/>
      <c r="PPL126"/>
      <c r="PPM126"/>
      <c r="PPN126"/>
      <c r="PPO126"/>
      <c r="PPP126"/>
      <c r="PPQ126"/>
      <c r="PPR126"/>
      <c r="PPS126"/>
      <c r="PPT126"/>
      <c r="PPU126"/>
      <c r="PPV126"/>
      <c r="PPW126"/>
      <c r="PPX126"/>
      <c r="PPY126"/>
      <c r="PPZ126"/>
      <c r="PQA126"/>
      <c r="PQB126"/>
      <c r="PQC126"/>
      <c r="PQD126"/>
      <c r="PQE126"/>
      <c r="PQF126"/>
      <c r="PQG126"/>
      <c r="PQH126"/>
      <c r="PQI126"/>
      <c r="PQJ126"/>
      <c r="PQK126"/>
      <c r="PQL126"/>
      <c r="PQM126"/>
      <c r="PQN126"/>
      <c r="PQO126"/>
      <c r="PQP126"/>
      <c r="PQQ126"/>
      <c r="PQR126"/>
      <c r="PQS126"/>
      <c r="PQT126"/>
      <c r="PQU126"/>
      <c r="PQV126"/>
      <c r="PQW126"/>
      <c r="PQX126"/>
      <c r="PQY126"/>
      <c r="PQZ126"/>
      <c r="PRA126"/>
      <c r="PRB126"/>
      <c r="PRC126"/>
      <c r="PRD126"/>
      <c r="PRE126"/>
      <c r="PRF126"/>
      <c r="PRG126"/>
      <c r="PRH126"/>
      <c r="PRI126"/>
      <c r="PRJ126"/>
      <c r="PRK126"/>
      <c r="PRL126"/>
      <c r="PRM126"/>
      <c r="PRN126"/>
      <c r="PRO126"/>
      <c r="PRP126"/>
      <c r="PRQ126"/>
      <c r="PRR126"/>
      <c r="PRS126"/>
      <c r="PRT126"/>
      <c r="PRU126"/>
      <c r="PRV126"/>
      <c r="PRW126"/>
      <c r="PRX126"/>
      <c r="PRY126"/>
      <c r="PRZ126"/>
      <c r="PSA126"/>
      <c r="PSB126"/>
      <c r="PSC126"/>
      <c r="PSD126"/>
      <c r="PSE126"/>
      <c r="PSF126"/>
      <c r="PSG126"/>
      <c r="PSH126"/>
      <c r="PSI126"/>
      <c r="PSJ126"/>
      <c r="PSK126"/>
      <c r="PSL126"/>
      <c r="PSM126"/>
      <c r="PSN126"/>
      <c r="PSO126"/>
      <c r="PSP126"/>
      <c r="PSQ126"/>
      <c r="PSR126"/>
      <c r="PSS126"/>
      <c r="PST126"/>
      <c r="PSU126"/>
      <c r="PSV126"/>
      <c r="PSW126"/>
      <c r="PSX126"/>
      <c r="PSY126"/>
      <c r="PSZ126"/>
      <c r="PTA126"/>
      <c r="PTB126"/>
      <c r="PTC126"/>
      <c r="PTD126"/>
      <c r="PTE126"/>
      <c r="PTF126"/>
      <c r="PTG126"/>
      <c r="PTH126"/>
      <c r="PTI126"/>
      <c r="PTJ126"/>
      <c r="PTK126"/>
      <c r="PTL126"/>
      <c r="PTM126"/>
      <c r="PTN126"/>
      <c r="PTO126"/>
      <c r="PTP126"/>
      <c r="PTQ126"/>
      <c r="PTR126"/>
      <c r="PTS126"/>
      <c r="PTT126"/>
      <c r="PTU126"/>
      <c r="PTV126"/>
      <c r="PTW126"/>
      <c r="PTX126"/>
      <c r="PTY126"/>
      <c r="PTZ126"/>
      <c r="PUA126"/>
      <c r="PUB126"/>
      <c r="PUC126"/>
      <c r="PUD126"/>
      <c r="PUE126"/>
      <c r="PUF126"/>
      <c r="PUG126"/>
      <c r="PUH126"/>
      <c r="PUI126"/>
      <c r="PUJ126"/>
      <c r="PUK126"/>
      <c r="PUL126"/>
      <c r="PUM126"/>
      <c r="PUN126"/>
      <c r="PUO126"/>
      <c r="PUP126"/>
      <c r="PUQ126"/>
      <c r="PUR126"/>
      <c r="PUS126"/>
      <c r="PUT126"/>
      <c r="PUU126"/>
      <c r="PUV126"/>
      <c r="PUW126"/>
      <c r="PUX126"/>
      <c r="PUY126"/>
      <c r="PUZ126"/>
      <c r="PVA126"/>
      <c r="PVB126"/>
      <c r="PVC126"/>
      <c r="PVD126"/>
      <c r="PVE126"/>
      <c r="PVF126"/>
      <c r="PVG126"/>
      <c r="PVH126"/>
      <c r="PVI126"/>
      <c r="PVJ126"/>
      <c r="PVK126"/>
      <c r="PVL126"/>
      <c r="PVM126"/>
      <c r="PVN126"/>
      <c r="PVO126"/>
      <c r="PVP126"/>
      <c r="PVQ126"/>
      <c r="PVR126"/>
      <c r="PVS126"/>
      <c r="PVT126"/>
      <c r="PVU126"/>
      <c r="PVV126"/>
      <c r="PVW126"/>
      <c r="PVX126"/>
      <c r="PVY126"/>
      <c r="PVZ126"/>
      <c r="PWA126"/>
      <c r="PWB126"/>
      <c r="PWC126"/>
      <c r="PWD126"/>
      <c r="PWE126"/>
      <c r="PWF126"/>
      <c r="PWG126"/>
      <c r="PWH126"/>
      <c r="PWI126"/>
      <c r="PWJ126"/>
      <c r="PWK126"/>
      <c r="PWL126"/>
      <c r="PWM126"/>
      <c r="PWN126"/>
      <c r="PWO126"/>
      <c r="PWP126"/>
      <c r="PWQ126"/>
      <c r="PWR126"/>
      <c r="PWS126"/>
      <c r="PWT126"/>
      <c r="PWU126"/>
      <c r="PWV126"/>
      <c r="PWW126"/>
      <c r="PWX126"/>
      <c r="PWY126"/>
      <c r="PWZ126"/>
      <c r="PXA126"/>
      <c r="PXB126"/>
      <c r="PXC126"/>
      <c r="PXD126"/>
      <c r="PXE126"/>
      <c r="PXF126"/>
      <c r="PXG126"/>
      <c r="PXH126"/>
      <c r="PXI126"/>
      <c r="PXJ126"/>
      <c r="PXK126"/>
      <c r="PXL126"/>
      <c r="PXM126"/>
      <c r="PXN126"/>
      <c r="PXO126"/>
      <c r="PXP126"/>
      <c r="PXQ126"/>
      <c r="PXR126"/>
      <c r="PXS126"/>
      <c r="PXT126"/>
      <c r="PXU126"/>
      <c r="PXV126"/>
      <c r="PXW126"/>
      <c r="PXX126"/>
      <c r="PXY126"/>
      <c r="PXZ126"/>
      <c r="PYA126"/>
      <c r="PYB126"/>
      <c r="PYC126"/>
      <c r="PYD126"/>
      <c r="PYE126"/>
      <c r="PYF126"/>
      <c r="PYG126"/>
      <c r="PYH126"/>
      <c r="PYI126"/>
      <c r="PYJ126"/>
      <c r="PYK126"/>
      <c r="PYL126"/>
      <c r="PYM126"/>
      <c r="PYN126"/>
      <c r="PYO126"/>
      <c r="PYP126"/>
      <c r="PYQ126"/>
      <c r="PYR126"/>
      <c r="PYS126"/>
      <c r="PYT126"/>
      <c r="PYU126"/>
      <c r="PYV126"/>
      <c r="PYW126"/>
      <c r="PYX126"/>
      <c r="PYY126"/>
      <c r="PYZ126"/>
      <c r="PZA126"/>
      <c r="PZB126"/>
      <c r="PZC126"/>
      <c r="PZD126"/>
      <c r="PZE126"/>
      <c r="PZF126"/>
      <c r="PZG126"/>
      <c r="PZH126"/>
      <c r="PZI126"/>
      <c r="PZJ126"/>
      <c r="PZK126"/>
      <c r="PZL126"/>
      <c r="PZM126"/>
      <c r="PZN126"/>
      <c r="PZO126"/>
      <c r="PZP126"/>
      <c r="PZQ126"/>
      <c r="PZR126"/>
      <c r="PZS126"/>
      <c r="PZT126"/>
      <c r="PZU126"/>
      <c r="PZV126"/>
      <c r="PZW126"/>
      <c r="PZX126"/>
      <c r="PZY126"/>
      <c r="PZZ126"/>
      <c r="QAA126"/>
      <c r="QAB126"/>
      <c r="QAC126"/>
      <c r="QAD126"/>
      <c r="QAE126"/>
      <c r="QAF126"/>
      <c r="QAG126"/>
      <c r="QAH126"/>
      <c r="QAI126"/>
      <c r="QAJ126"/>
      <c r="QAK126"/>
      <c r="QAL126"/>
      <c r="QAM126"/>
      <c r="QAN126"/>
      <c r="QAO126"/>
      <c r="QAP126"/>
      <c r="QAQ126"/>
      <c r="QAR126"/>
      <c r="QAS126"/>
      <c r="QAT126"/>
      <c r="QAU126"/>
      <c r="QAV126"/>
      <c r="QAW126"/>
      <c r="QAX126"/>
      <c r="QAY126"/>
      <c r="QAZ126"/>
      <c r="QBA126"/>
      <c r="QBB126"/>
      <c r="QBC126"/>
      <c r="QBD126"/>
      <c r="QBE126"/>
      <c r="QBF126"/>
      <c r="QBG126"/>
      <c r="QBH126"/>
      <c r="QBI126"/>
      <c r="QBJ126"/>
      <c r="QBK126"/>
      <c r="QBL126"/>
      <c r="QBM126"/>
      <c r="QBN126"/>
      <c r="QBO126"/>
      <c r="QBP126"/>
      <c r="QBQ126"/>
      <c r="QBR126"/>
      <c r="QBS126"/>
      <c r="QBT126"/>
      <c r="QBU126"/>
      <c r="QBV126"/>
      <c r="QBW126"/>
      <c r="QBX126"/>
      <c r="QBY126"/>
      <c r="QBZ126"/>
      <c r="QCA126"/>
      <c r="QCB126"/>
      <c r="QCC126"/>
      <c r="QCD126"/>
      <c r="QCE126"/>
      <c r="QCF126"/>
      <c r="QCG126"/>
      <c r="QCH126"/>
      <c r="QCI126"/>
      <c r="QCJ126"/>
      <c r="QCK126"/>
      <c r="QCL126"/>
      <c r="QCM126"/>
      <c r="QCN126"/>
      <c r="QCO126"/>
      <c r="QCP126"/>
      <c r="QCQ126"/>
      <c r="QCR126"/>
      <c r="QCS126"/>
      <c r="QCT126"/>
      <c r="QCU126"/>
      <c r="QCV126"/>
      <c r="QCW126"/>
      <c r="QCX126"/>
      <c r="QCY126"/>
      <c r="QCZ126"/>
      <c r="QDA126"/>
      <c r="QDB126"/>
      <c r="QDC126"/>
      <c r="QDD126"/>
      <c r="QDE126"/>
      <c r="QDF126"/>
      <c r="QDG126"/>
      <c r="QDH126"/>
      <c r="QDI126"/>
      <c r="QDJ126"/>
      <c r="QDK126"/>
      <c r="QDL126"/>
      <c r="QDM126"/>
      <c r="QDN126"/>
      <c r="QDO126"/>
      <c r="QDP126"/>
      <c r="QDQ126"/>
      <c r="QDR126"/>
      <c r="QDS126"/>
      <c r="QDT126"/>
      <c r="QDU126"/>
      <c r="QDV126"/>
      <c r="QDW126"/>
      <c r="QDX126"/>
      <c r="QDY126"/>
      <c r="QDZ126"/>
      <c r="QEA126"/>
      <c r="QEB126"/>
      <c r="QEC126"/>
      <c r="QED126"/>
      <c r="QEE126"/>
      <c r="QEF126"/>
      <c r="QEG126"/>
      <c r="QEH126"/>
      <c r="QEI126"/>
      <c r="QEJ126"/>
      <c r="QEK126"/>
      <c r="QEL126"/>
      <c r="QEM126"/>
      <c r="QEN126"/>
      <c r="QEO126"/>
      <c r="QEP126"/>
      <c r="QEQ126"/>
      <c r="QER126"/>
      <c r="QES126"/>
      <c r="QET126"/>
      <c r="QEU126"/>
      <c r="QEV126"/>
      <c r="QEW126"/>
      <c r="QEX126"/>
      <c r="QEY126"/>
      <c r="QEZ126"/>
      <c r="QFA126"/>
      <c r="QFB126"/>
      <c r="QFC126"/>
      <c r="QFD126"/>
      <c r="QFE126"/>
      <c r="QFF126"/>
      <c r="QFG126"/>
      <c r="QFH126"/>
      <c r="QFI126"/>
      <c r="QFJ126"/>
      <c r="QFK126"/>
      <c r="QFL126"/>
      <c r="QFM126"/>
      <c r="QFN126"/>
      <c r="QFO126"/>
      <c r="QFP126"/>
      <c r="QFQ126"/>
      <c r="QFR126"/>
      <c r="QFS126"/>
      <c r="QFT126"/>
      <c r="QFU126"/>
      <c r="QFV126"/>
      <c r="QFW126"/>
      <c r="QFX126"/>
      <c r="QFY126"/>
      <c r="QFZ126"/>
      <c r="QGA126"/>
      <c r="QGB126"/>
      <c r="QGC126"/>
      <c r="QGD126"/>
      <c r="QGE126"/>
      <c r="QGF126"/>
      <c r="QGG126"/>
      <c r="QGH126"/>
      <c r="QGI126"/>
      <c r="QGJ126"/>
      <c r="QGK126"/>
      <c r="QGL126"/>
      <c r="QGM126"/>
      <c r="QGN126"/>
      <c r="QGO126"/>
      <c r="QGP126"/>
      <c r="QGQ126"/>
      <c r="QGR126"/>
      <c r="QGS126"/>
      <c r="QGT126"/>
      <c r="QGU126"/>
      <c r="QGV126"/>
      <c r="QGW126"/>
      <c r="QGX126"/>
      <c r="QGY126"/>
      <c r="QGZ126"/>
      <c r="QHA126"/>
      <c r="QHB126"/>
      <c r="QHC126"/>
      <c r="QHD126"/>
      <c r="QHE126"/>
      <c r="QHF126"/>
      <c r="QHG126"/>
      <c r="QHH126"/>
      <c r="QHI126"/>
      <c r="QHJ126"/>
      <c r="QHK126"/>
      <c r="QHL126"/>
      <c r="QHM126"/>
      <c r="QHN126"/>
      <c r="QHO126"/>
      <c r="QHP126"/>
      <c r="QHQ126"/>
      <c r="QHR126"/>
      <c r="QHS126"/>
      <c r="QHT126"/>
      <c r="QHU126"/>
      <c r="QHV126"/>
      <c r="QHW126"/>
      <c r="QHX126"/>
      <c r="QHY126"/>
      <c r="QHZ126"/>
      <c r="QIA126"/>
      <c r="QIB126"/>
      <c r="QIC126"/>
      <c r="QID126"/>
      <c r="QIE126"/>
      <c r="QIF126"/>
      <c r="QIG126"/>
      <c r="QIH126"/>
      <c r="QII126"/>
      <c r="QIJ126"/>
      <c r="QIK126"/>
      <c r="QIL126"/>
      <c r="QIM126"/>
      <c r="QIN126"/>
      <c r="QIO126"/>
      <c r="QIP126"/>
      <c r="QIQ126"/>
      <c r="QIR126"/>
      <c r="QIS126"/>
      <c r="QIT126"/>
      <c r="QIU126"/>
      <c r="QIV126"/>
      <c r="QIW126"/>
      <c r="QIX126"/>
      <c r="QIY126"/>
      <c r="QIZ126"/>
      <c r="QJA126"/>
      <c r="QJB126"/>
      <c r="QJC126"/>
      <c r="QJD126"/>
      <c r="QJE126"/>
      <c r="QJF126"/>
      <c r="QJG126"/>
      <c r="QJH126"/>
      <c r="QJI126"/>
      <c r="QJJ126"/>
      <c r="QJK126"/>
      <c r="QJL126"/>
      <c r="QJM126"/>
      <c r="QJN126"/>
      <c r="QJO126"/>
      <c r="QJP126"/>
      <c r="QJQ126"/>
      <c r="QJR126"/>
      <c r="QJS126"/>
      <c r="QJT126"/>
      <c r="QJU126"/>
      <c r="QJV126"/>
      <c r="QJW126"/>
      <c r="QJX126"/>
      <c r="QJY126"/>
      <c r="QJZ126"/>
      <c r="QKA126"/>
      <c r="QKB126"/>
      <c r="QKC126"/>
      <c r="QKD126"/>
      <c r="QKE126"/>
      <c r="QKF126"/>
      <c r="QKG126"/>
      <c r="QKH126"/>
      <c r="QKI126"/>
      <c r="QKJ126"/>
      <c r="QKK126"/>
      <c r="QKL126"/>
      <c r="QKM126"/>
      <c r="QKN126"/>
      <c r="QKO126"/>
      <c r="QKP126"/>
      <c r="QKQ126"/>
      <c r="QKR126"/>
      <c r="QKS126"/>
      <c r="QKT126"/>
      <c r="QKU126"/>
      <c r="QKV126"/>
      <c r="QKW126"/>
      <c r="QKX126"/>
      <c r="QKY126"/>
      <c r="QKZ126"/>
      <c r="QLA126"/>
      <c r="QLB126"/>
      <c r="QLC126"/>
      <c r="QLD126"/>
      <c r="QLE126"/>
      <c r="QLF126"/>
      <c r="QLG126"/>
      <c r="QLH126"/>
      <c r="QLI126"/>
      <c r="QLJ126"/>
      <c r="QLK126"/>
      <c r="QLL126"/>
      <c r="QLM126"/>
      <c r="QLN126"/>
      <c r="QLO126"/>
      <c r="QLP126"/>
      <c r="QLQ126"/>
      <c r="QLR126"/>
      <c r="QLS126"/>
      <c r="QLT126"/>
      <c r="QLU126"/>
      <c r="QLV126"/>
      <c r="QLW126"/>
      <c r="QLX126"/>
      <c r="QLY126"/>
      <c r="QLZ126"/>
      <c r="QMA126"/>
      <c r="QMB126"/>
      <c r="QMC126"/>
      <c r="QMD126"/>
      <c r="QME126"/>
      <c r="QMF126"/>
      <c r="QMG126"/>
      <c r="QMH126"/>
      <c r="QMI126"/>
      <c r="QMJ126"/>
      <c r="QMK126"/>
      <c r="QML126"/>
      <c r="QMM126"/>
      <c r="QMN126"/>
      <c r="QMO126"/>
      <c r="QMP126"/>
      <c r="QMQ126"/>
      <c r="QMR126"/>
      <c r="QMS126"/>
      <c r="QMT126"/>
      <c r="QMU126"/>
      <c r="QMV126"/>
      <c r="QMW126"/>
      <c r="QMX126"/>
      <c r="QMY126"/>
      <c r="QMZ126"/>
      <c r="QNA126"/>
      <c r="QNB126"/>
      <c r="QNC126"/>
      <c r="QND126"/>
      <c r="QNE126"/>
      <c r="QNF126"/>
      <c r="QNG126"/>
      <c r="QNH126"/>
      <c r="QNI126"/>
      <c r="QNJ126"/>
      <c r="QNK126"/>
      <c r="QNL126"/>
      <c r="QNM126"/>
      <c r="QNN126"/>
      <c r="QNO126"/>
      <c r="QNP126"/>
      <c r="QNQ126"/>
      <c r="QNR126"/>
      <c r="QNS126"/>
      <c r="QNT126"/>
      <c r="QNU126"/>
      <c r="QNV126"/>
      <c r="QNW126"/>
      <c r="QNX126"/>
      <c r="QNY126"/>
      <c r="QNZ126"/>
      <c r="QOA126"/>
      <c r="QOB126"/>
      <c r="QOC126"/>
      <c r="QOD126"/>
      <c r="QOE126"/>
      <c r="QOF126"/>
      <c r="QOG126"/>
      <c r="QOH126"/>
      <c r="QOI126"/>
      <c r="QOJ126"/>
      <c r="QOK126"/>
      <c r="QOL126"/>
      <c r="QOM126"/>
      <c r="QON126"/>
      <c r="QOO126"/>
      <c r="QOP126"/>
      <c r="QOQ126"/>
      <c r="QOR126"/>
      <c r="QOS126"/>
      <c r="QOT126"/>
      <c r="QOU126"/>
      <c r="QOV126"/>
      <c r="QOW126"/>
      <c r="QOX126"/>
      <c r="QOY126"/>
      <c r="QOZ126"/>
      <c r="QPA126"/>
      <c r="QPB126"/>
      <c r="QPC126"/>
      <c r="QPD126"/>
      <c r="QPE126"/>
      <c r="QPF126"/>
      <c r="QPG126"/>
      <c r="QPH126"/>
      <c r="QPI126"/>
      <c r="QPJ126"/>
      <c r="QPK126"/>
      <c r="QPL126"/>
      <c r="QPM126"/>
      <c r="QPN126"/>
      <c r="QPO126"/>
      <c r="QPP126"/>
      <c r="QPQ126"/>
      <c r="QPR126"/>
      <c r="QPS126"/>
      <c r="QPT126"/>
      <c r="QPU126"/>
      <c r="QPV126"/>
      <c r="QPW126"/>
      <c r="QPX126"/>
      <c r="QPY126"/>
      <c r="QPZ126"/>
      <c r="QQA126"/>
      <c r="QQB126"/>
      <c r="QQC126"/>
      <c r="QQD126"/>
      <c r="QQE126"/>
      <c r="QQF126"/>
      <c r="QQG126"/>
      <c r="QQH126"/>
      <c r="QQI126"/>
      <c r="QQJ126"/>
      <c r="QQK126"/>
      <c r="QQL126"/>
      <c r="QQM126"/>
      <c r="QQN126"/>
      <c r="QQO126"/>
      <c r="QQP126"/>
      <c r="QQQ126"/>
      <c r="QQR126"/>
      <c r="QQS126"/>
      <c r="QQT126"/>
      <c r="QQU126"/>
      <c r="QQV126"/>
      <c r="QQW126"/>
      <c r="QQX126"/>
      <c r="QQY126"/>
      <c r="QQZ126"/>
      <c r="QRA126"/>
      <c r="QRB126"/>
      <c r="QRC126"/>
      <c r="QRD126"/>
      <c r="QRE126"/>
      <c r="QRF126"/>
      <c r="QRG126"/>
      <c r="QRH126"/>
      <c r="QRI126"/>
      <c r="QRJ126"/>
      <c r="QRK126"/>
      <c r="QRL126"/>
      <c r="QRM126"/>
      <c r="QRN126"/>
      <c r="QRO126"/>
      <c r="QRP126"/>
      <c r="QRQ126"/>
      <c r="QRR126"/>
      <c r="QRS126"/>
      <c r="QRT126"/>
      <c r="QRU126"/>
      <c r="QRV126"/>
      <c r="QRW126"/>
      <c r="QRX126"/>
      <c r="QRY126"/>
      <c r="QRZ126"/>
      <c r="QSA126"/>
      <c r="QSB126"/>
      <c r="QSC126"/>
      <c r="QSD126"/>
      <c r="QSE126"/>
      <c r="QSF126"/>
      <c r="QSG126"/>
      <c r="QSH126"/>
      <c r="QSI126"/>
      <c r="QSJ126"/>
      <c r="QSK126"/>
      <c r="QSL126"/>
      <c r="QSM126"/>
      <c r="QSN126"/>
      <c r="QSO126"/>
      <c r="QSP126"/>
      <c r="QSQ126"/>
      <c r="QSR126"/>
      <c r="QSS126"/>
      <c r="QST126"/>
      <c r="QSU126"/>
      <c r="QSV126"/>
      <c r="QSW126"/>
      <c r="QSX126"/>
      <c r="QSY126"/>
      <c r="QSZ126"/>
      <c r="QTA126"/>
      <c r="QTB126"/>
      <c r="QTC126"/>
      <c r="QTD126"/>
      <c r="QTE126"/>
      <c r="QTF126"/>
      <c r="QTG126"/>
      <c r="QTH126"/>
      <c r="QTI126"/>
      <c r="QTJ126"/>
      <c r="QTK126"/>
      <c r="QTL126"/>
      <c r="QTM126"/>
      <c r="QTN126"/>
      <c r="QTO126"/>
      <c r="QTP126"/>
      <c r="QTQ126"/>
      <c r="QTR126"/>
      <c r="QTS126"/>
      <c r="QTT126"/>
      <c r="QTU126"/>
      <c r="QTV126"/>
      <c r="QTW126"/>
      <c r="QTX126"/>
      <c r="QTY126"/>
      <c r="QTZ126"/>
      <c r="QUA126"/>
      <c r="QUB126"/>
      <c r="QUC126"/>
      <c r="QUD126"/>
      <c r="QUE126"/>
      <c r="QUF126"/>
      <c r="QUG126"/>
      <c r="QUH126"/>
      <c r="QUI126"/>
      <c r="QUJ126"/>
      <c r="QUK126"/>
      <c r="QUL126"/>
      <c r="QUM126"/>
      <c r="QUN126"/>
      <c r="QUO126"/>
      <c r="QUP126"/>
      <c r="QUQ126"/>
      <c r="QUR126"/>
      <c r="QUS126"/>
      <c r="QUT126"/>
      <c r="QUU126"/>
      <c r="QUV126"/>
      <c r="QUW126"/>
      <c r="QUX126"/>
      <c r="QUY126"/>
      <c r="QUZ126"/>
      <c r="QVA126"/>
      <c r="QVB126"/>
      <c r="QVC126"/>
      <c r="QVD126"/>
      <c r="QVE126"/>
      <c r="QVF126"/>
      <c r="QVG126"/>
      <c r="QVH126"/>
      <c r="QVI126"/>
      <c r="QVJ126"/>
      <c r="QVK126"/>
      <c r="QVL126"/>
      <c r="QVM126"/>
      <c r="QVN126"/>
      <c r="QVO126"/>
      <c r="QVP126"/>
      <c r="QVQ126"/>
      <c r="QVR126"/>
      <c r="QVS126"/>
      <c r="QVT126"/>
      <c r="QVU126"/>
      <c r="QVV126"/>
      <c r="QVW126"/>
      <c r="QVX126"/>
      <c r="QVY126"/>
      <c r="QVZ126"/>
      <c r="QWA126"/>
      <c r="QWB126"/>
      <c r="QWC126"/>
      <c r="QWD126"/>
      <c r="QWE126"/>
      <c r="QWF126"/>
      <c r="QWG126"/>
      <c r="QWH126"/>
      <c r="QWI126"/>
      <c r="QWJ126"/>
      <c r="QWK126"/>
      <c r="QWL126"/>
      <c r="QWM126"/>
      <c r="QWN126"/>
      <c r="QWO126"/>
      <c r="QWP126"/>
      <c r="QWQ126"/>
      <c r="QWR126"/>
      <c r="QWS126"/>
      <c r="QWT126"/>
      <c r="QWU126"/>
      <c r="QWV126"/>
      <c r="QWW126"/>
      <c r="QWX126"/>
      <c r="QWY126"/>
      <c r="QWZ126"/>
      <c r="QXA126"/>
      <c r="QXB126"/>
      <c r="QXC126"/>
      <c r="QXD126"/>
      <c r="QXE126"/>
      <c r="QXF126"/>
      <c r="QXG126"/>
      <c r="QXH126"/>
      <c r="QXI126"/>
      <c r="QXJ126"/>
      <c r="QXK126"/>
      <c r="QXL126"/>
      <c r="QXM126"/>
      <c r="QXN126"/>
      <c r="QXO126"/>
      <c r="QXP126"/>
      <c r="QXQ126"/>
      <c r="QXR126"/>
      <c r="QXS126"/>
      <c r="QXT126"/>
      <c r="QXU126"/>
      <c r="QXV126"/>
      <c r="QXW126"/>
      <c r="QXX126"/>
      <c r="QXY126"/>
      <c r="QXZ126"/>
      <c r="QYA126"/>
      <c r="QYB126"/>
      <c r="QYC126"/>
      <c r="QYD126"/>
      <c r="QYE126"/>
      <c r="QYF126"/>
      <c r="QYG126"/>
      <c r="QYH126"/>
      <c r="QYI126"/>
      <c r="QYJ126"/>
      <c r="QYK126"/>
      <c r="QYL126"/>
      <c r="QYM126"/>
      <c r="QYN126"/>
      <c r="QYO126"/>
      <c r="QYP126"/>
      <c r="QYQ126"/>
      <c r="QYR126"/>
      <c r="QYS126"/>
      <c r="QYT126"/>
      <c r="QYU126"/>
      <c r="QYV126"/>
      <c r="QYW126"/>
      <c r="QYX126"/>
      <c r="QYY126"/>
      <c r="QYZ126"/>
      <c r="QZA126"/>
      <c r="QZB126"/>
      <c r="QZC126"/>
      <c r="QZD126"/>
      <c r="QZE126"/>
      <c r="QZF126"/>
      <c r="QZG126"/>
      <c r="QZH126"/>
      <c r="QZI126"/>
      <c r="QZJ126"/>
      <c r="QZK126"/>
      <c r="QZL126"/>
      <c r="QZM126"/>
      <c r="QZN126"/>
      <c r="QZO126"/>
      <c r="QZP126"/>
      <c r="QZQ126"/>
      <c r="QZR126"/>
      <c r="QZS126"/>
      <c r="QZT126"/>
      <c r="QZU126"/>
      <c r="QZV126"/>
      <c r="QZW126"/>
      <c r="QZX126"/>
      <c r="QZY126"/>
      <c r="QZZ126"/>
      <c r="RAA126"/>
      <c r="RAB126"/>
      <c r="RAC126"/>
      <c r="RAD126"/>
      <c r="RAE126"/>
      <c r="RAF126"/>
      <c r="RAG126"/>
      <c r="RAH126"/>
      <c r="RAI126"/>
      <c r="RAJ126"/>
      <c r="RAK126"/>
      <c r="RAL126"/>
      <c r="RAM126"/>
      <c r="RAN126"/>
      <c r="RAO126"/>
      <c r="RAP126"/>
      <c r="RAQ126"/>
      <c r="RAR126"/>
      <c r="RAS126"/>
      <c r="RAT126"/>
      <c r="RAU126"/>
      <c r="RAV126"/>
      <c r="RAW126"/>
      <c r="RAX126"/>
      <c r="RAY126"/>
      <c r="RAZ126"/>
      <c r="RBA126"/>
      <c r="RBB126"/>
      <c r="RBC126"/>
      <c r="RBD126"/>
      <c r="RBE126"/>
      <c r="RBF126"/>
      <c r="RBG126"/>
      <c r="RBH126"/>
      <c r="RBI126"/>
      <c r="RBJ126"/>
      <c r="RBK126"/>
      <c r="RBL126"/>
      <c r="RBM126"/>
      <c r="RBN126"/>
      <c r="RBO126"/>
      <c r="RBP126"/>
      <c r="RBQ126"/>
      <c r="RBR126"/>
      <c r="RBS126"/>
      <c r="RBT126"/>
      <c r="RBU126"/>
      <c r="RBV126"/>
      <c r="RBW126"/>
      <c r="RBX126"/>
      <c r="RBY126"/>
      <c r="RBZ126"/>
      <c r="RCA126"/>
      <c r="RCB126"/>
      <c r="RCC126"/>
      <c r="RCD126"/>
      <c r="RCE126"/>
      <c r="RCF126"/>
      <c r="RCG126"/>
      <c r="RCH126"/>
      <c r="RCI126"/>
      <c r="RCJ126"/>
      <c r="RCK126"/>
      <c r="RCL126"/>
      <c r="RCM126"/>
      <c r="RCN126"/>
      <c r="RCO126"/>
      <c r="RCP126"/>
      <c r="RCQ126"/>
      <c r="RCR126"/>
      <c r="RCS126"/>
      <c r="RCT126"/>
      <c r="RCU126"/>
      <c r="RCV126"/>
      <c r="RCW126"/>
      <c r="RCX126"/>
      <c r="RCY126"/>
      <c r="RCZ126"/>
      <c r="RDA126"/>
      <c r="RDB126"/>
      <c r="RDC126"/>
      <c r="RDD126"/>
      <c r="RDE126"/>
      <c r="RDF126"/>
      <c r="RDG126"/>
      <c r="RDH126"/>
      <c r="RDI126"/>
      <c r="RDJ126"/>
      <c r="RDK126"/>
      <c r="RDL126"/>
      <c r="RDM126"/>
      <c r="RDN126"/>
      <c r="RDO126"/>
      <c r="RDP126"/>
      <c r="RDQ126"/>
      <c r="RDR126"/>
      <c r="RDS126"/>
      <c r="RDT126"/>
      <c r="RDU126"/>
      <c r="RDV126"/>
      <c r="RDW126"/>
      <c r="RDX126"/>
      <c r="RDY126"/>
      <c r="RDZ126"/>
      <c r="REA126"/>
      <c r="REB126"/>
      <c r="REC126"/>
      <c r="RED126"/>
      <c r="REE126"/>
      <c r="REF126"/>
      <c r="REG126"/>
      <c r="REH126"/>
      <c r="REI126"/>
      <c r="REJ126"/>
      <c r="REK126"/>
      <c r="REL126"/>
      <c r="REM126"/>
      <c r="REN126"/>
      <c r="REO126"/>
      <c r="REP126"/>
      <c r="REQ126"/>
      <c r="RER126"/>
      <c r="RES126"/>
      <c r="RET126"/>
      <c r="REU126"/>
      <c r="REV126"/>
      <c r="REW126"/>
      <c r="REX126"/>
      <c r="REY126"/>
      <c r="REZ126"/>
      <c r="RFA126"/>
      <c r="RFB126"/>
      <c r="RFC126"/>
      <c r="RFD126"/>
      <c r="RFE126"/>
      <c r="RFF126"/>
      <c r="RFG126"/>
      <c r="RFH126"/>
      <c r="RFI126"/>
      <c r="RFJ126"/>
      <c r="RFK126"/>
      <c r="RFL126"/>
      <c r="RFM126"/>
      <c r="RFN126"/>
      <c r="RFO126"/>
      <c r="RFP126"/>
      <c r="RFQ126"/>
      <c r="RFR126"/>
      <c r="RFS126"/>
      <c r="RFT126"/>
      <c r="RFU126"/>
      <c r="RFV126"/>
      <c r="RFW126"/>
      <c r="RFX126"/>
      <c r="RFY126"/>
      <c r="RFZ126"/>
      <c r="RGA126"/>
      <c r="RGB126"/>
      <c r="RGC126"/>
      <c r="RGD126"/>
      <c r="RGE126"/>
      <c r="RGF126"/>
      <c r="RGG126"/>
      <c r="RGH126"/>
      <c r="RGI126"/>
      <c r="RGJ126"/>
      <c r="RGK126"/>
      <c r="RGL126"/>
      <c r="RGM126"/>
      <c r="RGN126"/>
      <c r="RGO126"/>
      <c r="RGP126"/>
      <c r="RGQ126"/>
      <c r="RGR126"/>
      <c r="RGS126"/>
      <c r="RGT126"/>
      <c r="RGU126"/>
      <c r="RGV126"/>
      <c r="RGW126"/>
      <c r="RGX126"/>
      <c r="RGY126"/>
      <c r="RGZ126"/>
      <c r="RHA126"/>
      <c r="RHB126"/>
      <c r="RHC126"/>
      <c r="RHD126"/>
      <c r="RHE126"/>
      <c r="RHF126"/>
      <c r="RHG126"/>
      <c r="RHH126"/>
      <c r="RHI126"/>
      <c r="RHJ126"/>
      <c r="RHK126"/>
      <c r="RHL126"/>
      <c r="RHM126"/>
      <c r="RHN126"/>
      <c r="RHO126"/>
      <c r="RHP126"/>
      <c r="RHQ126"/>
      <c r="RHR126"/>
      <c r="RHS126"/>
      <c r="RHT126"/>
      <c r="RHU126"/>
      <c r="RHV126"/>
      <c r="RHW126"/>
      <c r="RHX126"/>
      <c r="RHY126"/>
      <c r="RHZ126"/>
      <c r="RIA126"/>
      <c r="RIB126"/>
      <c r="RIC126"/>
      <c r="RID126"/>
      <c r="RIE126"/>
      <c r="RIF126"/>
      <c r="RIG126"/>
      <c r="RIH126"/>
      <c r="RII126"/>
      <c r="RIJ126"/>
      <c r="RIK126"/>
      <c r="RIL126"/>
      <c r="RIM126"/>
      <c r="RIN126"/>
      <c r="RIO126"/>
      <c r="RIP126"/>
      <c r="RIQ126"/>
      <c r="RIR126"/>
      <c r="RIS126"/>
      <c r="RIT126"/>
      <c r="RIU126"/>
      <c r="RIV126"/>
      <c r="RIW126"/>
      <c r="RIX126"/>
      <c r="RIY126"/>
      <c r="RIZ126"/>
      <c r="RJA126"/>
      <c r="RJB126"/>
      <c r="RJC126"/>
      <c r="RJD126"/>
      <c r="RJE126"/>
      <c r="RJF126"/>
      <c r="RJG126"/>
      <c r="RJH126"/>
      <c r="RJI126"/>
      <c r="RJJ126"/>
      <c r="RJK126"/>
      <c r="RJL126"/>
      <c r="RJM126"/>
      <c r="RJN126"/>
      <c r="RJO126"/>
      <c r="RJP126"/>
      <c r="RJQ126"/>
      <c r="RJR126"/>
      <c r="RJS126"/>
      <c r="RJT126"/>
      <c r="RJU126"/>
      <c r="RJV126"/>
      <c r="RJW126"/>
      <c r="RJX126"/>
      <c r="RJY126"/>
      <c r="RJZ126"/>
      <c r="RKA126"/>
      <c r="RKB126"/>
      <c r="RKC126"/>
      <c r="RKD126"/>
      <c r="RKE126"/>
      <c r="RKF126"/>
      <c r="RKG126"/>
      <c r="RKH126"/>
      <c r="RKI126"/>
      <c r="RKJ126"/>
      <c r="RKK126"/>
      <c r="RKL126"/>
      <c r="RKM126"/>
      <c r="RKN126"/>
      <c r="RKO126"/>
      <c r="RKP126"/>
      <c r="RKQ126"/>
      <c r="RKR126"/>
      <c r="RKS126"/>
      <c r="RKT126"/>
      <c r="RKU126"/>
      <c r="RKV126"/>
      <c r="RKW126"/>
      <c r="RKX126"/>
      <c r="RKY126"/>
      <c r="RKZ126"/>
      <c r="RLA126"/>
      <c r="RLB126"/>
      <c r="RLC126"/>
      <c r="RLD126"/>
      <c r="RLE126"/>
      <c r="RLF126"/>
      <c r="RLG126"/>
      <c r="RLH126"/>
      <c r="RLI126"/>
      <c r="RLJ126"/>
      <c r="RLK126"/>
      <c r="RLL126"/>
      <c r="RLM126"/>
      <c r="RLN126"/>
      <c r="RLO126"/>
      <c r="RLP126"/>
      <c r="RLQ126"/>
      <c r="RLR126"/>
      <c r="RLS126"/>
      <c r="RLT126"/>
      <c r="RLU126"/>
      <c r="RLV126"/>
      <c r="RLW126"/>
      <c r="RLX126"/>
      <c r="RLY126"/>
      <c r="RLZ126"/>
      <c r="RMA126"/>
      <c r="RMB126"/>
      <c r="RMC126"/>
      <c r="RMD126"/>
      <c r="RME126"/>
      <c r="RMF126"/>
      <c r="RMG126"/>
      <c r="RMH126"/>
      <c r="RMI126"/>
      <c r="RMJ126"/>
      <c r="RMK126"/>
      <c r="RML126"/>
      <c r="RMM126"/>
      <c r="RMN126"/>
      <c r="RMO126"/>
      <c r="RMP126"/>
      <c r="RMQ126"/>
      <c r="RMR126"/>
      <c r="RMS126"/>
      <c r="RMT126"/>
      <c r="RMU126"/>
      <c r="RMV126"/>
      <c r="RMW126"/>
      <c r="RMX126"/>
      <c r="RMY126"/>
      <c r="RMZ126"/>
      <c r="RNA126"/>
      <c r="RNB126"/>
      <c r="RNC126"/>
      <c r="RND126"/>
      <c r="RNE126"/>
      <c r="RNF126"/>
      <c r="RNG126"/>
      <c r="RNH126"/>
      <c r="RNI126"/>
      <c r="RNJ126"/>
      <c r="RNK126"/>
      <c r="RNL126"/>
      <c r="RNM126"/>
      <c r="RNN126"/>
      <c r="RNO126"/>
      <c r="RNP126"/>
      <c r="RNQ126"/>
      <c r="RNR126"/>
      <c r="RNS126"/>
      <c r="RNT126"/>
      <c r="RNU126"/>
      <c r="RNV126"/>
      <c r="RNW126"/>
      <c r="RNX126"/>
      <c r="RNY126"/>
      <c r="RNZ126"/>
      <c r="ROA126"/>
      <c r="ROB126"/>
      <c r="ROC126"/>
      <c r="ROD126"/>
      <c r="ROE126"/>
      <c r="ROF126"/>
      <c r="ROG126"/>
      <c r="ROH126"/>
      <c r="ROI126"/>
      <c r="ROJ126"/>
      <c r="ROK126"/>
      <c r="ROL126"/>
      <c r="ROM126"/>
      <c r="RON126"/>
      <c r="ROO126"/>
      <c r="ROP126"/>
      <c r="ROQ126"/>
      <c r="ROR126"/>
      <c r="ROS126"/>
      <c r="ROT126"/>
      <c r="ROU126"/>
      <c r="ROV126"/>
      <c r="ROW126"/>
      <c r="ROX126"/>
      <c r="ROY126"/>
      <c r="ROZ126"/>
      <c r="RPA126"/>
      <c r="RPB126"/>
      <c r="RPC126"/>
      <c r="RPD126"/>
      <c r="RPE126"/>
      <c r="RPF126"/>
      <c r="RPG126"/>
      <c r="RPH126"/>
      <c r="RPI126"/>
      <c r="RPJ126"/>
      <c r="RPK126"/>
      <c r="RPL126"/>
      <c r="RPM126"/>
      <c r="RPN126"/>
      <c r="RPO126"/>
      <c r="RPP126"/>
      <c r="RPQ126"/>
      <c r="RPR126"/>
      <c r="RPS126"/>
      <c r="RPT126"/>
      <c r="RPU126"/>
      <c r="RPV126"/>
      <c r="RPW126"/>
      <c r="RPX126"/>
      <c r="RPY126"/>
      <c r="RPZ126"/>
      <c r="RQA126"/>
      <c r="RQB126"/>
      <c r="RQC126"/>
      <c r="RQD126"/>
      <c r="RQE126"/>
      <c r="RQF126"/>
      <c r="RQG126"/>
      <c r="RQH126"/>
      <c r="RQI126"/>
      <c r="RQJ126"/>
      <c r="RQK126"/>
      <c r="RQL126"/>
      <c r="RQM126"/>
      <c r="RQN126"/>
      <c r="RQO126"/>
      <c r="RQP126"/>
      <c r="RQQ126"/>
      <c r="RQR126"/>
      <c r="RQS126"/>
      <c r="RQT126"/>
      <c r="RQU126"/>
      <c r="RQV126"/>
      <c r="RQW126"/>
      <c r="RQX126"/>
      <c r="RQY126"/>
      <c r="RQZ126"/>
      <c r="RRA126"/>
      <c r="RRB126"/>
      <c r="RRC126"/>
      <c r="RRD126"/>
      <c r="RRE126"/>
      <c r="RRF126"/>
      <c r="RRG126"/>
      <c r="RRH126"/>
      <c r="RRI126"/>
      <c r="RRJ126"/>
      <c r="RRK126"/>
      <c r="RRL126"/>
      <c r="RRM126"/>
      <c r="RRN126"/>
      <c r="RRO126"/>
      <c r="RRP126"/>
      <c r="RRQ126"/>
      <c r="RRR126"/>
      <c r="RRS126"/>
      <c r="RRT126"/>
      <c r="RRU126"/>
      <c r="RRV126"/>
      <c r="RRW126"/>
      <c r="RRX126"/>
      <c r="RRY126"/>
      <c r="RRZ126"/>
      <c r="RSA126"/>
      <c r="RSB126"/>
      <c r="RSC126"/>
      <c r="RSD126"/>
      <c r="RSE126"/>
      <c r="RSF126"/>
      <c r="RSG126"/>
      <c r="RSH126"/>
      <c r="RSI126"/>
      <c r="RSJ126"/>
      <c r="RSK126"/>
      <c r="RSL126"/>
      <c r="RSM126"/>
      <c r="RSN126"/>
      <c r="RSO126"/>
      <c r="RSP126"/>
      <c r="RSQ126"/>
      <c r="RSR126"/>
      <c r="RSS126"/>
      <c r="RST126"/>
      <c r="RSU126"/>
      <c r="RSV126"/>
      <c r="RSW126"/>
      <c r="RSX126"/>
      <c r="RSY126"/>
      <c r="RSZ126"/>
      <c r="RTA126"/>
      <c r="RTB126"/>
      <c r="RTC126"/>
      <c r="RTD126"/>
      <c r="RTE126"/>
      <c r="RTF126"/>
      <c r="RTG126"/>
      <c r="RTH126"/>
      <c r="RTI126"/>
      <c r="RTJ126"/>
      <c r="RTK126"/>
      <c r="RTL126"/>
      <c r="RTM126"/>
      <c r="RTN126"/>
      <c r="RTO126"/>
      <c r="RTP126"/>
      <c r="RTQ126"/>
      <c r="RTR126"/>
      <c r="RTS126"/>
      <c r="RTT126"/>
      <c r="RTU126"/>
      <c r="RTV126"/>
      <c r="RTW126"/>
      <c r="RTX126"/>
      <c r="RTY126"/>
      <c r="RTZ126"/>
      <c r="RUA126"/>
      <c r="RUB126"/>
      <c r="RUC126"/>
      <c r="RUD126"/>
      <c r="RUE126"/>
      <c r="RUF126"/>
      <c r="RUG126"/>
      <c r="RUH126"/>
      <c r="RUI126"/>
      <c r="RUJ126"/>
      <c r="RUK126"/>
      <c r="RUL126"/>
      <c r="RUM126"/>
      <c r="RUN126"/>
      <c r="RUO126"/>
      <c r="RUP126"/>
      <c r="RUQ126"/>
      <c r="RUR126"/>
      <c r="RUS126"/>
      <c r="RUT126"/>
      <c r="RUU126"/>
      <c r="RUV126"/>
      <c r="RUW126"/>
      <c r="RUX126"/>
      <c r="RUY126"/>
      <c r="RUZ126"/>
      <c r="RVA126"/>
      <c r="RVB126"/>
      <c r="RVC126"/>
      <c r="RVD126"/>
      <c r="RVE126"/>
      <c r="RVF126"/>
      <c r="RVG126"/>
      <c r="RVH126"/>
      <c r="RVI126"/>
      <c r="RVJ126"/>
      <c r="RVK126"/>
      <c r="RVL126"/>
      <c r="RVM126"/>
      <c r="RVN126"/>
      <c r="RVO126"/>
      <c r="RVP126"/>
      <c r="RVQ126"/>
      <c r="RVR126"/>
      <c r="RVS126"/>
      <c r="RVT126"/>
      <c r="RVU126"/>
      <c r="RVV126"/>
      <c r="RVW126"/>
      <c r="RVX126"/>
      <c r="RVY126"/>
      <c r="RVZ126"/>
      <c r="RWA126"/>
      <c r="RWB126"/>
      <c r="RWC126"/>
      <c r="RWD126"/>
      <c r="RWE126"/>
      <c r="RWF126"/>
      <c r="RWG126"/>
      <c r="RWH126"/>
      <c r="RWI126"/>
      <c r="RWJ126"/>
      <c r="RWK126"/>
      <c r="RWL126"/>
      <c r="RWM126"/>
      <c r="RWN126"/>
      <c r="RWO126"/>
      <c r="RWP126"/>
      <c r="RWQ126"/>
      <c r="RWR126"/>
      <c r="RWS126"/>
      <c r="RWT126"/>
      <c r="RWU126"/>
      <c r="RWV126"/>
      <c r="RWW126"/>
      <c r="RWX126"/>
      <c r="RWY126"/>
      <c r="RWZ126"/>
      <c r="RXA126"/>
      <c r="RXB126"/>
      <c r="RXC126"/>
      <c r="RXD126"/>
      <c r="RXE126"/>
      <c r="RXF126"/>
      <c r="RXG126"/>
      <c r="RXH126"/>
      <c r="RXI126"/>
      <c r="RXJ126"/>
      <c r="RXK126"/>
      <c r="RXL126"/>
      <c r="RXM126"/>
      <c r="RXN126"/>
      <c r="RXO126"/>
      <c r="RXP126"/>
      <c r="RXQ126"/>
      <c r="RXR126"/>
      <c r="RXS126"/>
      <c r="RXT126"/>
      <c r="RXU126"/>
      <c r="RXV126"/>
      <c r="RXW126"/>
      <c r="RXX126"/>
      <c r="RXY126"/>
      <c r="RXZ126"/>
      <c r="RYA126"/>
      <c r="RYB126"/>
      <c r="RYC126"/>
      <c r="RYD126"/>
      <c r="RYE126"/>
      <c r="RYF126"/>
      <c r="RYG126"/>
      <c r="RYH126"/>
      <c r="RYI126"/>
      <c r="RYJ126"/>
      <c r="RYK126"/>
      <c r="RYL126"/>
      <c r="RYM126"/>
      <c r="RYN126"/>
      <c r="RYO126"/>
      <c r="RYP126"/>
      <c r="RYQ126"/>
      <c r="RYR126"/>
      <c r="RYS126"/>
      <c r="RYT126"/>
      <c r="RYU126"/>
      <c r="RYV126"/>
      <c r="RYW126"/>
      <c r="RYX126"/>
      <c r="RYY126"/>
      <c r="RYZ126"/>
      <c r="RZA126"/>
      <c r="RZB126"/>
      <c r="RZC126"/>
      <c r="RZD126"/>
      <c r="RZE126"/>
      <c r="RZF126"/>
      <c r="RZG126"/>
      <c r="RZH126"/>
      <c r="RZI126"/>
      <c r="RZJ126"/>
      <c r="RZK126"/>
      <c r="RZL126"/>
      <c r="RZM126"/>
      <c r="RZN126"/>
      <c r="RZO126"/>
      <c r="RZP126"/>
      <c r="RZQ126"/>
      <c r="RZR126"/>
      <c r="RZS126"/>
      <c r="RZT126"/>
      <c r="RZU126"/>
      <c r="RZV126"/>
      <c r="RZW126"/>
      <c r="RZX126"/>
      <c r="RZY126"/>
      <c r="RZZ126"/>
      <c r="SAA126"/>
      <c r="SAB126"/>
      <c r="SAC126"/>
      <c r="SAD126"/>
      <c r="SAE126"/>
      <c r="SAF126"/>
      <c r="SAG126"/>
      <c r="SAH126"/>
      <c r="SAI126"/>
      <c r="SAJ126"/>
      <c r="SAK126"/>
      <c r="SAL126"/>
      <c r="SAM126"/>
      <c r="SAN126"/>
      <c r="SAO126"/>
      <c r="SAP126"/>
      <c r="SAQ126"/>
      <c r="SAR126"/>
      <c r="SAS126"/>
      <c r="SAT126"/>
      <c r="SAU126"/>
      <c r="SAV126"/>
      <c r="SAW126"/>
      <c r="SAX126"/>
      <c r="SAY126"/>
      <c r="SAZ126"/>
      <c r="SBA126"/>
      <c r="SBB126"/>
      <c r="SBC126"/>
      <c r="SBD126"/>
      <c r="SBE126"/>
      <c r="SBF126"/>
      <c r="SBG126"/>
      <c r="SBH126"/>
      <c r="SBI126"/>
      <c r="SBJ126"/>
      <c r="SBK126"/>
      <c r="SBL126"/>
      <c r="SBM126"/>
      <c r="SBN126"/>
      <c r="SBO126"/>
      <c r="SBP126"/>
      <c r="SBQ126"/>
      <c r="SBR126"/>
      <c r="SBS126"/>
      <c r="SBT126"/>
      <c r="SBU126"/>
      <c r="SBV126"/>
      <c r="SBW126"/>
      <c r="SBX126"/>
      <c r="SBY126"/>
      <c r="SBZ126"/>
      <c r="SCA126"/>
      <c r="SCB126"/>
      <c r="SCC126"/>
      <c r="SCD126"/>
      <c r="SCE126"/>
      <c r="SCF126"/>
      <c r="SCG126"/>
      <c r="SCH126"/>
      <c r="SCI126"/>
      <c r="SCJ126"/>
      <c r="SCK126"/>
      <c r="SCL126"/>
      <c r="SCM126"/>
      <c r="SCN126"/>
      <c r="SCO126"/>
      <c r="SCP126"/>
      <c r="SCQ126"/>
      <c r="SCR126"/>
      <c r="SCS126"/>
      <c r="SCT126"/>
      <c r="SCU126"/>
      <c r="SCV126"/>
      <c r="SCW126"/>
      <c r="SCX126"/>
      <c r="SCY126"/>
      <c r="SCZ126"/>
      <c r="SDA126"/>
      <c r="SDB126"/>
      <c r="SDC126"/>
      <c r="SDD126"/>
      <c r="SDE126"/>
      <c r="SDF126"/>
      <c r="SDG126"/>
      <c r="SDH126"/>
      <c r="SDI126"/>
      <c r="SDJ126"/>
      <c r="SDK126"/>
      <c r="SDL126"/>
      <c r="SDM126"/>
      <c r="SDN126"/>
      <c r="SDO126"/>
      <c r="SDP126"/>
      <c r="SDQ126"/>
      <c r="SDR126"/>
      <c r="SDS126"/>
      <c r="SDT126"/>
      <c r="SDU126"/>
      <c r="SDV126"/>
      <c r="SDW126"/>
      <c r="SDX126"/>
      <c r="SDY126"/>
      <c r="SDZ126"/>
      <c r="SEA126"/>
      <c r="SEB126"/>
      <c r="SEC126"/>
      <c r="SED126"/>
      <c r="SEE126"/>
      <c r="SEF126"/>
      <c r="SEG126"/>
      <c r="SEH126"/>
      <c r="SEI126"/>
      <c r="SEJ126"/>
      <c r="SEK126"/>
      <c r="SEL126"/>
      <c r="SEM126"/>
      <c r="SEN126"/>
      <c r="SEO126"/>
      <c r="SEP126"/>
      <c r="SEQ126"/>
      <c r="SER126"/>
      <c r="SES126"/>
      <c r="SET126"/>
      <c r="SEU126"/>
      <c r="SEV126"/>
      <c r="SEW126"/>
      <c r="SEX126"/>
      <c r="SEY126"/>
      <c r="SEZ126"/>
      <c r="SFA126"/>
      <c r="SFB126"/>
      <c r="SFC126"/>
      <c r="SFD126"/>
      <c r="SFE126"/>
      <c r="SFF126"/>
      <c r="SFG126"/>
      <c r="SFH126"/>
      <c r="SFI126"/>
      <c r="SFJ126"/>
      <c r="SFK126"/>
      <c r="SFL126"/>
      <c r="SFM126"/>
      <c r="SFN126"/>
      <c r="SFO126"/>
      <c r="SFP126"/>
      <c r="SFQ126"/>
      <c r="SFR126"/>
      <c r="SFS126"/>
      <c r="SFT126"/>
      <c r="SFU126"/>
      <c r="SFV126"/>
      <c r="SFW126"/>
      <c r="SFX126"/>
      <c r="SFY126"/>
      <c r="SFZ126"/>
      <c r="SGA126"/>
      <c r="SGB126"/>
      <c r="SGC126"/>
      <c r="SGD126"/>
      <c r="SGE126"/>
      <c r="SGF126"/>
      <c r="SGG126"/>
      <c r="SGH126"/>
      <c r="SGI126"/>
      <c r="SGJ126"/>
      <c r="SGK126"/>
      <c r="SGL126"/>
      <c r="SGM126"/>
      <c r="SGN126"/>
      <c r="SGO126"/>
      <c r="SGP126"/>
      <c r="SGQ126"/>
      <c r="SGR126"/>
      <c r="SGS126"/>
      <c r="SGT126"/>
      <c r="SGU126"/>
      <c r="SGV126"/>
      <c r="SGW126"/>
      <c r="SGX126"/>
      <c r="SGY126"/>
      <c r="SGZ126"/>
      <c r="SHA126"/>
      <c r="SHB126"/>
      <c r="SHC126"/>
      <c r="SHD126"/>
      <c r="SHE126"/>
      <c r="SHF126"/>
      <c r="SHG126"/>
      <c r="SHH126"/>
      <c r="SHI126"/>
      <c r="SHJ126"/>
      <c r="SHK126"/>
      <c r="SHL126"/>
      <c r="SHM126"/>
      <c r="SHN126"/>
      <c r="SHO126"/>
      <c r="SHP126"/>
      <c r="SHQ126"/>
      <c r="SHR126"/>
      <c r="SHS126"/>
      <c r="SHT126"/>
      <c r="SHU126"/>
      <c r="SHV126"/>
      <c r="SHW126"/>
      <c r="SHX126"/>
      <c r="SHY126"/>
      <c r="SHZ126"/>
      <c r="SIA126"/>
      <c r="SIB126"/>
      <c r="SIC126"/>
      <c r="SID126"/>
      <c r="SIE126"/>
      <c r="SIF126"/>
      <c r="SIG126"/>
      <c r="SIH126"/>
      <c r="SII126"/>
      <c r="SIJ126"/>
      <c r="SIK126"/>
      <c r="SIL126"/>
      <c r="SIM126"/>
      <c r="SIN126"/>
      <c r="SIO126"/>
      <c r="SIP126"/>
      <c r="SIQ126"/>
      <c r="SIR126"/>
      <c r="SIS126"/>
      <c r="SIT126"/>
      <c r="SIU126"/>
      <c r="SIV126"/>
      <c r="SIW126"/>
      <c r="SIX126"/>
      <c r="SIY126"/>
      <c r="SIZ126"/>
      <c r="SJA126"/>
      <c r="SJB126"/>
      <c r="SJC126"/>
      <c r="SJD126"/>
      <c r="SJE126"/>
      <c r="SJF126"/>
      <c r="SJG126"/>
      <c r="SJH126"/>
      <c r="SJI126"/>
      <c r="SJJ126"/>
      <c r="SJK126"/>
      <c r="SJL126"/>
      <c r="SJM126"/>
      <c r="SJN126"/>
      <c r="SJO126"/>
      <c r="SJP126"/>
      <c r="SJQ126"/>
      <c r="SJR126"/>
      <c r="SJS126"/>
      <c r="SJT126"/>
      <c r="SJU126"/>
      <c r="SJV126"/>
      <c r="SJW126"/>
      <c r="SJX126"/>
      <c r="SJY126"/>
      <c r="SJZ126"/>
      <c r="SKA126"/>
      <c r="SKB126"/>
      <c r="SKC126"/>
      <c r="SKD126"/>
      <c r="SKE126"/>
      <c r="SKF126"/>
      <c r="SKG126"/>
      <c r="SKH126"/>
      <c r="SKI126"/>
      <c r="SKJ126"/>
      <c r="SKK126"/>
      <c r="SKL126"/>
      <c r="SKM126"/>
      <c r="SKN126"/>
      <c r="SKO126"/>
      <c r="SKP126"/>
      <c r="SKQ126"/>
      <c r="SKR126"/>
      <c r="SKS126"/>
      <c r="SKT126"/>
      <c r="SKU126"/>
      <c r="SKV126"/>
      <c r="SKW126"/>
      <c r="SKX126"/>
      <c r="SKY126"/>
      <c r="SKZ126"/>
      <c r="SLA126"/>
      <c r="SLB126"/>
      <c r="SLC126"/>
      <c r="SLD126"/>
      <c r="SLE126"/>
      <c r="SLF126"/>
      <c r="SLG126"/>
      <c r="SLH126"/>
      <c r="SLI126"/>
      <c r="SLJ126"/>
      <c r="SLK126"/>
      <c r="SLL126"/>
      <c r="SLM126"/>
      <c r="SLN126"/>
      <c r="SLO126"/>
      <c r="SLP126"/>
      <c r="SLQ126"/>
      <c r="SLR126"/>
      <c r="SLS126"/>
      <c r="SLT126"/>
      <c r="SLU126"/>
      <c r="SLV126"/>
      <c r="SLW126"/>
      <c r="SLX126"/>
      <c r="SLY126"/>
      <c r="SLZ126"/>
      <c r="SMA126"/>
      <c r="SMB126"/>
      <c r="SMC126"/>
      <c r="SMD126"/>
      <c r="SME126"/>
      <c r="SMF126"/>
      <c r="SMG126"/>
      <c r="SMH126"/>
      <c r="SMI126"/>
      <c r="SMJ126"/>
      <c r="SMK126"/>
      <c r="SML126"/>
      <c r="SMM126"/>
      <c r="SMN126"/>
      <c r="SMO126"/>
      <c r="SMP126"/>
      <c r="SMQ126"/>
      <c r="SMR126"/>
      <c r="SMS126"/>
      <c r="SMT126"/>
      <c r="SMU126"/>
      <c r="SMV126"/>
      <c r="SMW126"/>
      <c r="SMX126"/>
      <c r="SMY126"/>
      <c r="SMZ126"/>
      <c r="SNA126"/>
      <c r="SNB126"/>
      <c r="SNC126"/>
      <c r="SND126"/>
      <c r="SNE126"/>
      <c r="SNF126"/>
      <c r="SNG126"/>
      <c r="SNH126"/>
      <c r="SNI126"/>
      <c r="SNJ126"/>
      <c r="SNK126"/>
      <c r="SNL126"/>
      <c r="SNM126"/>
      <c r="SNN126"/>
      <c r="SNO126"/>
      <c r="SNP126"/>
      <c r="SNQ126"/>
      <c r="SNR126"/>
      <c r="SNS126"/>
      <c r="SNT126"/>
      <c r="SNU126"/>
      <c r="SNV126"/>
      <c r="SNW126"/>
      <c r="SNX126"/>
      <c r="SNY126"/>
      <c r="SNZ126"/>
      <c r="SOA126"/>
      <c r="SOB126"/>
      <c r="SOC126"/>
      <c r="SOD126"/>
      <c r="SOE126"/>
      <c r="SOF126"/>
      <c r="SOG126"/>
      <c r="SOH126"/>
      <c r="SOI126"/>
      <c r="SOJ126"/>
      <c r="SOK126"/>
      <c r="SOL126"/>
      <c r="SOM126"/>
      <c r="SON126"/>
      <c r="SOO126"/>
      <c r="SOP126"/>
      <c r="SOQ126"/>
      <c r="SOR126"/>
      <c r="SOS126"/>
      <c r="SOT126"/>
      <c r="SOU126"/>
      <c r="SOV126"/>
      <c r="SOW126"/>
      <c r="SOX126"/>
      <c r="SOY126"/>
      <c r="SOZ126"/>
      <c r="SPA126"/>
      <c r="SPB126"/>
      <c r="SPC126"/>
      <c r="SPD126"/>
      <c r="SPE126"/>
      <c r="SPF126"/>
      <c r="SPG126"/>
      <c r="SPH126"/>
      <c r="SPI126"/>
      <c r="SPJ126"/>
      <c r="SPK126"/>
      <c r="SPL126"/>
      <c r="SPM126"/>
      <c r="SPN126"/>
      <c r="SPO126"/>
      <c r="SPP126"/>
      <c r="SPQ126"/>
      <c r="SPR126"/>
      <c r="SPS126"/>
      <c r="SPT126"/>
      <c r="SPU126"/>
      <c r="SPV126"/>
      <c r="SPW126"/>
      <c r="SPX126"/>
      <c r="SPY126"/>
      <c r="SPZ126"/>
      <c r="SQA126"/>
      <c r="SQB126"/>
      <c r="SQC126"/>
      <c r="SQD126"/>
      <c r="SQE126"/>
      <c r="SQF126"/>
      <c r="SQG126"/>
      <c r="SQH126"/>
      <c r="SQI126"/>
      <c r="SQJ126"/>
      <c r="SQK126"/>
      <c r="SQL126"/>
      <c r="SQM126"/>
      <c r="SQN126"/>
      <c r="SQO126"/>
      <c r="SQP126"/>
      <c r="SQQ126"/>
      <c r="SQR126"/>
      <c r="SQS126"/>
      <c r="SQT126"/>
      <c r="SQU126"/>
      <c r="SQV126"/>
      <c r="SQW126"/>
      <c r="SQX126"/>
      <c r="SQY126"/>
      <c r="SQZ126"/>
      <c r="SRA126"/>
      <c r="SRB126"/>
      <c r="SRC126"/>
      <c r="SRD126"/>
      <c r="SRE126"/>
      <c r="SRF126"/>
      <c r="SRG126"/>
      <c r="SRH126"/>
      <c r="SRI126"/>
      <c r="SRJ126"/>
      <c r="SRK126"/>
      <c r="SRL126"/>
      <c r="SRM126"/>
      <c r="SRN126"/>
      <c r="SRO126"/>
      <c r="SRP126"/>
      <c r="SRQ126"/>
      <c r="SRR126"/>
      <c r="SRS126"/>
      <c r="SRT126"/>
      <c r="SRU126"/>
      <c r="SRV126"/>
      <c r="SRW126"/>
      <c r="SRX126"/>
      <c r="SRY126"/>
      <c r="SRZ126"/>
      <c r="SSA126"/>
      <c r="SSB126"/>
      <c r="SSC126"/>
      <c r="SSD126"/>
      <c r="SSE126"/>
      <c r="SSF126"/>
      <c r="SSG126"/>
      <c r="SSH126"/>
      <c r="SSI126"/>
      <c r="SSJ126"/>
      <c r="SSK126"/>
      <c r="SSL126"/>
      <c r="SSM126"/>
      <c r="SSN126"/>
      <c r="SSO126"/>
      <c r="SSP126"/>
      <c r="SSQ126"/>
      <c r="SSR126"/>
      <c r="SSS126"/>
      <c r="SST126"/>
      <c r="SSU126"/>
      <c r="SSV126"/>
      <c r="SSW126"/>
      <c r="SSX126"/>
      <c r="SSY126"/>
      <c r="SSZ126"/>
      <c r="STA126"/>
      <c r="STB126"/>
      <c r="STC126"/>
      <c r="STD126"/>
      <c r="STE126"/>
      <c r="STF126"/>
      <c r="STG126"/>
      <c r="STH126"/>
      <c r="STI126"/>
      <c r="STJ126"/>
      <c r="STK126"/>
      <c r="STL126"/>
      <c r="STM126"/>
      <c r="STN126"/>
      <c r="STO126"/>
      <c r="STP126"/>
      <c r="STQ126"/>
      <c r="STR126"/>
      <c r="STS126"/>
      <c r="STT126"/>
      <c r="STU126"/>
      <c r="STV126"/>
      <c r="STW126"/>
      <c r="STX126"/>
      <c r="STY126"/>
      <c r="STZ126"/>
      <c r="SUA126"/>
      <c r="SUB126"/>
      <c r="SUC126"/>
      <c r="SUD126"/>
      <c r="SUE126"/>
      <c r="SUF126"/>
      <c r="SUG126"/>
      <c r="SUH126"/>
      <c r="SUI126"/>
      <c r="SUJ126"/>
      <c r="SUK126"/>
      <c r="SUL126"/>
      <c r="SUM126"/>
      <c r="SUN126"/>
      <c r="SUO126"/>
      <c r="SUP126"/>
      <c r="SUQ126"/>
      <c r="SUR126"/>
      <c r="SUS126"/>
      <c r="SUT126"/>
      <c r="SUU126"/>
      <c r="SUV126"/>
      <c r="SUW126"/>
      <c r="SUX126"/>
      <c r="SUY126"/>
      <c r="SUZ126"/>
      <c r="SVA126"/>
      <c r="SVB126"/>
      <c r="SVC126"/>
      <c r="SVD126"/>
      <c r="SVE126"/>
      <c r="SVF126"/>
      <c r="SVG126"/>
      <c r="SVH126"/>
      <c r="SVI126"/>
      <c r="SVJ126"/>
      <c r="SVK126"/>
      <c r="SVL126"/>
      <c r="SVM126"/>
      <c r="SVN126"/>
      <c r="SVO126"/>
      <c r="SVP126"/>
      <c r="SVQ126"/>
      <c r="SVR126"/>
      <c r="SVS126"/>
      <c r="SVT126"/>
      <c r="SVU126"/>
      <c r="SVV126"/>
      <c r="SVW126"/>
      <c r="SVX126"/>
      <c r="SVY126"/>
      <c r="SVZ126"/>
      <c r="SWA126"/>
      <c r="SWB126"/>
      <c r="SWC126"/>
      <c r="SWD126"/>
      <c r="SWE126"/>
      <c r="SWF126"/>
      <c r="SWG126"/>
      <c r="SWH126"/>
      <c r="SWI126"/>
      <c r="SWJ126"/>
      <c r="SWK126"/>
      <c r="SWL126"/>
      <c r="SWM126"/>
      <c r="SWN126"/>
      <c r="SWO126"/>
      <c r="SWP126"/>
      <c r="SWQ126"/>
      <c r="SWR126"/>
      <c r="SWS126"/>
      <c r="SWT126"/>
      <c r="SWU126"/>
      <c r="SWV126"/>
      <c r="SWW126"/>
      <c r="SWX126"/>
      <c r="SWY126"/>
      <c r="SWZ126"/>
      <c r="SXA126"/>
      <c r="SXB126"/>
      <c r="SXC126"/>
      <c r="SXD126"/>
      <c r="SXE126"/>
      <c r="SXF126"/>
      <c r="SXG126"/>
      <c r="SXH126"/>
      <c r="SXI126"/>
      <c r="SXJ126"/>
      <c r="SXK126"/>
      <c r="SXL126"/>
      <c r="SXM126"/>
      <c r="SXN126"/>
      <c r="SXO126"/>
      <c r="SXP126"/>
      <c r="SXQ126"/>
      <c r="SXR126"/>
      <c r="SXS126"/>
      <c r="SXT126"/>
      <c r="SXU126"/>
      <c r="SXV126"/>
      <c r="SXW126"/>
      <c r="SXX126"/>
      <c r="SXY126"/>
      <c r="SXZ126"/>
      <c r="SYA126"/>
      <c r="SYB126"/>
      <c r="SYC126"/>
      <c r="SYD126"/>
      <c r="SYE126"/>
      <c r="SYF126"/>
      <c r="SYG126"/>
      <c r="SYH126"/>
      <c r="SYI126"/>
      <c r="SYJ126"/>
      <c r="SYK126"/>
      <c r="SYL126"/>
      <c r="SYM126"/>
      <c r="SYN126"/>
      <c r="SYO126"/>
      <c r="SYP126"/>
      <c r="SYQ126"/>
      <c r="SYR126"/>
      <c r="SYS126"/>
      <c r="SYT126"/>
      <c r="SYU126"/>
      <c r="SYV126"/>
      <c r="SYW126"/>
      <c r="SYX126"/>
      <c r="SYY126"/>
      <c r="SYZ126"/>
      <c r="SZA126"/>
      <c r="SZB126"/>
      <c r="SZC126"/>
      <c r="SZD126"/>
      <c r="SZE126"/>
      <c r="SZF126"/>
      <c r="SZG126"/>
      <c r="SZH126"/>
      <c r="SZI126"/>
      <c r="SZJ126"/>
      <c r="SZK126"/>
      <c r="SZL126"/>
      <c r="SZM126"/>
      <c r="SZN126"/>
      <c r="SZO126"/>
      <c r="SZP126"/>
      <c r="SZQ126"/>
      <c r="SZR126"/>
      <c r="SZS126"/>
      <c r="SZT126"/>
      <c r="SZU126"/>
      <c r="SZV126"/>
      <c r="SZW126"/>
      <c r="SZX126"/>
      <c r="SZY126"/>
      <c r="SZZ126"/>
      <c r="TAA126"/>
      <c r="TAB126"/>
      <c r="TAC126"/>
      <c r="TAD126"/>
      <c r="TAE126"/>
      <c r="TAF126"/>
      <c r="TAG126"/>
      <c r="TAH126"/>
      <c r="TAI126"/>
      <c r="TAJ126"/>
      <c r="TAK126"/>
      <c r="TAL126"/>
      <c r="TAM126"/>
      <c r="TAN126"/>
      <c r="TAO126"/>
      <c r="TAP126"/>
      <c r="TAQ126"/>
      <c r="TAR126"/>
      <c r="TAS126"/>
      <c r="TAT126"/>
      <c r="TAU126"/>
      <c r="TAV126"/>
      <c r="TAW126"/>
      <c r="TAX126"/>
      <c r="TAY126"/>
      <c r="TAZ126"/>
      <c r="TBA126"/>
      <c r="TBB126"/>
      <c r="TBC126"/>
      <c r="TBD126"/>
      <c r="TBE126"/>
      <c r="TBF126"/>
      <c r="TBG126"/>
      <c r="TBH126"/>
      <c r="TBI126"/>
      <c r="TBJ126"/>
      <c r="TBK126"/>
      <c r="TBL126"/>
      <c r="TBM126"/>
      <c r="TBN126"/>
      <c r="TBO126"/>
      <c r="TBP126"/>
      <c r="TBQ126"/>
      <c r="TBR126"/>
      <c r="TBS126"/>
      <c r="TBT126"/>
      <c r="TBU126"/>
      <c r="TBV126"/>
      <c r="TBW126"/>
      <c r="TBX126"/>
      <c r="TBY126"/>
      <c r="TBZ126"/>
      <c r="TCA126"/>
      <c r="TCB126"/>
      <c r="TCC126"/>
      <c r="TCD126"/>
      <c r="TCE126"/>
      <c r="TCF126"/>
      <c r="TCG126"/>
      <c r="TCH126"/>
      <c r="TCI126"/>
      <c r="TCJ126"/>
      <c r="TCK126"/>
      <c r="TCL126"/>
      <c r="TCM126"/>
      <c r="TCN126"/>
      <c r="TCO126"/>
      <c r="TCP126"/>
      <c r="TCQ126"/>
      <c r="TCR126"/>
      <c r="TCS126"/>
      <c r="TCT126"/>
      <c r="TCU126"/>
      <c r="TCV126"/>
      <c r="TCW126"/>
      <c r="TCX126"/>
      <c r="TCY126"/>
      <c r="TCZ126"/>
      <c r="TDA126"/>
      <c r="TDB126"/>
      <c r="TDC126"/>
      <c r="TDD126"/>
      <c r="TDE126"/>
      <c r="TDF126"/>
      <c r="TDG126"/>
      <c r="TDH126"/>
      <c r="TDI126"/>
      <c r="TDJ126"/>
      <c r="TDK126"/>
      <c r="TDL126"/>
      <c r="TDM126"/>
      <c r="TDN126"/>
      <c r="TDO126"/>
      <c r="TDP126"/>
      <c r="TDQ126"/>
      <c r="TDR126"/>
      <c r="TDS126"/>
      <c r="TDT126"/>
      <c r="TDU126"/>
      <c r="TDV126"/>
      <c r="TDW126"/>
      <c r="TDX126"/>
      <c r="TDY126"/>
      <c r="TDZ126"/>
      <c r="TEA126"/>
      <c r="TEB126"/>
      <c r="TEC126"/>
      <c r="TED126"/>
      <c r="TEE126"/>
      <c r="TEF126"/>
      <c r="TEG126"/>
      <c r="TEH126"/>
      <c r="TEI126"/>
      <c r="TEJ126"/>
      <c r="TEK126"/>
      <c r="TEL126"/>
      <c r="TEM126"/>
      <c r="TEN126"/>
      <c r="TEO126"/>
      <c r="TEP126"/>
      <c r="TEQ126"/>
      <c r="TER126"/>
      <c r="TES126"/>
      <c r="TET126"/>
      <c r="TEU126"/>
      <c r="TEV126"/>
      <c r="TEW126"/>
      <c r="TEX126"/>
      <c r="TEY126"/>
      <c r="TEZ126"/>
      <c r="TFA126"/>
      <c r="TFB126"/>
      <c r="TFC126"/>
      <c r="TFD126"/>
      <c r="TFE126"/>
      <c r="TFF126"/>
      <c r="TFG126"/>
      <c r="TFH126"/>
      <c r="TFI126"/>
      <c r="TFJ126"/>
      <c r="TFK126"/>
      <c r="TFL126"/>
      <c r="TFM126"/>
      <c r="TFN126"/>
      <c r="TFO126"/>
      <c r="TFP126"/>
      <c r="TFQ126"/>
      <c r="TFR126"/>
      <c r="TFS126"/>
      <c r="TFT126"/>
      <c r="TFU126"/>
      <c r="TFV126"/>
      <c r="TFW126"/>
      <c r="TFX126"/>
      <c r="TFY126"/>
      <c r="TFZ126"/>
      <c r="TGA126"/>
      <c r="TGB126"/>
      <c r="TGC126"/>
      <c r="TGD126"/>
      <c r="TGE126"/>
      <c r="TGF126"/>
      <c r="TGG126"/>
      <c r="TGH126"/>
      <c r="TGI126"/>
      <c r="TGJ126"/>
      <c r="TGK126"/>
      <c r="TGL126"/>
      <c r="TGM126"/>
      <c r="TGN126"/>
      <c r="TGO126"/>
      <c r="TGP126"/>
      <c r="TGQ126"/>
      <c r="TGR126"/>
      <c r="TGS126"/>
      <c r="TGT126"/>
      <c r="TGU126"/>
      <c r="TGV126"/>
      <c r="TGW126"/>
      <c r="TGX126"/>
      <c r="TGY126"/>
      <c r="TGZ126"/>
      <c r="THA126"/>
      <c r="THB126"/>
      <c r="THC126"/>
      <c r="THD126"/>
      <c r="THE126"/>
      <c r="THF126"/>
      <c r="THG126"/>
      <c r="THH126"/>
      <c r="THI126"/>
      <c r="THJ126"/>
      <c r="THK126"/>
      <c r="THL126"/>
      <c r="THM126"/>
      <c r="THN126"/>
      <c r="THO126"/>
      <c r="THP126"/>
      <c r="THQ126"/>
      <c r="THR126"/>
      <c r="THS126"/>
      <c r="THT126"/>
      <c r="THU126"/>
      <c r="THV126"/>
      <c r="THW126"/>
      <c r="THX126"/>
      <c r="THY126"/>
      <c r="THZ126"/>
      <c r="TIA126"/>
      <c r="TIB126"/>
      <c r="TIC126"/>
      <c r="TID126"/>
      <c r="TIE126"/>
      <c r="TIF126"/>
      <c r="TIG126"/>
      <c r="TIH126"/>
      <c r="TII126"/>
      <c r="TIJ126"/>
      <c r="TIK126"/>
      <c r="TIL126"/>
      <c r="TIM126"/>
      <c r="TIN126"/>
      <c r="TIO126"/>
      <c r="TIP126"/>
      <c r="TIQ126"/>
      <c r="TIR126"/>
      <c r="TIS126"/>
      <c r="TIT126"/>
      <c r="TIU126"/>
      <c r="TIV126"/>
      <c r="TIW126"/>
      <c r="TIX126"/>
      <c r="TIY126"/>
      <c r="TIZ126"/>
      <c r="TJA126"/>
      <c r="TJB126"/>
      <c r="TJC126"/>
      <c r="TJD126"/>
      <c r="TJE126"/>
      <c r="TJF126"/>
      <c r="TJG126"/>
      <c r="TJH126"/>
      <c r="TJI126"/>
      <c r="TJJ126"/>
      <c r="TJK126"/>
      <c r="TJL126"/>
      <c r="TJM126"/>
      <c r="TJN126"/>
      <c r="TJO126"/>
      <c r="TJP126"/>
      <c r="TJQ126"/>
      <c r="TJR126"/>
      <c r="TJS126"/>
      <c r="TJT126"/>
      <c r="TJU126"/>
      <c r="TJV126"/>
      <c r="TJW126"/>
      <c r="TJX126"/>
      <c r="TJY126"/>
      <c r="TJZ126"/>
      <c r="TKA126"/>
      <c r="TKB126"/>
      <c r="TKC126"/>
      <c r="TKD126"/>
      <c r="TKE126"/>
      <c r="TKF126"/>
      <c r="TKG126"/>
      <c r="TKH126"/>
      <c r="TKI126"/>
      <c r="TKJ126"/>
      <c r="TKK126"/>
      <c r="TKL126"/>
      <c r="TKM126"/>
      <c r="TKN126"/>
      <c r="TKO126"/>
      <c r="TKP126"/>
      <c r="TKQ126"/>
      <c r="TKR126"/>
      <c r="TKS126"/>
      <c r="TKT126"/>
      <c r="TKU126"/>
      <c r="TKV126"/>
      <c r="TKW126"/>
      <c r="TKX126"/>
      <c r="TKY126"/>
      <c r="TKZ126"/>
      <c r="TLA126"/>
      <c r="TLB126"/>
      <c r="TLC126"/>
      <c r="TLD126"/>
      <c r="TLE126"/>
      <c r="TLF126"/>
      <c r="TLG126"/>
      <c r="TLH126"/>
      <c r="TLI126"/>
      <c r="TLJ126"/>
      <c r="TLK126"/>
      <c r="TLL126"/>
      <c r="TLM126"/>
      <c r="TLN126"/>
      <c r="TLO126"/>
      <c r="TLP126"/>
      <c r="TLQ126"/>
      <c r="TLR126"/>
      <c r="TLS126"/>
      <c r="TLT126"/>
      <c r="TLU126"/>
      <c r="TLV126"/>
      <c r="TLW126"/>
      <c r="TLX126"/>
      <c r="TLY126"/>
      <c r="TLZ126"/>
      <c r="TMA126"/>
      <c r="TMB126"/>
      <c r="TMC126"/>
      <c r="TMD126"/>
      <c r="TME126"/>
      <c r="TMF126"/>
      <c r="TMG126"/>
      <c r="TMH126"/>
      <c r="TMI126"/>
      <c r="TMJ126"/>
      <c r="TMK126"/>
      <c r="TML126"/>
      <c r="TMM126"/>
      <c r="TMN126"/>
      <c r="TMO126"/>
      <c r="TMP126"/>
      <c r="TMQ126"/>
      <c r="TMR126"/>
      <c r="TMS126"/>
      <c r="TMT126"/>
      <c r="TMU126"/>
      <c r="TMV126"/>
      <c r="TMW126"/>
      <c r="TMX126"/>
      <c r="TMY126"/>
      <c r="TMZ126"/>
      <c r="TNA126"/>
      <c r="TNB126"/>
      <c r="TNC126"/>
      <c r="TND126"/>
      <c r="TNE126"/>
      <c r="TNF126"/>
      <c r="TNG126"/>
      <c r="TNH126"/>
      <c r="TNI126"/>
      <c r="TNJ126"/>
      <c r="TNK126"/>
      <c r="TNL126"/>
      <c r="TNM126"/>
      <c r="TNN126"/>
      <c r="TNO126"/>
      <c r="TNP126"/>
      <c r="TNQ126"/>
      <c r="TNR126"/>
      <c r="TNS126"/>
      <c r="TNT126"/>
      <c r="TNU126"/>
      <c r="TNV126"/>
      <c r="TNW126"/>
      <c r="TNX126"/>
      <c r="TNY126"/>
      <c r="TNZ126"/>
      <c r="TOA126"/>
      <c r="TOB126"/>
      <c r="TOC126"/>
      <c r="TOD126"/>
      <c r="TOE126"/>
      <c r="TOF126"/>
      <c r="TOG126"/>
      <c r="TOH126"/>
      <c r="TOI126"/>
      <c r="TOJ126"/>
      <c r="TOK126"/>
      <c r="TOL126"/>
      <c r="TOM126"/>
      <c r="TON126"/>
      <c r="TOO126"/>
      <c r="TOP126"/>
      <c r="TOQ126"/>
      <c r="TOR126"/>
      <c r="TOS126"/>
      <c r="TOT126"/>
      <c r="TOU126"/>
      <c r="TOV126"/>
      <c r="TOW126"/>
      <c r="TOX126"/>
      <c r="TOY126"/>
      <c r="TOZ126"/>
      <c r="TPA126"/>
      <c r="TPB126"/>
      <c r="TPC126"/>
      <c r="TPD126"/>
      <c r="TPE126"/>
      <c r="TPF126"/>
      <c r="TPG126"/>
      <c r="TPH126"/>
      <c r="TPI126"/>
      <c r="TPJ126"/>
      <c r="TPK126"/>
      <c r="TPL126"/>
      <c r="TPM126"/>
      <c r="TPN126"/>
      <c r="TPO126"/>
      <c r="TPP126"/>
      <c r="TPQ126"/>
      <c r="TPR126"/>
      <c r="TPS126"/>
      <c r="TPT126"/>
      <c r="TPU126"/>
      <c r="TPV126"/>
      <c r="TPW126"/>
      <c r="TPX126"/>
      <c r="TPY126"/>
      <c r="TPZ126"/>
      <c r="TQA126"/>
      <c r="TQB126"/>
      <c r="TQC126"/>
      <c r="TQD126"/>
      <c r="TQE126"/>
      <c r="TQF126"/>
      <c r="TQG126"/>
      <c r="TQH126"/>
      <c r="TQI126"/>
      <c r="TQJ126"/>
      <c r="TQK126"/>
      <c r="TQL126"/>
      <c r="TQM126"/>
      <c r="TQN126"/>
      <c r="TQO126"/>
      <c r="TQP126"/>
      <c r="TQQ126"/>
      <c r="TQR126"/>
      <c r="TQS126"/>
      <c r="TQT126"/>
      <c r="TQU126"/>
      <c r="TQV126"/>
      <c r="TQW126"/>
      <c r="TQX126"/>
      <c r="TQY126"/>
      <c r="TQZ126"/>
      <c r="TRA126"/>
      <c r="TRB126"/>
      <c r="TRC126"/>
      <c r="TRD126"/>
      <c r="TRE126"/>
      <c r="TRF126"/>
      <c r="TRG126"/>
      <c r="TRH126"/>
      <c r="TRI126"/>
      <c r="TRJ126"/>
      <c r="TRK126"/>
      <c r="TRL126"/>
      <c r="TRM126"/>
      <c r="TRN126"/>
      <c r="TRO126"/>
      <c r="TRP126"/>
      <c r="TRQ126"/>
      <c r="TRR126"/>
      <c r="TRS126"/>
      <c r="TRT126"/>
      <c r="TRU126"/>
      <c r="TRV126"/>
      <c r="TRW126"/>
      <c r="TRX126"/>
      <c r="TRY126"/>
      <c r="TRZ126"/>
      <c r="TSA126"/>
      <c r="TSB126"/>
      <c r="TSC126"/>
      <c r="TSD126"/>
      <c r="TSE126"/>
      <c r="TSF126"/>
      <c r="TSG126"/>
      <c r="TSH126"/>
      <c r="TSI126"/>
      <c r="TSJ126"/>
      <c r="TSK126"/>
      <c r="TSL126"/>
      <c r="TSM126"/>
      <c r="TSN126"/>
      <c r="TSO126"/>
      <c r="TSP126"/>
      <c r="TSQ126"/>
      <c r="TSR126"/>
      <c r="TSS126"/>
      <c r="TST126"/>
      <c r="TSU126"/>
      <c r="TSV126"/>
      <c r="TSW126"/>
      <c r="TSX126"/>
      <c r="TSY126"/>
      <c r="TSZ126"/>
      <c r="TTA126"/>
      <c r="TTB126"/>
      <c r="TTC126"/>
      <c r="TTD126"/>
      <c r="TTE126"/>
      <c r="TTF126"/>
      <c r="TTG126"/>
      <c r="TTH126"/>
      <c r="TTI126"/>
      <c r="TTJ126"/>
      <c r="TTK126"/>
      <c r="TTL126"/>
      <c r="TTM126"/>
      <c r="TTN126"/>
      <c r="TTO126"/>
      <c r="TTP126"/>
      <c r="TTQ126"/>
      <c r="TTR126"/>
      <c r="TTS126"/>
      <c r="TTT126"/>
      <c r="TTU126"/>
      <c r="TTV126"/>
      <c r="TTW126"/>
      <c r="TTX126"/>
      <c r="TTY126"/>
      <c r="TTZ126"/>
      <c r="TUA126"/>
      <c r="TUB126"/>
      <c r="TUC126"/>
      <c r="TUD126"/>
      <c r="TUE126"/>
      <c r="TUF126"/>
      <c r="TUG126"/>
      <c r="TUH126"/>
      <c r="TUI126"/>
      <c r="TUJ126"/>
      <c r="TUK126"/>
      <c r="TUL126"/>
      <c r="TUM126"/>
      <c r="TUN126"/>
      <c r="TUO126"/>
      <c r="TUP126"/>
      <c r="TUQ126"/>
      <c r="TUR126"/>
      <c r="TUS126"/>
      <c r="TUT126"/>
      <c r="TUU126"/>
      <c r="TUV126"/>
      <c r="TUW126"/>
      <c r="TUX126"/>
      <c r="TUY126"/>
      <c r="TUZ126"/>
      <c r="TVA126"/>
      <c r="TVB126"/>
      <c r="TVC126"/>
      <c r="TVD126"/>
      <c r="TVE126"/>
      <c r="TVF126"/>
      <c r="TVG126"/>
      <c r="TVH126"/>
      <c r="TVI126"/>
      <c r="TVJ126"/>
      <c r="TVK126"/>
      <c r="TVL126"/>
      <c r="TVM126"/>
      <c r="TVN126"/>
      <c r="TVO126"/>
      <c r="TVP126"/>
      <c r="TVQ126"/>
      <c r="TVR126"/>
      <c r="TVS126"/>
      <c r="TVT126"/>
      <c r="TVU126"/>
      <c r="TVV126"/>
      <c r="TVW126"/>
      <c r="TVX126"/>
      <c r="TVY126"/>
      <c r="TVZ126"/>
      <c r="TWA126"/>
      <c r="TWB126"/>
      <c r="TWC126"/>
      <c r="TWD126"/>
      <c r="TWE126"/>
      <c r="TWF126"/>
      <c r="TWG126"/>
      <c r="TWH126"/>
      <c r="TWI126"/>
      <c r="TWJ126"/>
      <c r="TWK126"/>
      <c r="TWL126"/>
      <c r="TWM126"/>
      <c r="TWN126"/>
      <c r="TWO126"/>
      <c r="TWP126"/>
      <c r="TWQ126"/>
      <c r="TWR126"/>
      <c r="TWS126"/>
      <c r="TWT126"/>
      <c r="TWU126"/>
      <c r="TWV126"/>
      <c r="TWW126"/>
      <c r="TWX126"/>
      <c r="TWY126"/>
      <c r="TWZ126"/>
      <c r="TXA126"/>
      <c r="TXB126"/>
      <c r="TXC126"/>
      <c r="TXD126"/>
      <c r="TXE126"/>
      <c r="TXF126"/>
      <c r="TXG126"/>
      <c r="TXH126"/>
      <c r="TXI126"/>
      <c r="TXJ126"/>
      <c r="TXK126"/>
      <c r="TXL126"/>
      <c r="TXM126"/>
      <c r="TXN126"/>
      <c r="TXO126"/>
      <c r="TXP126"/>
      <c r="TXQ126"/>
      <c r="TXR126"/>
      <c r="TXS126"/>
      <c r="TXT126"/>
      <c r="TXU126"/>
      <c r="TXV126"/>
      <c r="TXW126"/>
      <c r="TXX126"/>
      <c r="TXY126"/>
      <c r="TXZ126"/>
      <c r="TYA126"/>
      <c r="TYB126"/>
      <c r="TYC126"/>
      <c r="TYD126"/>
      <c r="TYE126"/>
      <c r="TYF126"/>
      <c r="TYG126"/>
      <c r="TYH126"/>
      <c r="TYI126"/>
      <c r="TYJ126"/>
      <c r="TYK126"/>
      <c r="TYL126"/>
      <c r="TYM126"/>
      <c r="TYN126"/>
      <c r="TYO126"/>
      <c r="TYP126"/>
      <c r="TYQ126"/>
      <c r="TYR126"/>
      <c r="TYS126"/>
      <c r="TYT126"/>
      <c r="TYU126"/>
      <c r="TYV126"/>
      <c r="TYW126"/>
      <c r="TYX126"/>
      <c r="TYY126"/>
      <c r="TYZ126"/>
      <c r="TZA126"/>
      <c r="TZB126"/>
      <c r="TZC126"/>
      <c r="TZD126"/>
      <c r="TZE126"/>
      <c r="TZF126"/>
      <c r="TZG126"/>
      <c r="TZH126"/>
      <c r="TZI126"/>
      <c r="TZJ126"/>
      <c r="TZK126"/>
      <c r="TZL126"/>
      <c r="TZM126"/>
      <c r="TZN126"/>
      <c r="TZO126"/>
      <c r="TZP126"/>
      <c r="TZQ126"/>
      <c r="TZR126"/>
      <c r="TZS126"/>
      <c r="TZT126"/>
      <c r="TZU126"/>
      <c r="TZV126"/>
      <c r="TZW126"/>
      <c r="TZX126"/>
      <c r="TZY126"/>
      <c r="TZZ126"/>
      <c r="UAA126"/>
      <c r="UAB126"/>
      <c r="UAC126"/>
      <c r="UAD126"/>
      <c r="UAE126"/>
      <c r="UAF126"/>
      <c r="UAG126"/>
      <c r="UAH126"/>
      <c r="UAI126"/>
      <c r="UAJ126"/>
      <c r="UAK126"/>
      <c r="UAL126"/>
      <c r="UAM126"/>
      <c r="UAN126"/>
      <c r="UAO126"/>
      <c r="UAP126"/>
      <c r="UAQ126"/>
      <c r="UAR126"/>
      <c r="UAS126"/>
      <c r="UAT126"/>
      <c r="UAU126"/>
      <c r="UAV126"/>
      <c r="UAW126"/>
      <c r="UAX126"/>
      <c r="UAY126"/>
      <c r="UAZ126"/>
      <c r="UBA126"/>
      <c r="UBB126"/>
      <c r="UBC126"/>
      <c r="UBD126"/>
      <c r="UBE126"/>
      <c r="UBF126"/>
      <c r="UBG126"/>
      <c r="UBH126"/>
      <c r="UBI126"/>
      <c r="UBJ126"/>
      <c r="UBK126"/>
      <c r="UBL126"/>
      <c r="UBM126"/>
      <c r="UBN126"/>
      <c r="UBO126"/>
      <c r="UBP126"/>
      <c r="UBQ126"/>
      <c r="UBR126"/>
      <c r="UBS126"/>
      <c r="UBT126"/>
      <c r="UBU126"/>
      <c r="UBV126"/>
      <c r="UBW126"/>
      <c r="UBX126"/>
      <c r="UBY126"/>
      <c r="UBZ126"/>
      <c r="UCA126"/>
      <c r="UCB126"/>
      <c r="UCC126"/>
      <c r="UCD126"/>
      <c r="UCE126"/>
      <c r="UCF126"/>
      <c r="UCG126"/>
      <c r="UCH126"/>
      <c r="UCI126"/>
      <c r="UCJ126"/>
      <c r="UCK126"/>
      <c r="UCL126"/>
      <c r="UCM126"/>
      <c r="UCN126"/>
      <c r="UCO126"/>
      <c r="UCP126"/>
      <c r="UCQ126"/>
      <c r="UCR126"/>
      <c r="UCS126"/>
      <c r="UCT126"/>
      <c r="UCU126"/>
      <c r="UCV126"/>
      <c r="UCW126"/>
      <c r="UCX126"/>
      <c r="UCY126"/>
      <c r="UCZ126"/>
      <c r="UDA126"/>
      <c r="UDB126"/>
      <c r="UDC126"/>
      <c r="UDD126"/>
      <c r="UDE126"/>
      <c r="UDF126"/>
      <c r="UDG126"/>
      <c r="UDH126"/>
      <c r="UDI126"/>
      <c r="UDJ126"/>
      <c r="UDK126"/>
      <c r="UDL126"/>
      <c r="UDM126"/>
      <c r="UDN126"/>
      <c r="UDO126"/>
      <c r="UDP126"/>
      <c r="UDQ126"/>
      <c r="UDR126"/>
      <c r="UDS126"/>
      <c r="UDT126"/>
      <c r="UDU126"/>
      <c r="UDV126"/>
      <c r="UDW126"/>
      <c r="UDX126"/>
      <c r="UDY126"/>
      <c r="UDZ126"/>
      <c r="UEA126"/>
      <c r="UEB126"/>
      <c r="UEC126"/>
      <c r="UED126"/>
      <c r="UEE126"/>
      <c r="UEF126"/>
      <c r="UEG126"/>
      <c r="UEH126"/>
      <c r="UEI126"/>
      <c r="UEJ126"/>
      <c r="UEK126"/>
      <c r="UEL126"/>
      <c r="UEM126"/>
      <c r="UEN126"/>
      <c r="UEO126"/>
      <c r="UEP126"/>
      <c r="UEQ126"/>
      <c r="UER126"/>
      <c r="UES126"/>
      <c r="UET126"/>
      <c r="UEU126"/>
      <c r="UEV126"/>
      <c r="UEW126"/>
      <c r="UEX126"/>
      <c r="UEY126"/>
      <c r="UEZ126"/>
      <c r="UFA126"/>
      <c r="UFB126"/>
      <c r="UFC126"/>
      <c r="UFD126"/>
      <c r="UFE126"/>
      <c r="UFF126"/>
      <c r="UFG126"/>
      <c r="UFH126"/>
      <c r="UFI126"/>
      <c r="UFJ126"/>
      <c r="UFK126"/>
      <c r="UFL126"/>
      <c r="UFM126"/>
      <c r="UFN126"/>
      <c r="UFO126"/>
      <c r="UFP126"/>
      <c r="UFQ126"/>
      <c r="UFR126"/>
      <c r="UFS126"/>
      <c r="UFT126"/>
      <c r="UFU126"/>
      <c r="UFV126"/>
      <c r="UFW126"/>
      <c r="UFX126"/>
      <c r="UFY126"/>
      <c r="UFZ126"/>
      <c r="UGA126"/>
      <c r="UGB126"/>
      <c r="UGC126"/>
      <c r="UGD126"/>
      <c r="UGE126"/>
      <c r="UGF126"/>
      <c r="UGG126"/>
      <c r="UGH126"/>
      <c r="UGI126"/>
      <c r="UGJ126"/>
      <c r="UGK126"/>
      <c r="UGL126"/>
      <c r="UGM126"/>
      <c r="UGN126"/>
      <c r="UGO126"/>
      <c r="UGP126"/>
      <c r="UGQ126"/>
      <c r="UGR126"/>
      <c r="UGS126"/>
      <c r="UGT126"/>
      <c r="UGU126"/>
      <c r="UGV126"/>
      <c r="UGW126"/>
      <c r="UGX126"/>
      <c r="UGY126"/>
      <c r="UGZ126"/>
      <c r="UHA126"/>
      <c r="UHB126"/>
      <c r="UHC126"/>
      <c r="UHD126"/>
      <c r="UHE126"/>
      <c r="UHF126"/>
      <c r="UHG126"/>
      <c r="UHH126"/>
      <c r="UHI126"/>
      <c r="UHJ126"/>
      <c r="UHK126"/>
      <c r="UHL126"/>
      <c r="UHM126"/>
      <c r="UHN126"/>
      <c r="UHO126"/>
      <c r="UHP126"/>
      <c r="UHQ126"/>
      <c r="UHR126"/>
      <c r="UHS126"/>
      <c r="UHT126"/>
      <c r="UHU126"/>
      <c r="UHV126"/>
      <c r="UHW126"/>
      <c r="UHX126"/>
      <c r="UHY126"/>
      <c r="UHZ126"/>
      <c r="UIA126"/>
      <c r="UIB126"/>
      <c r="UIC126"/>
      <c r="UID126"/>
      <c r="UIE126"/>
      <c r="UIF126"/>
      <c r="UIG126"/>
      <c r="UIH126"/>
      <c r="UII126"/>
      <c r="UIJ126"/>
      <c r="UIK126"/>
      <c r="UIL126"/>
      <c r="UIM126"/>
      <c r="UIN126"/>
      <c r="UIO126"/>
      <c r="UIP126"/>
      <c r="UIQ126"/>
      <c r="UIR126"/>
      <c r="UIS126"/>
      <c r="UIT126"/>
      <c r="UIU126"/>
      <c r="UIV126"/>
      <c r="UIW126"/>
      <c r="UIX126"/>
      <c r="UIY126"/>
      <c r="UIZ126"/>
      <c r="UJA126"/>
      <c r="UJB126"/>
      <c r="UJC126"/>
      <c r="UJD126"/>
      <c r="UJE126"/>
      <c r="UJF126"/>
      <c r="UJG126"/>
      <c r="UJH126"/>
      <c r="UJI126"/>
      <c r="UJJ126"/>
      <c r="UJK126"/>
      <c r="UJL126"/>
      <c r="UJM126"/>
      <c r="UJN126"/>
      <c r="UJO126"/>
      <c r="UJP126"/>
      <c r="UJQ126"/>
      <c r="UJR126"/>
      <c r="UJS126"/>
      <c r="UJT126"/>
      <c r="UJU126"/>
      <c r="UJV126"/>
      <c r="UJW126"/>
      <c r="UJX126"/>
      <c r="UJY126"/>
      <c r="UJZ126"/>
      <c r="UKA126"/>
      <c r="UKB126"/>
      <c r="UKC126"/>
      <c r="UKD126"/>
      <c r="UKE126"/>
      <c r="UKF126"/>
      <c r="UKG126"/>
      <c r="UKH126"/>
      <c r="UKI126"/>
      <c r="UKJ126"/>
      <c r="UKK126"/>
      <c r="UKL126"/>
      <c r="UKM126"/>
      <c r="UKN126"/>
      <c r="UKO126"/>
      <c r="UKP126"/>
      <c r="UKQ126"/>
      <c r="UKR126"/>
      <c r="UKS126"/>
      <c r="UKT126"/>
      <c r="UKU126"/>
      <c r="UKV126"/>
      <c r="UKW126"/>
      <c r="UKX126"/>
      <c r="UKY126"/>
      <c r="UKZ126"/>
      <c r="ULA126"/>
      <c r="ULB126"/>
      <c r="ULC126"/>
      <c r="ULD126"/>
      <c r="ULE126"/>
      <c r="ULF126"/>
      <c r="ULG126"/>
      <c r="ULH126"/>
      <c r="ULI126"/>
      <c r="ULJ126"/>
      <c r="ULK126"/>
      <c r="ULL126"/>
      <c r="ULM126"/>
      <c r="ULN126"/>
      <c r="ULO126"/>
      <c r="ULP126"/>
      <c r="ULQ126"/>
      <c r="ULR126"/>
      <c r="ULS126"/>
      <c r="ULT126"/>
      <c r="ULU126"/>
      <c r="ULV126"/>
      <c r="ULW126"/>
      <c r="ULX126"/>
      <c r="ULY126"/>
      <c r="ULZ126"/>
      <c r="UMA126"/>
      <c r="UMB126"/>
      <c r="UMC126"/>
      <c r="UMD126"/>
      <c r="UME126"/>
      <c r="UMF126"/>
      <c r="UMG126"/>
      <c r="UMH126"/>
      <c r="UMI126"/>
      <c r="UMJ126"/>
      <c r="UMK126"/>
      <c r="UML126"/>
      <c r="UMM126"/>
      <c r="UMN126"/>
      <c r="UMO126"/>
      <c r="UMP126"/>
      <c r="UMQ126"/>
      <c r="UMR126"/>
      <c r="UMS126"/>
      <c r="UMT126"/>
      <c r="UMU126"/>
      <c r="UMV126"/>
      <c r="UMW126"/>
      <c r="UMX126"/>
      <c r="UMY126"/>
      <c r="UMZ126"/>
      <c r="UNA126"/>
      <c r="UNB126"/>
      <c r="UNC126"/>
      <c r="UND126"/>
      <c r="UNE126"/>
      <c r="UNF126"/>
      <c r="UNG126"/>
      <c r="UNH126"/>
      <c r="UNI126"/>
      <c r="UNJ126"/>
      <c r="UNK126"/>
      <c r="UNL126"/>
      <c r="UNM126"/>
      <c r="UNN126"/>
      <c r="UNO126"/>
      <c r="UNP126"/>
      <c r="UNQ126"/>
      <c r="UNR126"/>
      <c r="UNS126"/>
      <c r="UNT126"/>
      <c r="UNU126"/>
      <c r="UNV126"/>
      <c r="UNW126"/>
      <c r="UNX126"/>
      <c r="UNY126"/>
      <c r="UNZ126"/>
      <c r="UOA126"/>
      <c r="UOB126"/>
      <c r="UOC126"/>
      <c r="UOD126"/>
      <c r="UOE126"/>
      <c r="UOF126"/>
      <c r="UOG126"/>
      <c r="UOH126"/>
      <c r="UOI126"/>
      <c r="UOJ126"/>
      <c r="UOK126"/>
      <c r="UOL126"/>
      <c r="UOM126"/>
      <c r="UON126"/>
      <c r="UOO126"/>
      <c r="UOP126"/>
      <c r="UOQ126"/>
      <c r="UOR126"/>
      <c r="UOS126"/>
      <c r="UOT126"/>
      <c r="UOU126"/>
      <c r="UOV126"/>
      <c r="UOW126"/>
      <c r="UOX126"/>
      <c r="UOY126"/>
      <c r="UOZ126"/>
      <c r="UPA126"/>
      <c r="UPB126"/>
      <c r="UPC126"/>
      <c r="UPD126"/>
      <c r="UPE126"/>
      <c r="UPF126"/>
      <c r="UPG126"/>
      <c r="UPH126"/>
      <c r="UPI126"/>
      <c r="UPJ126"/>
      <c r="UPK126"/>
      <c r="UPL126"/>
      <c r="UPM126"/>
      <c r="UPN126"/>
      <c r="UPO126"/>
      <c r="UPP126"/>
      <c r="UPQ126"/>
      <c r="UPR126"/>
      <c r="UPS126"/>
      <c r="UPT126"/>
      <c r="UPU126"/>
      <c r="UPV126"/>
      <c r="UPW126"/>
      <c r="UPX126"/>
      <c r="UPY126"/>
      <c r="UPZ126"/>
      <c r="UQA126"/>
      <c r="UQB126"/>
      <c r="UQC126"/>
      <c r="UQD126"/>
      <c r="UQE126"/>
      <c r="UQF126"/>
      <c r="UQG126"/>
      <c r="UQH126"/>
      <c r="UQI126"/>
      <c r="UQJ126"/>
      <c r="UQK126"/>
      <c r="UQL126"/>
      <c r="UQM126"/>
      <c r="UQN126"/>
      <c r="UQO126"/>
      <c r="UQP126"/>
      <c r="UQQ126"/>
      <c r="UQR126"/>
      <c r="UQS126"/>
      <c r="UQT126"/>
      <c r="UQU126"/>
      <c r="UQV126"/>
      <c r="UQW126"/>
      <c r="UQX126"/>
      <c r="UQY126"/>
      <c r="UQZ126"/>
      <c r="URA126"/>
      <c r="URB126"/>
      <c r="URC126"/>
      <c r="URD126"/>
      <c r="URE126"/>
      <c r="URF126"/>
      <c r="URG126"/>
      <c r="URH126"/>
      <c r="URI126"/>
      <c r="URJ126"/>
      <c r="URK126"/>
      <c r="URL126"/>
      <c r="URM126"/>
      <c r="URN126"/>
      <c r="URO126"/>
      <c r="URP126"/>
      <c r="URQ126"/>
      <c r="URR126"/>
      <c r="URS126"/>
      <c r="URT126"/>
      <c r="URU126"/>
      <c r="URV126"/>
      <c r="URW126"/>
      <c r="URX126"/>
      <c r="URY126"/>
      <c r="URZ126"/>
      <c r="USA126"/>
      <c r="USB126"/>
      <c r="USC126"/>
      <c r="USD126"/>
      <c r="USE126"/>
      <c r="USF126"/>
      <c r="USG126"/>
      <c r="USH126"/>
      <c r="USI126"/>
      <c r="USJ126"/>
      <c r="USK126"/>
      <c r="USL126"/>
      <c r="USM126"/>
      <c r="USN126"/>
      <c r="USO126"/>
      <c r="USP126"/>
      <c r="USQ126"/>
      <c r="USR126"/>
      <c r="USS126"/>
      <c r="UST126"/>
      <c r="USU126"/>
      <c r="USV126"/>
      <c r="USW126"/>
      <c r="USX126"/>
      <c r="USY126"/>
      <c r="USZ126"/>
      <c r="UTA126"/>
      <c r="UTB126"/>
      <c r="UTC126"/>
      <c r="UTD126"/>
      <c r="UTE126"/>
      <c r="UTF126"/>
      <c r="UTG126"/>
      <c r="UTH126"/>
      <c r="UTI126"/>
      <c r="UTJ126"/>
      <c r="UTK126"/>
      <c r="UTL126"/>
      <c r="UTM126"/>
      <c r="UTN126"/>
      <c r="UTO126"/>
      <c r="UTP126"/>
      <c r="UTQ126"/>
      <c r="UTR126"/>
      <c r="UTS126"/>
      <c r="UTT126"/>
      <c r="UTU126"/>
      <c r="UTV126"/>
      <c r="UTW126"/>
      <c r="UTX126"/>
      <c r="UTY126"/>
      <c r="UTZ126"/>
      <c r="UUA126"/>
      <c r="UUB126"/>
      <c r="UUC126"/>
      <c r="UUD126"/>
      <c r="UUE126"/>
      <c r="UUF126"/>
      <c r="UUG126"/>
      <c r="UUH126"/>
      <c r="UUI126"/>
      <c r="UUJ126"/>
      <c r="UUK126"/>
      <c r="UUL126"/>
      <c r="UUM126"/>
      <c r="UUN126"/>
      <c r="UUO126"/>
      <c r="UUP126"/>
      <c r="UUQ126"/>
      <c r="UUR126"/>
      <c r="UUS126"/>
      <c r="UUT126"/>
      <c r="UUU126"/>
      <c r="UUV126"/>
      <c r="UUW126"/>
      <c r="UUX126"/>
      <c r="UUY126"/>
      <c r="UUZ126"/>
      <c r="UVA126"/>
      <c r="UVB126"/>
      <c r="UVC126"/>
      <c r="UVD126"/>
      <c r="UVE126"/>
      <c r="UVF126"/>
      <c r="UVG126"/>
      <c r="UVH126"/>
      <c r="UVI126"/>
      <c r="UVJ126"/>
      <c r="UVK126"/>
      <c r="UVL126"/>
      <c r="UVM126"/>
      <c r="UVN126"/>
      <c r="UVO126"/>
      <c r="UVP126"/>
      <c r="UVQ126"/>
      <c r="UVR126"/>
      <c r="UVS126"/>
      <c r="UVT126"/>
      <c r="UVU126"/>
      <c r="UVV126"/>
      <c r="UVW126"/>
      <c r="UVX126"/>
      <c r="UVY126"/>
      <c r="UVZ126"/>
      <c r="UWA126"/>
      <c r="UWB126"/>
      <c r="UWC126"/>
      <c r="UWD126"/>
      <c r="UWE126"/>
      <c r="UWF126"/>
      <c r="UWG126"/>
      <c r="UWH126"/>
      <c r="UWI126"/>
      <c r="UWJ126"/>
      <c r="UWK126"/>
      <c r="UWL126"/>
      <c r="UWM126"/>
      <c r="UWN126"/>
      <c r="UWO126"/>
      <c r="UWP126"/>
      <c r="UWQ126"/>
      <c r="UWR126"/>
      <c r="UWS126"/>
      <c r="UWT126"/>
      <c r="UWU126"/>
      <c r="UWV126"/>
      <c r="UWW126"/>
      <c r="UWX126"/>
      <c r="UWY126"/>
      <c r="UWZ126"/>
      <c r="UXA126"/>
      <c r="UXB126"/>
      <c r="UXC126"/>
      <c r="UXD126"/>
      <c r="UXE126"/>
      <c r="UXF126"/>
      <c r="UXG126"/>
      <c r="UXH126"/>
      <c r="UXI126"/>
      <c r="UXJ126"/>
      <c r="UXK126"/>
      <c r="UXL126"/>
      <c r="UXM126"/>
      <c r="UXN126"/>
      <c r="UXO126"/>
      <c r="UXP126"/>
      <c r="UXQ126"/>
      <c r="UXR126"/>
      <c r="UXS126"/>
      <c r="UXT126"/>
      <c r="UXU126"/>
      <c r="UXV126"/>
      <c r="UXW126"/>
      <c r="UXX126"/>
      <c r="UXY126"/>
      <c r="UXZ126"/>
      <c r="UYA126"/>
      <c r="UYB126"/>
      <c r="UYC126"/>
      <c r="UYD126"/>
      <c r="UYE126"/>
      <c r="UYF126"/>
      <c r="UYG126"/>
      <c r="UYH126"/>
      <c r="UYI126"/>
      <c r="UYJ126"/>
      <c r="UYK126"/>
      <c r="UYL126"/>
      <c r="UYM126"/>
      <c r="UYN126"/>
      <c r="UYO126"/>
      <c r="UYP126"/>
      <c r="UYQ126"/>
      <c r="UYR126"/>
      <c r="UYS126"/>
      <c r="UYT126"/>
      <c r="UYU126"/>
      <c r="UYV126"/>
      <c r="UYW126"/>
      <c r="UYX126"/>
      <c r="UYY126"/>
      <c r="UYZ126"/>
      <c r="UZA126"/>
      <c r="UZB126"/>
      <c r="UZC126"/>
      <c r="UZD126"/>
      <c r="UZE126"/>
      <c r="UZF126"/>
      <c r="UZG126"/>
      <c r="UZH126"/>
      <c r="UZI126"/>
      <c r="UZJ126"/>
      <c r="UZK126"/>
      <c r="UZL126"/>
      <c r="UZM126"/>
      <c r="UZN126"/>
      <c r="UZO126"/>
      <c r="UZP126"/>
      <c r="UZQ126"/>
      <c r="UZR126"/>
      <c r="UZS126"/>
      <c r="UZT126"/>
      <c r="UZU126"/>
      <c r="UZV126"/>
      <c r="UZW126"/>
      <c r="UZX126"/>
      <c r="UZY126"/>
      <c r="UZZ126"/>
      <c r="VAA126"/>
      <c r="VAB126"/>
      <c r="VAC126"/>
      <c r="VAD126"/>
      <c r="VAE126"/>
      <c r="VAF126"/>
      <c r="VAG126"/>
      <c r="VAH126"/>
      <c r="VAI126"/>
      <c r="VAJ126"/>
      <c r="VAK126"/>
      <c r="VAL126"/>
      <c r="VAM126"/>
      <c r="VAN126"/>
      <c r="VAO126"/>
      <c r="VAP126"/>
      <c r="VAQ126"/>
      <c r="VAR126"/>
      <c r="VAS126"/>
      <c r="VAT126"/>
      <c r="VAU126"/>
      <c r="VAV126"/>
      <c r="VAW126"/>
      <c r="VAX126"/>
      <c r="VAY126"/>
      <c r="VAZ126"/>
      <c r="VBA126"/>
      <c r="VBB126"/>
      <c r="VBC126"/>
      <c r="VBD126"/>
      <c r="VBE126"/>
      <c r="VBF126"/>
      <c r="VBG126"/>
      <c r="VBH126"/>
      <c r="VBI126"/>
      <c r="VBJ126"/>
      <c r="VBK126"/>
      <c r="VBL126"/>
      <c r="VBM126"/>
      <c r="VBN126"/>
      <c r="VBO126"/>
      <c r="VBP126"/>
      <c r="VBQ126"/>
      <c r="VBR126"/>
      <c r="VBS126"/>
      <c r="VBT126"/>
      <c r="VBU126"/>
      <c r="VBV126"/>
      <c r="VBW126"/>
      <c r="VBX126"/>
      <c r="VBY126"/>
      <c r="VBZ126"/>
      <c r="VCA126"/>
      <c r="VCB126"/>
      <c r="VCC126"/>
      <c r="VCD126"/>
      <c r="VCE126"/>
      <c r="VCF126"/>
      <c r="VCG126"/>
      <c r="VCH126"/>
      <c r="VCI126"/>
      <c r="VCJ126"/>
      <c r="VCK126"/>
      <c r="VCL126"/>
      <c r="VCM126"/>
      <c r="VCN126"/>
      <c r="VCO126"/>
      <c r="VCP126"/>
      <c r="VCQ126"/>
      <c r="VCR126"/>
      <c r="VCS126"/>
      <c r="VCT126"/>
      <c r="VCU126"/>
      <c r="VCV126"/>
      <c r="VCW126"/>
      <c r="VCX126"/>
      <c r="VCY126"/>
      <c r="VCZ126"/>
      <c r="VDA126"/>
      <c r="VDB126"/>
      <c r="VDC126"/>
      <c r="VDD126"/>
      <c r="VDE126"/>
      <c r="VDF126"/>
      <c r="VDG126"/>
      <c r="VDH126"/>
      <c r="VDI126"/>
      <c r="VDJ126"/>
      <c r="VDK126"/>
      <c r="VDL126"/>
      <c r="VDM126"/>
      <c r="VDN126"/>
      <c r="VDO126"/>
      <c r="VDP126"/>
      <c r="VDQ126"/>
      <c r="VDR126"/>
      <c r="VDS126"/>
      <c r="VDT126"/>
      <c r="VDU126"/>
      <c r="VDV126"/>
      <c r="VDW126"/>
      <c r="VDX126"/>
      <c r="VDY126"/>
      <c r="VDZ126"/>
      <c r="VEA126"/>
      <c r="VEB126"/>
      <c r="VEC126"/>
      <c r="VED126"/>
      <c r="VEE126"/>
      <c r="VEF126"/>
      <c r="VEG126"/>
      <c r="VEH126"/>
      <c r="VEI126"/>
      <c r="VEJ126"/>
      <c r="VEK126"/>
      <c r="VEL126"/>
      <c r="VEM126"/>
      <c r="VEN126"/>
      <c r="VEO126"/>
      <c r="VEP126"/>
      <c r="VEQ126"/>
      <c r="VER126"/>
      <c r="VES126"/>
      <c r="VET126"/>
      <c r="VEU126"/>
      <c r="VEV126"/>
      <c r="VEW126"/>
      <c r="VEX126"/>
      <c r="VEY126"/>
      <c r="VEZ126"/>
      <c r="VFA126"/>
      <c r="VFB126"/>
      <c r="VFC126"/>
      <c r="VFD126"/>
      <c r="VFE126"/>
      <c r="VFF126"/>
      <c r="VFG126"/>
      <c r="VFH126"/>
      <c r="VFI126"/>
      <c r="VFJ126"/>
      <c r="VFK126"/>
      <c r="VFL126"/>
      <c r="VFM126"/>
      <c r="VFN126"/>
      <c r="VFO126"/>
      <c r="VFP126"/>
      <c r="VFQ126"/>
      <c r="VFR126"/>
      <c r="VFS126"/>
      <c r="VFT126"/>
      <c r="VFU126"/>
      <c r="VFV126"/>
      <c r="VFW126"/>
      <c r="VFX126"/>
      <c r="VFY126"/>
      <c r="VFZ126"/>
      <c r="VGA126"/>
      <c r="VGB126"/>
      <c r="VGC126"/>
      <c r="VGD126"/>
      <c r="VGE126"/>
      <c r="VGF126"/>
      <c r="VGG126"/>
      <c r="VGH126"/>
      <c r="VGI126"/>
      <c r="VGJ126"/>
      <c r="VGK126"/>
      <c r="VGL126"/>
      <c r="VGM126"/>
      <c r="VGN126"/>
      <c r="VGO126"/>
      <c r="VGP126"/>
      <c r="VGQ126"/>
      <c r="VGR126"/>
      <c r="VGS126"/>
      <c r="VGT126"/>
      <c r="VGU126"/>
      <c r="VGV126"/>
      <c r="VGW126"/>
      <c r="VGX126"/>
      <c r="VGY126"/>
      <c r="VGZ126"/>
      <c r="VHA126"/>
      <c r="VHB126"/>
      <c r="VHC126"/>
      <c r="VHD126"/>
      <c r="VHE126"/>
      <c r="VHF126"/>
      <c r="VHG126"/>
      <c r="VHH126"/>
      <c r="VHI126"/>
      <c r="VHJ126"/>
      <c r="VHK126"/>
      <c r="VHL126"/>
      <c r="VHM126"/>
      <c r="VHN126"/>
      <c r="VHO126"/>
      <c r="VHP126"/>
      <c r="VHQ126"/>
      <c r="VHR126"/>
      <c r="VHS126"/>
      <c r="VHT126"/>
      <c r="VHU126"/>
      <c r="VHV126"/>
      <c r="VHW126"/>
      <c r="VHX126"/>
      <c r="VHY126"/>
      <c r="VHZ126"/>
      <c r="VIA126"/>
      <c r="VIB126"/>
      <c r="VIC126"/>
      <c r="VID126"/>
      <c r="VIE126"/>
      <c r="VIF126"/>
      <c r="VIG126"/>
      <c r="VIH126"/>
      <c r="VII126"/>
      <c r="VIJ126"/>
      <c r="VIK126"/>
      <c r="VIL126"/>
      <c r="VIM126"/>
      <c r="VIN126"/>
      <c r="VIO126"/>
      <c r="VIP126"/>
      <c r="VIQ126"/>
      <c r="VIR126"/>
      <c r="VIS126"/>
      <c r="VIT126"/>
      <c r="VIU126"/>
      <c r="VIV126"/>
      <c r="VIW126"/>
      <c r="VIX126"/>
      <c r="VIY126"/>
      <c r="VIZ126"/>
      <c r="VJA126"/>
      <c r="VJB126"/>
      <c r="VJC126"/>
      <c r="VJD126"/>
      <c r="VJE126"/>
      <c r="VJF126"/>
      <c r="VJG126"/>
      <c r="VJH126"/>
      <c r="VJI126"/>
      <c r="VJJ126"/>
      <c r="VJK126"/>
      <c r="VJL126"/>
      <c r="VJM126"/>
      <c r="VJN126"/>
      <c r="VJO126"/>
      <c r="VJP126"/>
      <c r="VJQ126"/>
      <c r="VJR126"/>
      <c r="VJS126"/>
      <c r="VJT126"/>
      <c r="VJU126"/>
      <c r="VJV126"/>
      <c r="VJW126"/>
      <c r="VJX126"/>
      <c r="VJY126"/>
      <c r="VJZ126"/>
      <c r="VKA126"/>
      <c r="VKB126"/>
      <c r="VKC126"/>
      <c r="VKD126"/>
      <c r="VKE126"/>
      <c r="VKF126"/>
      <c r="VKG126"/>
      <c r="VKH126"/>
      <c r="VKI126"/>
      <c r="VKJ126"/>
      <c r="VKK126"/>
      <c r="VKL126"/>
      <c r="VKM126"/>
      <c r="VKN126"/>
      <c r="VKO126"/>
      <c r="VKP126"/>
      <c r="VKQ126"/>
      <c r="VKR126"/>
      <c r="VKS126"/>
      <c r="VKT126"/>
      <c r="VKU126"/>
      <c r="VKV126"/>
      <c r="VKW126"/>
      <c r="VKX126"/>
      <c r="VKY126"/>
      <c r="VKZ126"/>
      <c r="VLA126"/>
      <c r="VLB126"/>
      <c r="VLC126"/>
      <c r="VLD126"/>
      <c r="VLE126"/>
      <c r="VLF126"/>
      <c r="VLG126"/>
      <c r="VLH126"/>
      <c r="VLI126"/>
      <c r="VLJ126"/>
      <c r="VLK126"/>
      <c r="VLL126"/>
      <c r="VLM126"/>
      <c r="VLN126"/>
      <c r="VLO126"/>
      <c r="VLP126"/>
      <c r="VLQ126"/>
      <c r="VLR126"/>
      <c r="VLS126"/>
      <c r="VLT126"/>
      <c r="VLU126"/>
      <c r="VLV126"/>
      <c r="VLW126"/>
      <c r="VLX126"/>
      <c r="VLY126"/>
      <c r="VLZ126"/>
      <c r="VMA126"/>
      <c r="VMB126"/>
      <c r="VMC126"/>
      <c r="VMD126"/>
      <c r="VME126"/>
      <c r="VMF126"/>
      <c r="VMG126"/>
      <c r="VMH126"/>
      <c r="VMI126"/>
      <c r="VMJ126"/>
      <c r="VMK126"/>
      <c r="VML126"/>
      <c r="VMM126"/>
      <c r="VMN126"/>
      <c r="VMO126"/>
      <c r="VMP126"/>
      <c r="VMQ126"/>
      <c r="VMR126"/>
      <c r="VMS126"/>
      <c r="VMT126"/>
      <c r="VMU126"/>
      <c r="VMV126"/>
      <c r="VMW126"/>
      <c r="VMX126"/>
      <c r="VMY126"/>
      <c r="VMZ126"/>
      <c r="VNA126"/>
      <c r="VNB126"/>
      <c r="VNC126"/>
      <c r="VND126"/>
      <c r="VNE126"/>
      <c r="VNF126"/>
      <c r="VNG126"/>
      <c r="VNH126"/>
      <c r="VNI126"/>
      <c r="VNJ126"/>
      <c r="VNK126"/>
      <c r="VNL126"/>
      <c r="VNM126"/>
      <c r="VNN126"/>
      <c r="VNO126"/>
      <c r="VNP126"/>
      <c r="VNQ126"/>
      <c r="VNR126"/>
      <c r="VNS126"/>
      <c r="VNT126"/>
      <c r="VNU126"/>
      <c r="VNV126"/>
      <c r="VNW126"/>
      <c r="VNX126"/>
      <c r="VNY126"/>
      <c r="VNZ126"/>
      <c r="VOA126"/>
      <c r="VOB126"/>
      <c r="VOC126"/>
      <c r="VOD126"/>
      <c r="VOE126"/>
      <c r="VOF126"/>
      <c r="VOG126"/>
      <c r="VOH126"/>
      <c r="VOI126"/>
      <c r="VOJ126"/>
      <c r="VOK126"/>
      <c r="VOL126"/>
      <c r="VOM126"/>
      <c r="VON126"/>
      <c r="VOO126"/>
      <c r="VOP126"/>
      <c r="VOQ126"/>
      <c r="VOR126"/>
      <c r="VOS126"/>
      <c r="VOT126"/>
      <c r="VOU126"/>
      <c r="VOV126"/>
      <c r="VOW126"/>
      <c r="VOX126"/>
      <c r="VOY126"/>
      <c r="VOZ126"/>
      <c r="VPA126"/>
      <c r="VPB126"/>
      <c r="VPC126"/>
      <c r="VPD126"/>
      <c r="VPE126"/>
      <c r="VPF126"/>
      <c r="VPG126"/>
      <c r="VPH126"/>
      <c r="VPI126"/>
      <c r="VPJ126"/>
      <c r="VPK126"/>
      <c r="VPL126"/>
      <c r="VPM126"/>
      <c r="VPN126"/>
      <c r="VPO126"/>
      <c r="VPP126"/>
      <c r="VPQ126"/>
      <c r="VPR126"/>
      <c r="VPS126"/>
      <c r="VPT126"/>
      <c r="VPU126"/>
      <c r="VPV126"/>
      <c r="VPW126"/>
      <c r="VPX126"/>
      <c r="VPY126"/>
      <c r="VPZ126"/>
      <c r="VQA126"/>
      <c r="VQB126"/>
      <c r="VQC126"/>
      <c r="VQD126"/>
      <c r="VQE126"/>
      <c r="VQF126"/>
      <c r="VQG126"/>
      <c r="VQH126"/>
      <c r="VQI126"/>
      <c r="VQJ126"/>
      <c r="VQK126"/>
      <c r="VQL126"/>
      <c r="VQM126"/>
      <c r="VQN126"/>
      <c r="VQO126"/>
      <c r="VQP126"/>
      <c r="VQQ126"/>
      <c r="VQR126"/>
      <c r="VQS126"/>
      <c r="VQT126"/>
      <c r="VQU126"/>
      <c r="VQV126"/>
      <c r="VQW126"/>
      <c r="VQX126"/>
      <c r="VQY126"/>
      <c r="VQZ126"/>
      <c r="VRA126"/>
      <c r="VRB126"/>
      <c r="VRC126"/>
      <c r="VRD126"/>
      <c r="VRE126"/>
      <c r="VRF126"/>
      <c r="VRG126"/>
      <c r="VRH126"/>
      <c r="VRI126"/>
      <c r="VRJ126"/>
      <c r="VRK126"/>
      <c r="VRL126"/>
      <c r="VRM126"/>
      <c r="VRN126"/>
      <c r="VRO126"/>
      <c r="VRP126"/>
      <c r="VRQ126"/>
      <c r="VRR126"/>
      <c r="VRS126"/>
      <c r="VRT126"/>
      <c r="VRU126"/>
      <c r="VRV126"/>
      <c r="VRW126"/>
      <c r="VRX126"/>
      <c r="VRY126"/>
      <c r="VRZ126"/>
      <c r="VSA126"/>
      <c r="VSB126"/>
      <c r="VSC126"/>
      <c r="VSD126"/>
      <c r="VSE126"/>
      <c r="VSF126"/>
      <c r="VSG126"/>
      <c r="VSH126"/>
      <c r="VSI126"/>
      <c r="VSJ126"/>
      <c r="VSK126"/>
      <c r="VSL126"/>
      <c r="VSM126"/>
      <c r="VSN126"/>
      <c r="VSO126"/>
      <c r="VSP126"/>
      <c r="VSQ126"/>
      <c r="VSR126"/>
      <c r="VSS126"/>
      <c r="VST126"/>
      <c r="VSU126"/>
      <c r="VSV126"/>
      <c r="VSW126"/>
      <c r="VSX126"/>
      <c r="VSY126"/>
      <c r="VSZ126"/>
      <c r="VTA126"/>
      <c r="VTB126"/>
      <c r="VTC126"/>
      <c r="VTD126"/>
      <c r="VTE126"/>
      <c r="VTF126"/>
      <c r="VTG126"/>
      <c r="VTH126"/>
      <c r="VTI126"/>
      <c r="VTJ126"/>
      <c r="VTK126"/>
      <c r="VTL126"/>
      <c r="VTM126"/>
      <c r="VTN126"/>
      <c r="VTO126"/>
      <c r="VTP126"/>
      <c r="VTQ126"/>
      <c r="VTR126"/>
      <c r="VTS126"/>
      <c r="VTT126"/>
      <c r="VTU126"/>
      <c r="VTV126"/>
      <c r="VTW126"/>
      <c r="VTX126"/>
      <c r="VTY126"/>
      <c r="VTZ126"/>
      <c r="VUA126"/>
      <c r="VUB126"/>
      <c r="VUC126"/>
      <c r="VUD126"/>
      <c r="VUE126"/>
      <c r="VUF126"/>
      <c r="VUG126"/>
      <c r="VUH126"/>
      <c r="VUI126"/>
      <c r="VUJ126"/>
      <c r="VUK126"/>
      <c r="VUL126"/>
      <c r="VUM126"/>
      <c r="VUN126"/>
      <c r="VUO126"/>
      <c r="VUP126"/>
      <c r="VUQ126"/>
      <c r="VUR126"/>
      <c r="VUS126"/>
      <c r="VUT126"/>
      <c r="VUU126"/>
      <c r="VUV126"/>
      <c r="VUW126"/>
      <c r="VUX126"/>
      <c r="VUY126"/>
      <c r="VUZ126"/>
      <c r="VVA126"/>
      <c r="VVB126"/>
      <c r="VVC126"/>
      <c r="VVD126"/>
      <c r="VVE126"/>
      <c r="VVF126"/>
      <c r="VVG126"/>
      <c r="VVH126"/>
      <c r="VVI126"/>
      <c r="VVJ126"/>
      <c r="VVK126"/>
      <c r="VVL126"/>
      <c r="VVM126"/>
      <c r="VVN126"/>
      <c r="VVO126"/>
      <c r="VVP126"/>
      <c r="VVQ126"/>
      <c r="VVR126"/>
      <c r="VVS126"/>
      <c r="VVT126"/>
      <c r="VVU126"/>
      <c r="VVV126"/>
      <c r="VVW126"/>
      <c r="VVX126"/>
      <c r="VVY126"/>
      <c r="VVZ126"/>
      <c r="VWA126"/>
      <c r="VWB126"/>
      <c r="VWC126"/>
      <c r="VWD126"/>
      <c r="VWE126"/>
      <c r="VWF126"/>
      <c r="VWG126"/>
      <c r="VWH126"/>
      <c r="VWI126"/>
      <c r="VWJ126"/>
      <c r="VWK126"/>
      <c r="VWL126"/>
      <c r="VWM126"/>
      <c r="VWN126"/>
      <c r="VWO126"/>
      <c r="VWP126"/>
      <c r="VWQ126"/>
      <c r="VWR126"/>
      <c r="VWS126"/>
      <c r="VWT126"/>
      <c r="VWU126"/>
      <c r="VWV126"/>
      <c r="VWW126"/>
      <c r="VWX126"/>
      <c r="VWY126"/>
      <c r="VWZ126"/>
      <c r="VXA126"/>
      <c r="VXB126"/>
      <c r="VXC126"/>
      <c r="VXD126"/>
      <c r="VXE126"/>
      <c r="VXF126"/>
      <c r="VXG126"/>
      <c r="VXH126"/>
      <c r="VXI126"/>
      <c r="VXJ126"/>
      <c r="VXK126"/>
      <c r="VXL126"/>
      <c r="VXM126"/>
      <c r="VXN126"/>
      <c r="VXO126"/>
      <c r="VXP126"/>
      <c r="VXQ126"/>
      <c r="VXR126"/>
      <c r="VXS126"/>
      <c r="VXT126"/>
      <c r="VXU126"/>
      <c r="VXV126"/>
      <c r="VXW126"/>
      <c r="VXX126"/>
      <c r="VXY126"/>
      <c r="VXZ126"/>
      <c r="VYA126"/>
      <c r="VYB126"/>
      <c r="VYC126"/>
      <c r="VYD126"/>
      <c r="VYE126"/>
      <c r="VYF126"/>
      <c r="VYG126"/>
      <c r="VYH126"/>
      <c r="VYI126"/>
      <c r="VYJ126"/>
      <c r="VYK126"/>
      <c r="VYL126"/>
      <c r="VYM126"/>
      <c r="VYN126"/>
      <c r="VYO126"/>
      <c r="VYP126"/>
      <c r="VYQ126"/>
      <c r="VYR126"/>
      <c r="VYS126"/>
      <c r="VYT126"/>
      <c r="VYU126"/>
      <c r="VYV126"/>
      <c r="VYW126"/>
      <c r="VYX126"/>
      <c r="VYY126"/>
      <c r="VYZ126"/>
      <c r="VZA126"/>
      <c r="VZB126"/>
      <c r="VZC126"/>
      <c r="VZD126"/>
      <c r="VZE126"/>
      <c r="VZF126"/>
      <c r="VZG126"/>
      <c r="VZH126"/>
      <c r="VZI126"/>
      <c r="VZJ126"/>
      <c r="VZK126"/>
      <c r="VZL126"/>
      <c r="VZM126"/>
      <c r="VZN126"/>
      <c r="VZO126"/>
      <c r="VZP126"/>
      <c r="VZQ126"/>
      <c r="VZR126"/>
      <c r="VZS126"/>
      <c r="VZT126"/>
      <c r="VZU126"/>
      <c r="VZV126"/>
      <c r="VZW126"/>
      <c r="VZX126"/>
      <c r="VZY126"/>
      <c r="VZZ126"/>
      <c r="WAA126"/>
      <c r="WAB126"/>
      <c r="WAC126"/>
      <c r="WAD126"/>
      <c r="WAE126"/>
      <c r="WAF126"/>
      <c r="WAG126"/>
      <c r="WAH126"/>
      <c r="WAI126"/>
      <c r="WAJ126"/>
      <c r="WAK126"/>
      <c r="WAL126"/>
      <c r="WAM126"/>
      <c r="WAN126"/>
      <c r="WAO126"/>
      <c r="WAP126"/>
      <c r="WAQ126"/>
      <c r="WAR126"/>
      <c r="WAS126"/>
      <c r="WAT126"/>
      <c r="WAU126"/>
      <c r="WAV126"/>
      <c r="WAW126"/>
      <c r="WAX126"/>
      <c r="WAY126"/>
      <c r="WAZ126"/>
      <c r="WBA126"/>
      <c r="WBB126"/>
      <c r="WBC126"/>
      <c r="WBD126"/>
      <c r="WBE126"/>
      <c r="WBF126"/>
      <c r="WBG126"/>
      <c r="WBH126"/>
      <c r="WBI126"/>
      <c r="WBJ126"/>
      <c r="WBK126"/>
      <c r="WBL126"/>
      <c r="WBM126"/>
      <c r="WBN126"/>
      <c r="WBO126"/>
      <c r="WBP126"/>
      <c r="WBQ126"/>
      <c r="WBR126"/>
      <c r="WBS126"/>
      <c r="WBT126"/>
      <c r="WBU126"/>
      <c r="WBV126"/>
      <c r="WBW126"/>
      <c r="WBX126"/>
      <c r="WBY126"/>
      <c r="WBZ126"/>
      <c r="WCA126"/>
      <c r="WCB126"/>
      <c r="WCC126"/>
      <c r="WCD126"/>
      <c r="WCE126"/>
      <c r="WCF126"/>
      <c r="WCG126"/>
      <c r="WCH126"/>
      <c r="WCI126"/>
      <c r="WCJ126"/>
      <c r="WCK126"/>
      <c r="WCL126"/>
      <c r="WCM126"/>
      <c r="WCN126"/>
      <c r="WCO126"/>
      <c r="WCP126"/>
      <c r="WCQ126"/>
      <c r="WCR126"/>
      <c r="WCS126"/>
      <c r="WCT126"/>
      <c r="WCU126"/>
      <c r="WCV126"/>
      <c r="WCW126"/>
      <c r="WCX126"/>
      <c r="WCY126"/>
      <c r="WCZ126"/>
      <c r="WDA126"/>
      <c r="WDB126"/>
      <c r="WDC126"/>
      <c r="WDD126"/>
      <c r="WDE126"/>
      <c r="WDF126"/>
      <c r="WDG126"/>
      <c r="WDH126"/>
      <c r="WDI126"/>
      <c r="WDJ126"/>
      <c r="WDK126"/>
      <c r="WDL126"/>
      <c r="WDM126"/>
      <c r="WDN126"/>
      <c r="WDO126"/>
      <c r="WDP126"/>
      <c r="WDQ126"/>
      <c r="WDR126"/>
      <c r="WDS126"/>
      <c r="WDT126"/>
      <c r="WDU126"/>
      <c r="WDV126"/>
      <c r="WDW126"/>
      <c r="WDX126"/>
      <c r="WDY126"/>
      <c r="WDZ126"/>
      <c r="WEA126"/>
      <c r="WEB126"/>
      <c r="WEC126"/>
      <c r="WED126"/>
      <c r="WEE126"/>
      <c r="WEF126"/>
      <c r="WEG126"/>
      <c r="WEH126"/>
      <c r="WEI126"/>
      <c r="WEJ126"/>
      <c r="WEK126"/>
      <c r="WEL126"/>
      <c r="WEM126"/>
      <c r="WEN126"/>
      <c r="WEO126"/>
      <c r="WEP126"/>
      <c r="WEQ126"/>
      <c r="WER126"/>
      <c r="WES126"/>
      <c r="WET126"/>
      <c r="WEU126"/>
      <c r="WEV126"/>
      <c r="WEW126"/>
      <c r="WEX126"/>
      <c r="WEY126"/>
      <c r="WEZ126"/>
      <c r="WFA126"/>
      <c r="WFB126"/>
      <c r="WFC126"/>
      <c r="WFD126"/>
      <c r="WFE126"/>
      <c r="WFF126"/>
      <c r="WFG126"/>
      <c r="WFH126"/>
      <c r="WFI126"/>
      <c r="WFJ126"/>
      <c r="WFK126"/>
      <c r="WFL126"/>
      <c r="WFM126"/>
      <c r="WFN126"/>
      <c r="WFO126"/>
      <c r="WFP126"/>
      <c r="WFQ126"/>
      <c r="WFR126"/>
      <c r="WFS126"/>
      <c r="WFT126"/>
      <c r="WFU126"/>
      <c r="WFV126"/>
      <c r="WFW126"/>
      <c r="WFX126"/>
      <c r="WFY126"/>
      <c r="WFZ126"/>
      <c r="WGA126"/>
      <c r="WGB126"/>
      <c r="WGC126"/>
      <c r="WGD126"/>
      <c r="WGE126"/>
      <c r="WGF126"/>
      <c r="WGG126"/>
      <c r="WGH126"/>
      <c r="WGI126"/>
      <c r="WGJ126"/>
      <c r="WGK126"/>
      <c r="WGL126"/>
      <c r="WGM126"/>
      <c r="WGN126"/>
      <c r="WGO126"/>
      <c r="WGP126"/>
      <c r="WGQ126"/>
      <c r="WGR126"/>
      <c r="WGS126"/>
      <c r="WGT126"/>
      <c r="WGU126"/>
      <c r="WGV126"/>
      <c r="WGW126"/>
      <c r="WGX126"/>
      <c r="WGY126"/>
      <c r="WGZ126"/>
      <c r="WHA126"/>
      <c r="WHB126"/>
      <c r="WHC126"/>
      <c r="WHD126"/>
      <c r="WHE126"/>
      <c r="WHF126"/>
      <c r="WHG126"/>
      <c r="WHH126"/>
      <c r="WHI126"/>
      <c r="WHJ126"/>
      <c r="WHK126"/>
      <c r="WHL126"/>
      <c r="WHM126"/>
      <c r="WHN126"/>
      <c r="WHO126"/>
      <c r="WHP126"/>
      <c r="WHQ126"/>
      <c r="WHR126"/>
      <c r="WHS126"/>
      <c r="WHT126"/>
      <c r="WHU126"/>
      <c r="WHV126"/>
      <c r="WHW126"/>
      <c r="WHX126"/>
      <c r="WHY126"/>
      <c r="WHZ126"/>
      <c r="WIA126"/>
      <c r="WIB126"/>
      <c r="WIC126"/>
      <c r="WID126"/>
      <c r="WIE126"/>
      <c r="WIF126"/>
      <c r="WIG126"/>
      <c r="WIH126"/>
      <c r="WII126"/>
      <c r="WIJ126"/>
      <c r="WIK126"/>
      <c r="WIL126"/>
      <c r="WIM126"/>
      <c r="WIN126"/>
      <c r="WIO126"/>
      <c r="WIP126"/>
      <c r="WIQ126"/>
      <c r="WIR126"/>
      <c r="WIS126"/>
      <c r="WIT126"/>
      <c r="WIU126"/>
      <c r="WIV126"/>
      <c r="WIW126"/>
      <c r="WIX126"/>
      <c r="WIY126"/>
      <c r="WIZ126"/>
      <c r="WJA126"/>
      <c r="WJB126"/>
      <c r="WJC126"/>
      <c r="WJD126"/>
      <c r="WJE126"/>
      <c r="WJF126"/>
      <c r="WJG126"/>
      <c r="WJH126"/>
      <c r="WJI126"/>
      <c r="WJJ126"/>
      <c r="WJK126"/>
      <c r="WJL126"/>
      <c r="WJM126"/>
      <c r="WJN126"/>
      <c r="WJO126"/>
      <c r="WJP126"/>
      <c r="WJQ126"/>
      <c r="WJR126"/>
      <c r="WJS126"/>
      <c r="WJT126"/>
      <c r="WJU126"/>
      <c r="WJV126"/>
      <c r="WJW126"/>
      <c r="WJX126"/>
      <c r="WJY126"/>
      <c r="WJZ126"/>
      <c r="WKA126"/>
      <c r="WKB126"/>
      <c r="WKC126"/>
      <c r="WKD126"/>
      <c r="WKE126"/>
      <c r="WKF126"/>
      <c r="WKG126"/>
      <c r="WKH126"/>
      <c r="WKI126"/>
      <c r="WKJ126"/>
      <c r="WKK126"/>
      <c r="WKL126"/>
      <c r="WKM126"/>
      <c r="WKN126"/>
      <c r="WKO126"/>
      <c r="WKP126"/>
      <c r="WKQ126"/>
      <c r="WKR126"/>
      <c r="WKS126"/>
      <c r="WKT126"/>
      <c r="WKU126"/>
      <c r="WKV126"/>
      <c r="WKW126"/>
      <c r="WKX126"/>
      <c r="WKY126"/>
      <c r="WKZ126"/>
      <c r="WLA126"/>
      <c r="WLB126"/>
      <c r="WLC126"/>
      <c r="WLD126"/>
      <c r="WLE126"/>
      <c r="WLF126"/>
      <c r="WLG126"/>
      <c r="WLH126"/>
      <c r="WLI126"/>
      <c r="WLJ126"/>
      <c r="WLK126"/>
      <c r="WLL126"/>
      <c r="WLM126"/>
      <c r="WLN126"/>
      <c r="WLO126"/>
      <c r="WLP126"/>
      <c r="WLQ126"/>
      <c r="WLR126"/>
      <c r="WLS126"/>
      <c r="WLT126"/>
      <c r="WLU126"/>
      <c r="WLV126"/>
      <c r="WLW126"/>
      <c r="WLX126"/>
      <c r="WLY126"/>
      <c r="WLZ126"/>
      <c r="WMA126"/>
      <c r="WMB126"/>
      <c r="WMC126"/>
      <c r="WMD126"/>
      <c r="WME126"/>
      <c r="WMF126"/>
      <c r="WMG126"/>
      <c r="WMH126"/>
      <c r="WMI126"/>
      <c r="WMJ126"/>
      <c r="WMK126"/>
      <c r="WML126"/>
      <c r="WMM126"/>
      <c r="WMN126"/>
      <c r="WMO126"/>
      <c r="WMP126"/>
      <c r="WMQ126"/>
      <c r="WMR126"/>
      <c r="WMS126"/>
      <c r="WMT126"/>
      <c r="WMU126"/>
      <c r="WMV126"/>
      <c r="WMW126"/>
      <c r="WMX126"/>
      <c r="WMY126"/>
      <c r="WMZ126"/>
      <c r="WNA126"/>
      <c r="WNB126"/>
      <c r="WNC126"/>
      <c r="WND126"/>
      <c r="WNE126"/>
      <c r="WNF126"/>
      <c r="WNG126"/>
      <c r="WNH126"/>
      <c r="WNI126"/>
      <c r="WNJ126"/>
      <c r="WNK126"/>
      <c r="WNL126"/>
      <c r="WNM126"/>
      <c r="WNN126"/>
      <c r="WNO126"/>
      <c r="WNP126"/>
      <c r="WNQ126"/>
      <c r="WNR126"/>
      <c r="WNS126"/>
      <c r="WNT126"/>
      <c r="WNU126"/>
      <c r="WNV126"/>
      <c r="WNW126"/>
      <c r="WNX126"/>
      <c r="WNY126"/>
      <c r="WNZ126"/>
      <c r="WOA126"/>
      <c r="WOB126"/>
      <c r="WOC126"/>
      <c r="WOD126"/>
      <c r="WOE126"/>
      <c r="WOF126"/>
      <c r="WOG126"/>
      <c r="WOH126"/>
      <c r="WOI126"/>
      <c r="WOJ126"/>
      <c r="WOK126"/>
      <c r="WOL126"/>
      <c r="WOM126"/>
      <c r="WON126"/>
      <c r="WOO126"/>
      <c r="WOP126"/>
      <c r="WOQ126"/>
      <c r="WOR126"/>
      <c r="WOS126"/>
      <c r="WOT126"/>
      <c r="WOU126"/>
      <c r="WOV126"/>
      <c r="WOW126"/>
      <c r="WOX126"/>
      <c r="WOY126"/>
      <c r="WOZ126"/>
      <c r="WPA126"/>
      <c r="WPB126"/>
      <c r="WPC126"/>
      <c r="WPD126"/>
      <c r="WPE126"/>
      <c r="WPF126"/>
      <c r="WPG126"/>
      <c r="WPH126"/>
      <c r="WPI126"/>
      <c r="WPJ126"/>
      <c r="WPK126"/>
      <c r="WPL126"/>
      <c r="WPM126"/>
      <c r="WPN126"/>
      <c r="WPO126"/>
      <c r="WPP126"/>
      <c r="WPQ126"/>
      <c r="WPR126"/>
      <c r="WPS126"/>
      <c r="WPT126"/>
      <c r="WPU126"/>
      <c r="WPV126"/>
      <c r="WPW126"/>
      <c r="WPX126"/>
      <c r="WPY126"/>
      <c r="WPZ126"/>
      <c r="WQA126"/>
      <c r="WQB126"/>
      <c r="WQC126"/>
      <c r="WQD126"/>
      <c r="WQE126"/>
      <c r="WQF126"/>
      <c r="WQG126"/>
      <c r="WQH126"/>
      <c r="WQI126"/>
      <c r="WQJ126"/>
      <c r="WQK126"/>
      <c r="WQL126"/>
      <c r="WQM126"/>
      <c r="WQN126"/>
      <c r="WQO126"/>
      <c r="WQP126"/>
      <c r="WQQ126"/>
      <c r="WQR126"/>
      <c r="WQS126"/>
      <c r="WQT126"/>
      <c r="WQU126"/>
      <c r="WQV126"/>
      <c r="WQW126"/>
      <c r="WQX126"/>
      <c r="WQY126"/>
      <c r="WQZ126"/>
      <c r="WRA126"/>
      <c r="WRB126"/>
      <c r="WRC126"/>
      <c r="WRD126"/>
      <c r="WRE126"/>
      <c r="WRF126"/>
      <c r="WRG126"/>
      <c r="WRH126"/>
      <c r="WRI126"/>
      <c r="WRJ126"/>
      <c r="WRK126"/>
      <c r="WRL126"/>
      <c r="WRM126"/>
      <c r="WRN126"/>
      <c r="WRO126"/>
      <c r="WRP126"/>
      <c r="WRQ126"/>
      <c r="WRR126"/>
      <c r="WRS126"/>
      <c r="WRT126"/>
      <c r="WRU126"/>
      <c r="WRV126"/>
      <c r="WRW126"/>
      <c r="WRX126"/>
      <c r="WRY126"/>
      <c r="WRZ126"/>
      <c r="WSA126"/>
      <c r="WSB126"/>
      <c r="WSC126"/>
      <c r="WSD126"/>
      <c r="WSE126"/>
      <c r="WSF126"/>
      <c r="WSG126"/>
      <c r="WSH126"/>
      <c r="WSI126"/>
      <c r="WSJ126"/>
      <c r="WSK126"/>
      <c r="WSL126"/>
      <c r="WSM126"/>
      <c r="WSN126"/>
      <c r="WSO126"/>
      <c r="WSP126"/>
      <c r="WSQ126"/>
      <c r="WSR126"/>
      <c r="WSS126"/>
      <c r="WST126"/>
      <c r="WSU126"/>
      <c r="WSV126"/>
      <c r="WSW126"/>
      <c r="WSX126"/>
      <c r="WSY126"/>
      <c r="WSZ126"/>
      <c r="WTA126"/>
      <c r="WTB126"/>
      <c r="WTC126"/>
      <c r="WTD126"/>
      <c r="WTE126"/>
      <c r="WTF126"/>
      <c r="WTG126"/>
      <c r="WTH126"/>
      <c r="WTI126"/>
      <c r="WTJ126"/>
      <c r="WTK126"/>
      <c r="WTL126"/>
      <c r="WTM126"/>
      <c r="WTN126"/>
      <c r="WTO126"/>
      <c r="WTP126"/>
      <c r="WTQ126"/>
      <c r="WTR126"/>
      <c r="WTS126"/>
      <c r="WTT126"/>
      <c r="WTU126"/>
      <c r="WTV126"/>
      <c r="WTW126"/>
      <c r="WTX126"/>
      <c r="WTY126"/>
      <c r="WTZ126"/>
      <c r="WUA126"/>
      <c r="WUB126"/>
      <c r="WUC126"/>
      <c r="WUD126"/>
      <c r="WUE126"/>
      <c r="WUF126"/>
      <c r="WUG126"/>
      <c r="WUH126"/>
      <c r="WUI126"/>
      <c r="WUJ126"/>
      <c r="WUK126"/>
      <c r="WUL126"/>
      <c r="WUM126"/>
      <c r="WUN126"/>
      <c r="WUO126"/>
      <c r="WUP126"/>
      <c r="WUQ126"/>
      <c r="WUR126"/>
      <c r="WUS126"/>
      <c r="WUT126"/>
      <c r="WUU126"/>
      <c r="WUV126"/>
      <c r="WUW126"/>
      <c r="WUX126"/>
      <c r="WUY126"/>
      <c r="WUZ126"/>
      <c r="WVA126"/>
      <c r="WVB126"/>
      <c r="WVC126"/>
      <c r="WVD126"/>
      <c r="WVE126"/>
      <c r="WVF126"/>
      <c r="WVG126"/>
      <c r="WVH126"/>
      <c r="WVI126"/>
      <c r="WVJ126"/>
      <c r="WVK126"/>
      <c r="WVL126"/>
      <c r="WVM126"/>
      <c r="WVN126"/>
      <c r="WVO126"/>
      <c r="WVP126"/>
      <c r="WVQ126"/>
      <c r="WVR126"/>
      <c r="WVS126"/>
      <c r="WVT126"/>
      <c r="WVU126"/>
      <c r="WVV126"/>
      <c r="WVW126"/>
      <c r="WVX126"/>
      <c r="WVY126"/>
      <c r="WVZ126"/>
      <c r="WWA126"/>
      <c r="WWB126"/>
      <c r="WWC126"/>
      <c r="WWD126"/>
      <c r="WWE126"/>
      <c r="WWF126"/>
      <c r="WWG126"/>
      <c r="WWH126"/>
      <c r="WWI126"/>
      <c r="WWJ126"/>
      <c r="WWK126"/>
      <c r="WWL126"/>
      <c r="WWM126"/>
      <c r="WWN126"/>
      <c r="WWO126"/>
      <c r="WWP126"/>
      <c r="WWQ126"/>
      <c r="WWR126"/>
      <c r="WWS126"/>
      <c r="WWT126"/>
      <c r="WWU126"/>
      <c r="WWV126"/>
      <c r="WWW126"/>
      <c r="WWX126"/>
      <c r="WWY126"/>
      <c r="WWZ126"/>
      <c r="WXA126"/>
      <c r="WXB126"/>
      <c r="WXC126"/>
      <c r="WXD126"/>
      <c r="WXE126"/>
      <c r="WXF126"/>
      <c r="WXG126"/>
      <c r="WXH126"/>
      <c r="WXI126"/>
      <c r="WXJ126"/>
      <c r="WXK126"/>
      <c r="WXL126"/>
      <c r="WXM126"/>
      <c r="WXN126"/>
      <c r="WXO126"/>
      <c r="WXP126"/>
      <c r="WXQ126"/>
      <c r="WXR126"/>
      <c r="WXS126"/>
      <c r="WXT126"/>
      <c r="WXU126"/>
      <c r="WXV126"/>
      <c r="WXW126"/>
      <c r="WXX126"/>
      <c r="WXY126"/>
      <c r="WXZ126"/>
      <c r="WYA126"/>
      <c r="WYB126"/>
      <c r="WYC126"/>
      <c r="WYD126"/>
      <c r="WYE126"/>
      <c r="WYF126"/>
      <c r="WYG126"/>
      <c r="WYH126"/>
      <c r="WYI126"/>
      <c r="WYJ126"/>
      <c r="WYK126"/>
      <c r="WYL126"/>
      <c r="WYM126"/>
      <c r="WYN126"/>
      <c r="WYO126"/>
      <c r="WYP126"/>
      <c r="WYQ126"/>
      <c r="WYR126"/>
      <c r="WYS126"/>
      <c r="WYT126"/>
      <c r="WYU126"/>
      <c r="WYV126"/>
      <c r="WYW126"/>
      <c r="WYX126"/>
      <c r="WYY126"/>
      <c r="WYZ126"/>
      <c r="WZA126"/>
      <c r="WZB126"/>
      <c r="WZC126"/>
      <c r="WZD126"/>
      <c r="WZE126"/>
      <c r="WZF126"/>
      <c r="WZG126"/>
      <c r="WZH126"/>
      <c r="WZI126"/>
      <c r="WZJ126"/>
      <c r="WZK126"/>
      <c r="WZL126"/>
      <c r="WZM126"/>
      <c r="WZN126"/>
      <c r="WZO126"/>
      <c r="WZP126"/>
      <c r="WZQ126"/>
      <c r="WZR126"/>
      <c r="WZS126"/>
      <c r="WZT126"/>
      <c r="WZU126"/>
      <c r="WZV126"/>
      <c r="WZW126"/>
      <c r="WZX126"/>
      <c r="WZY126"/>
      <c r="WZZ126"/>
      <c r="XAA126"/>
      <c r="XAB126"/>
      <c r="XAC126"/>
      <c r="XAD126"/>
      <c r="XAE126"/>
      <c r="XAF126"/>
      <c r="XAG126"/>
      <c r="XAH126"/>
      <c r="XAI126"/>
      <c r="XAJ126"/>
      <c r="XAK126"/>
      <c r="XAL126"/>
      <c r="XAM126"/>
      <c r="XAN126"/>
      <c r="XAO126"/>
      <c r="XAP126"/>
      <c r="XAQ126"/>
      <c r="XAR126"/>
      <c r="XAS126"/>
      <c r="XAT126"/>
      <c r="XAU126"/>
      <c r="XAV126"/>
      <c r="XAW126"/>
      <c r="XAX126"/>
      <c r="XAY126"/>
      <c r="XAZ126"/>
      <c r="XBA126"/>
      <c r="XBB126"/>
      <c r="XBC126"/>
      <c r="XBD126"/>
      <c r="XBE126"/>
      <c r="XBF126"/>
      <c r="XBG126"/>
      <c r="XBH126"/>
      <c r="XBI126"/>
      <c r="XBJ126"/>
      <c r="XBK126"/>
      <c r="XBL126"/>
      <c r="XBM126"/>
      <c r="XBN126"/>
      <c r="XBO126"/>
      <c r="XBP126"/>
      <c r="XBQ126"/>
      <c r="XBR126"/>
      <c r="XBS126"/>
      <c r="XBT126"/>
      <c r="XBU126"/>
      <c r="XBV126"/>
      <c r="XBW126"/>
      <c r="XBX126"/>
      <c r="XBY126"/>
      <c r="XBZ126"/>
      <c r="XCA126"/>
      <c r="XCB126"/>
      <c r="XCC126"/>
      <c r="XCD126"/>
      <c r="XCE126"/>
      <c r="XCF126"/>
      <c r="XCG126"/>
      <c r="XCH126"/>
      <c r="XCI126"/>
      <c r="XCJ126"/>
      <c r="XCK126"/>
      <c r="XCL126"/>
      <c r="XCM126"/>
      <c r="XCN126"/>
      <c r="XCO126"/>
      <c r="XCP126"/>
      <c r="XCQ126"/>
      <c r="XCR126"/>
      <c r="XCS126"/>
      <c r="XCT126"/>
      <c r="XCU126"/>
      <c r="XCV126"/>
      <c r="XCW126"/>
      <c r="XCX126"/>
      <c r="XCY126"/>
      <c r="XCZ126"/>
      <c r="XDA126"/>
      <c r="XDB126"/>
      <c r="XDC126"/>
      <c r="XDD126"/>
      <c r="XDE126"/>
      <c r="XDF126"/>
      <c r="XDG126"/>
      <c r="XDH126"/>
      <c r="XDI126"/>
      <c r="XDJ126"/>
      <c r="XDK126"/>
      <c r="XDL126"/>
      <c r="XDM126"/>
      <c r="XDN126"/>
      <c r="XDO126"/>
      <c r="XDP126"/>
      <c r="XDQ126"/>
      <c r="XDR126"/>
      <c r="XDS126"/>
      <c r="XDT126"/>
      <c r="XDU126"/>
      <c r="XDV126"/>
      <c r="XDW126"/>
      <c r="XDX126"/>
      <c r="XDY126"/>
      <c r="XDZ126"/>
      <c r="XEA126"/>
      <c r="XEB126"/>
      <c r="XEC126"/>
      <c r="XED126"/>
      <c r="XEE126"/>
      <c r="XEF126"/>
      <c r="XEG126"/>
      <c r="XEH126"/>
      <c r="XEI126"/>
      <c r="XEJ126"/>
      <c r="XEK126"/>
      <c r="XEL126"/>
      <c r="XEM126"/>
      <c r="XEN126"/>
      <c r="XEO126"/>
      <c r="XEP126"/>
      <c r="XEQ126"/>
      <c r="XER126"/>
      <c r="XES126"/>
      <c r="XET126"/>
      <c r="XEU126"/>
      <c r="XEV126"/>
      <c r="XEW126"/>
      <c r="XEX126"/>
      <c r="XEY126"/>
      <c r="XEZ126"/>
      <c r="XFA126"/>
      <c r="XFB126"/>
      <c r="XFC126"/>
      <c r="XFD126"/>
    </row>
    <row r="127" ht="15.6" spans="1:1024 1025:16384">
      <c r="B127" s="143" t="str">
        <f>X127</f>
        <v>OP0</v>
      </c>
      <c r="C127" s="143"/>
      <c r="D127" s="103">
        <f>Y127</f>
        <v>1.92450319598669</v>
      </c>
      <c r="E127" s="103">
        <f t="shared" ref="E127" si="513">Z127</f>
        <v>1.82806128347314</v>
      </c>
      <c r="F127" s="103">
        <f t="shared" ref="F127" si="514">AA127</f>
        <v>1.69473893842254</v>
      </c>
      <c r="G127" s="103">
        <f t="shared" ref="G127" si="515">AB127</f>
        <v>1.37594520760334</v>
      </c>
      <c r="H127" s="103">
        <f t="shared" ref="H127" si="516">AC127</f>
        <v>1.28179673109268</v>
      </c>
      <c r="I127" s="103">
        <f t="shared" ref="I127" si="517">AD127</f>
        <v>1.17854906963858</v>
      </c>
      <c r="J127" s="103">
        <f t="shared" ref="J127" si="518">AE127</f>
        <v>1.14497873977944</v>
      </c>
      <c r="K127" s="103">
        <f t="shared" ref="K127" si="519">AF127</f>
        <v>1.64793351737438</v>
      </c>
      <c r="L127" s="143"/>
      <c r="M127" s="143" t="str">
        <f t="shared" ref="M127" si="520">AI127</f>
        <v>OP0</v>
      </c>
      <c r="N127" s="143"/>
      <c r="O127" s="103">
        <f>AJ127</f>
        <v>-1.87119122390421</v>
      </c>
      <c r="P127" s="103">
        <f t="shared" ref="P127" si="521">AK127</f>
        <v>-1.76323109255124</v>
      </c>
      <c r="Q127" s="103">
        <f t="shared" ref="Q127" si="522">AL127</f>
        <v>-1.94564602685718</v>
      </c>
      <c r="R127" s="103">
        <f t="shared" ref="R127" si="523">AM127</f>
        <v>-1.45557488505934</v>
      </c>
      <c r="S127" s="103">
        <f t="shared" ref="S127" si="524">AN127</f>
        <v>-1.42302903011306</v>
      </c>
      <c r="T127" s="103">
        <f t="shared" ref="T127" si="525">AO127</f>
        <v>-1.30156776099714</v>
      </c>
      <c r="U127" s="103">
        <f t="shared" ref="U127" si="526">AP127</f>
        <v>-1.25766629000989</v>
      </c>
      <c r="V127" s="103">
        <f t="shared" ref="V127" si="527">AQ127</f>
        <v>-1.54401302769692</v>
      </c>
      <c r="X127" s="144" t="s">
        <v>31</v>
      </c>
      <c r="Y127" s="145">
        <v>1.92450319598669</v>
      </c>
      <c r="Z127" s="145">
        <v>1.82806128347314</v>
      </c>
      <c r="AA127" s="145">
        <v>1.69473893842254</v>
      </c>
      <c r="AB127" s="145">
        <v>1.37594520760334</v>
      </c>
      <c r="AC127" s="145">
        <v>1.28179673109268</v>
      </c>
      <c r="AD127" s="145">
        <v>1.17854906963858</v>
      </c>
      <c r="AE127" s="145">
        <v>1.14497873977944</v>
      </c>
      <c r="AF127" s="145">
        <v>1.64793351737438</v>
      </c>
      <c r="AG127" s="148"/>
      <c r="AH127" s="148"/>
      <c r="AI127" s="144" t="s">
        <v>31</v>
      </c>
      <c r="AJ127" s="145">
        <v>-1.87119122390421</v>
      </c>
      <c r="AK127" s="145">
        <v>-1.76323109255124</v>
      </c>
      <c r="AL127" s="145">
        <v>-1.94564602685718</v>
      </c>
      <c r="AM127" s="145">
        <v>-1.45557488505934</v>
      </c>
      <c r="AN127" s="145">
        <v>-1.42302903011306</v>
      </c>
      <c r="AO127" s="145">
        <v>-1.30156776099714</v>
      </c>
      <c r="AP127" s="145">
        <v>-1.25766629000989</v>
      </c>
      <c r="AQ127" s="145">
        <v>-1.54401302769692</v>
      </c>
    </row>
    <row r="128" ht="16.35" spans="1:1024 1025:16384">
      <c r="B128" s="147" t="s">
        <v>31</v>
      </c>
      <c r="C128" s="147" t="s">
        <v>130</v>
      </c>
      <c r="D128" s="107">
        <v>2.4717805199347</v>
      </c>
      <c r="E128" s="107">
        <v>2.22168468035054</v>
      </c>
      <c r="F128" s="107">
        <v>1.45487897541298</v>
      </c>
      <c r="G128" s="107">
        <v>1.73830797499149</v>
      </c>
      <c r="H128" s="107">
        <v>0.976113420077191</v>
      </c>
      <c r="I128" s="107">
        <v>1.45643170385415</v>
      </c>
      <c r="J128" s="107">
        <v>1.70380549089045</v>
      </c>
      <c r="K128" s="107">
        <v>1.8746392142618</v>
      </c>
      <c r="M128" s="147" t="s">
        <v>31</v>
      </c>
      <c r="N128" s="147" t="s">
        <v>130</v>
      </c>
      <c r="O128" s="107">
        <v>0.491430286704054</v>
      </c>
      <c r="P128" s="107">
        <v>-0.0217566537673087</v>
      </c>
      <c r="Q128" s="107">
        <v>4.34025623776738</v>
      </c>
      <c r="R128" s="107">
        <v>-6.35220149294498</v>
      </c>
      <c r="S128" s="107">
        <v>-1.44946462650523</v>
      </c>
      <c r="T128" s="107">
        <v>-2.51489755332011</v>
      </c>
      <c r="U128" s="107">
        <v>-1.03589436102121</v>
      </c>
      <c r="V128" s="107">
        <v>0.109474684503556</v>
      </c>
      <c r="X128" s="150"/>
      <c r="Y128" s="151"/>
      <c r="Z128" s="151"/>
      <c r="AA128" s="151"/>
      <c r="AB128" s="151"/>
      <c r="AC128" s="151"/>
      <c r="AD128" s="151"/>
      <c r="AE128" s="151"/>
      <c r="AF128" s="151"/>
      <c r="AG128" s="158"/>
      <c r="AH128" s="158"/>
      <c r="AI128" s="150"/>
      <c r="AJ128" s="151"/>
      <c r="AK128" s="151"/>
      <c r="AL128" s="151"/>
      <c r="AM128" s="151"/>
      <c r="AN128" s="151"/>
      <c r="AO128" s="151"/>
      <c r="AP128" s="151"/>
      <c r="AQ128" s="151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  <c r="BM128" s="94"/>
      <c r="BN128" s="94"/>
      <c r="BO128" s="94"/>
      <c r="BP128" s="94"/>
      <c r="BQ128" s="94"/>
      <c r="BR128" s="94"/>
      <c r="BS128" s="94"/>
      <c r="BT128" s="94"/>
      <c r="BU128" s="94"/>
      <c r="BV128" s="94"/>
      <c r="BW128" s="94"/>
      <c r="BX128" s="94"/>
      <c r="BY128" s="94"/>
      <c r="BZ128" s="94"/>
      <c r="CA128" s="94"/>
      <c r="CB128" s="94"/>
      <c r="CC128" s="94"/>
      <c r="CD128" s="94"/>
      <c r="CE128" s="94"/>
      <c r="CF128" s="94"/>
      <c r="CG128" s="94"/>
      <c r="CH128" s="94"/>
      <c r="CI128" s="94"/>
      <c r="CJ128" s="94"/>
      <c r="CK128" s="94"/>
      <c r="CL128" s="94"/>
      <c r="CM128" s="94"/>
      <c r="CN128" s="94"/>
      <c r="CO128" s="94"/>
      <c r="CP128" s="94"/>
      <c r="CQ128" s="94"/>
      <c r="CR128" s="94"/>
      <c r="CS128" s="94"/>
      <c r="CT128" s="94"/>
      <c r="CU128" s="94"/>
      <c r="CV128" s="94"/>
      <c r="CW128" s="94"/>
      <c r="CX128" s="94"/>
      <c r="CY128" s="94"/>
      <c r="CZ128" s="94"/>
      <c r="DA128" s="94"/>
      <c r="DB128" s="94"/>
      <c r="DC128" s="94"/>
      <c r="DD128" s="94"/>
      <c r="DE128" s="94"/>
      <c r="DF128" s="94"/>
      <c r="DG128" s="94"/>
      <c r="DH128" s="94"/>
      <c r="DI128" s="94"/>
      <c r="DJ128" s="94"/>
      <c r="DK128" s="94"/>
      <c r="DL128" s="94"/>
      <c r="DM128" s="94"/>
      <c r="DN128" s="94"/>
      <c r="DO128" s="94"/>
      <c r="DP128" s="94"/>
      <c r="DQ128" s="94"/>
      <c r="DR128" s="94"/>
      <c r="DS128" s="94"/>
      <c r="DT128" s="94"/>
      <c r="DU128" s="94"/>
      <c r="DV128" s="94"/>
      <c r="DW128" s="94"/>
      <c r="DX128" s="94"/>
      <c r="DY128" s="94"/>
      <c r="DZ128" s="94"/>
      <c r="EA128" s="94"/>
      <c r="EB128" s="94"/>
      <c r="EC128" s="94"/>
      <c r="ED128" s="94"/>
      <c r="EE128" s="94"/>
      <c r="EF128" s="94"/>
      <c r="EG128" s="94"/>
      <c r="EH128" s="94"/>
      <c r="EI128" s="94"/>
      <c r="EJ128" s="94"/>
      <c r="EK128" s="94"/>
      <c r="EL128" s="94"/>
      <c r="EM128" s="94"/>
      <c r="EN128" s="94"/>
      <c r="EO128" s="94"/>
      <c r="EP128" s="94"/>
      <c r="EQ128" s="94"/>
      <c r="ER128" s="94"/>
      <c r="ES128" s="94"/>
      <c r="ET128" s="94"/>
      <c r="EU128" s="94"/>
      <c r="EV128" s="94"/>
      <c r="EW128" s="94"/>
      <c r="EX128" s="94"/>
      <c r="EY128" s="94"/>
      <c r="EZ128" s="94"/>
      <c r="FA128" s="94"/>
      <c r="FB128" s="94"/>
      <c r="FC128" s="94"/>
      <c r="FD128" s="94"/>
      <c r="FE128" s="94"/>
      <c r="FF128" s="94"/>
      <c r="FG128" s="94"/>
      <c r="FH128" s="94"/>
      <c r="FI128" s="94"/>
      <c r="FJ128" s="94"/>
      <c r="FK128" s="94"/>
      <c r="FL128" s="94"/>
      <c r="FM128" s="94"/>
      <c r="FN128" s="94"/>
      <c r="FO128" s="94"/>
      <c r="FP128" s="94"/>
      <c r="FQ128" s="94"/>
      <c r="FR128" s="94"/>
      <c r="FS128" s="94"/>
      <c r="FT128" s="94"/>
      <c r="FU128" s="94"/>
      <c r="FV128" s="94"/>
      <c r="FW128" s="94"/>
      <c r="FX128" s="94"/>
      <c r="FY128" s="94"/>
      <c r="FZ128" s="94"/>
      <c r="GA128" s="94"/>
      <c r="GB128" s="94"/>
      <c r="GC128" s="94"/>
      <c r="GD128" s="94"/>
      <c r="GE128" s="94"/>
      <c r="GF128" s="94"/>
      <c r="GG128" s="94"/>
      <c r="GH128" s="94"/>
      <c r="GI128" s="94"/>
      <c r="GJ128" s="94"/>
      <c r="GK128" s="94"/>
      <c r="GL128" s="94"/>
      <c r="GM128" s="94"/>
      <c r="GN128" s="94"/>
      <c r="GO128" s="94"/>
      <c r="GP128" s="94"/>
      <c r="GQ128" s="94"/>
      <c r="GR128" s="94"/>
      <c r="GS128" s="94"/>
      <c r="GT128" s="94"/>
      <c r="GU128" s="94"/>
      <c r="GV128" s="94"/>
      <c r="GW128" s="94"/>
      <c r="GX128" s="94"/>
      <c r="GY128" s="94"/>
      <c r="GZ128" s="94"/>
      <c r="HA128" s="94"/>
      <c r="HB128" s="94"/>
      <c r="HC128" s="94"/>
      <c r="HD128" s="94"/>
      <c r="HE128" s="94"/>
      <c r="HF128" s="94"/>
      <c r="HG128" s="94"/>
      <c r="HH128" s="94"/>
      <c r="HI128" s="94"/>
      <c r="HJ128" s="94"/>
      <c r="HK128" s="94"/>
      <c r="HL128" s="94"/>
      <c r="HM128" s="94"/>
      <c r="HN128" s="94"/>
      <c r="HO128" s="94"/>
      <c r="HP128" s="94"/>
      <c r="HQ128" s="94"/>
      <c r="HR128" s="94"/>
      <c r="HS128" s="94"/>
      <c r="HT128" s="94"/>
      <c r="HU128" s="94"/>
      <c r="HV128" s="94"/>
      <c r="HW128" s="94"/>
      <c r="HX128" s="94"/>
      <c r="HY128" s="94"/>
      <c r="HZ128" s="94"/>
      <c r="IA128" s="94"/>
      <c r="IB128" s="94"/>
      <c r="IC128" s="94"/>
      <c r="ID128" s="94"/>
      <c r="IE128" s="94"/>
      <c r="IF128" s="94"/>
      <c r="IG128" s="94"/>
      <c r="IH128" s="94"/>
      <c r="II128" s="94"/>
      <c r="IJ128" s="94"/>
      <c r="IK128" s="94"/>
      <c r="IL128" s="94"/>
      <c r="IM128" s="94"/>
      <c r="IN128" s="94"/>
      <c r="IO128" s="94"/>
      <c r="IP128" s="94"/>
      <c r="IQ128" s="94"/>
      <c r="IR128" s="94"/>
      <c r="IS128" s="94"/>
      <c r="IT128" s="94"/>
      <c r="IU128" s="94"/>
      <c r="IV128" s="94"/>
      <c r="IW128" s="94"/>
      <c r="IX128" s="94"/>
      <c r="IY128" s="94"/>
      <c r="IZ128" s="94"/>
      <c r="JA128" s="94"/>
      <c r="JB128" s="94"/>
      <c r="JC128" s="94"/>
      <c r="JD128" s="94"/>
      <c r="JE128" s="94"/>
      <c r="JF128" s="94"/>
      <c r="JG128" s="94"/>
      <c r="JH128" s="94"/>
      <c r="JI128" s="94"/>
      <c r="JJ128" s="94"/>
      <c r="JK128" s="94"/>
      <c r="JL128" s="94"/>
      <c r="JM128" s="94"/>
      <c r="JN128" s="94"/>
      <c r="JO128" s="94"/>
      <c r="JP128" s="94"/>
      <c r="JQ128" s="94"/>
      <c r="JR128" s="94"/>
      <c r="JS128" s="94"/>
      <c r="JT128" s="94"/>
      <c r="JU128" s="94"/>
      <c r="JV128" s="94"/>
      <c r="JW128" s="94"/>
      <c r="JX128" s="94"/>
      <c r="JY128" s="94"/>
      <c r="JZ128" s="94"/>
      <c r="KA128" s="94"/>
      <c r="KB128" s="94"/>
      <c r="KC128" s="94"/>
      <c r="KD128" s="94"/>
      <c r="KE128" s="94"/>
      <c r="KF128" s="94"/>
      <c r="KG128" s="94"/>
      <c r="KH128" s="94"/>
      <c r="KI128" s="94"/>
      <c r="KJ128" s="94"/>
      <c r="KK128" s="94"/>
      <c r="KL128" s="94"/>
      <c r="KM128" s="94"/>
      <c r="KN128" s="94"/>
      <c r="KO128" s="94"/>
      <c r="KP128" s="94"/>
      <c r="KQ128" s="94"/>
      <c r="KR128" s="94"/>
      <c r="KS128" s="94"/>
      <c r="KT128" s="94"/>
      <c r="KU128" s="94"/>
      <c r="KV128" s="94"/>
      <c r="KW128" s="94"/>
      <c r="KX128" s="94"/>
      <c r="KY128" s="94"/>
      <c r="KZ128" s="94"/>
      <c r="LA128" s="94"/>
      <c r="LB128" s="94"/>
      <c r="LC128" s="94"/>
      <c r="LD128" s="94"/>
      <c r="LE128" s="94"/>
      <c r="LF128" s="94"/>
      <c r="LG128" s="94"/>
      <c r="LH128" s="94"/>
      <c r="LI128" s="94"/>
      <c r="LJ128" s="94"/>
      <c r="LK128" s="94"/>
      <c r="LL128" s="94"/>
      <c r="LM128" s="94"/>
      <c r="LN128" s="94"/>
      <c r="LO128" s="94"/>
      <c r="LP128" s="94"/>
      <c r="LQ128" s="94"/>
      <c r="LR128" s="94"/>
      <c r="LS128" s="94"/>
      <c r="LT128" s="94"/>
      <c r="LU128" s="94"/>
      <c r="LV128" s="94"/>
      <c r="LW128" s="94"/>
      <c r="LX128" s="94"/>
      <c r="LY128" s="94"/>
      <c r="LZ128" s="94"/>
      <c r="MA128" s="94"/>
      <c r="MB128" s="94"/>
      <c r="MC128" s="94"/>
      <c r="MD128" s="94"/>
      <c r="ME128" s="94"/>
      <c r="MF128" s="94"/>
      <c r="MG128" s="94"/>
      <c r="MH128" s="94"/>
      <c r="MI128" s="94"/>
      <c r="MJ128" s="94"/>
      <c r="MK128" s="94"/>
      <c r="ML128" s="94"/>
      <c r="MM128" s="94"/>
      <c r="MN128" s="94"/>
      <c r="MO128" s="94"/>
      <c r="MP128" s="94"/>
      <c r="MQ128" s="94"/>
      <c r="MR128" s="94"/>
      <c r="MS128" s="94"/>
      <c r="MT128" s="94"/>
      <c r="MU128" s="94"/>
      <c r="MV128" s="94"/>
      <c r="MW128" s="94"/>
      <c r="MX128" s="94"/>
      <c r="MY128" s="94"/>
      <c r="MZ128" s="94"/>
      <c r="NA128" s="94"/>
      <c r="NB128" s="94"/>
      <c r="NC128" s="94"/>
      <c r="ND128" s="94"/>
      <c r="NE128" s="94"/>
      <c r="NF128" s="94"/>
      <c r="NG128" s="94"/>
      <c r="NH128" s="94"/>
      <c r="NI128" s="94"/>
      <c r="NJ128" s="94"/>
      <c r="NK128" s="94"/>
      <c r="NL128" s="94"/>
      <c r="NM128" s="94"/>
      <c r="NN128" s="94"/>
      <c r="NO128" s="94"/>
      <c r="NP128" s="94"/>
      <c r="NQ128" s="94"/>
      <c r="NR128" s="94"/>
      <c r="NS128" s="94"/>
      <c r="NT128" s="94"/>
      <c r="NU128" s="94"/>
      <c r="NV128" s="94"/>
      <c r="NW128" s="94"/>
      <c r="NX128" s="94"/>
      <c r="NY128" s="94"/>
      <c r="NZ128" s="94"/>
      <c r="OA128" s="94"/>
      <c r="OB128" s="94"/>
      <c r="OC128" s="94"/>
      <c r="OD128" s="94"/>
      <c r="OE128" s="94"/>
      <c r="OF128" s="94"/>
      <c r="OG128" s="94"/>
      <c r="OH128" s="94"/>
      <c r="OI128" s="94"/>
      <c r="OJ128" s="94"/>
      <c r="OK128" s="94"/>
      <c r="OL128" s="94"/>
      <c r="OM128" s="94"/>
      <c r="ON128" s="94"/>
      <c r="OO128" s="94"/>
      <c r="OP128" s="94"/>
      <c r="OQ128" s="94"/>
      <c r="OR128" s="94"/>
      <c r="OS128" s="94"/>
      <c r="OT128" s="94"/>
      <c r="OU128" s="94"/>
      <c r="OV128" s="94"/>
      <c r="OW128" s="94"/>
      <c r="OX128" s="94"/>
      <c r="OY128" s="94"/>
      <c r="OZ128" s="94"/>
      <c r="PA128" s="94"/>
      <c r="PB128" s="94"/>
      <c r="PC128" s="94"/>
      <c r="PD128" s="94"/>
      <c r="PE128" s="94"/>
      <c r="PF128" s="94"/>
      <c r="PG128" s="94"/>
      <c r="PH128" s="94"/>
      <c r="PI128" s="94"/>
      <c r="PJ128" s="94"/>
      <c r="PK128" s="94"/>
      <c r="PL128" s="94"/>
      <c r="PM128" s="94"/>
      <c r="PN128" s="94"/>
      <c r="PO128" s="94"/>
      <c r="PP128" s="94"/>
      <c r="PQ128" s="94"/>
      <c r="PR128" s="94"/>
      <c r="PS128" s="94"/>
      <c r="PT128" s="94"/>
      <c r="PU128" s="94"/>
      <c r="PV128" s="94"/>
      <c r="PW128" s="94"/>
      <c r="PX128" s="94"/>
      <c r="PY128" s="94"/>
      <c r="PZ128" s="94"/>
      <c r="QA128" s="94"/>
      <c r="QB128" s="94"/>
      <c r="QC128" s="94"/>
      <c r="QD128" s="94"/>
      <c r="QE128" s="94"/>
      <c r="QF128" s="94"/>
      <c r="QG128" s="94"/>
      <c r="QH128" s="94"/>
      <c r="QI128" s="94"/>
      <c r="QJ128" s="94"/>
      <c r="QK128" s="94"/>
      <c r="QL128" s="94"/>
      <c r="QM128" s="94"/>
      <c r="QN128" s="94"/>
      <c r="QO128" s="94"/>
      <c r="QP128" s="94"/>
      <c r="QQ128" s="94"/>
      <c r="QR128" s="94"/>
      <c r="QS128" s="94"/>
      <c r="QT128" s="94"/>
      <c r="QU128" s="94"/>
      <c r="QV128" s="94"/>
      <c r="QW128" s="94"/>
      <c r="QX128" s="94"/>
      <c r="QY128" s="94"/>
      <c r="QZ128" s="94"/>
      <c r="RA128" s="94"/>
      <c r="RB128" s="94"/>
      <c r="RC128" s="94"/>
      <c r="RD128" s="94"/>
      <c r="RE128" s="94"/>
      <c r="RF128" s="94"/>
      <c r="RG128" s="94"/>
      <c r="RH128" s="94"/>
      <c r="RI128" s="94"/>
      <c r="RJ128" s="94"/>
      <c r="RK128" s="94"/>
      <c r="RL128" s="94"/>
      <c r="RM128" s="94"/>
      <c r="RN128" s="94"/>
      <c r="RO128" s="94"/>
      <c r="RP128" s="94"/>
      <c r="RQ128" s="94"/>
      <c r="RR128" s="94"/>
      <c r="RS128" s="94"/>
      <c r="RT128" s="94"/>
      <c r="RU128" s="94"/>
      <c r="RV128" s="94"/>
      <c r="RW128" s="94"/>
      <c r="RX128" s="94"/>
      <c r="RY128" s="94"/>
      <c r="RZ128" s="94"/>
      <c r="SA128" s="94"/>
      <c r="SB128" s="94"/>
      <c r="SC128" s="94"/>
      <c r="SD128" s="94"/>
      <c r="SE128" s="94"/>
      <c r="SF128" s="94"/>
      <c r="SG128" s="94"/>
      <c r="SH128" s="94"/>
      <c r="SI128" s="94"/>
      <c r="SJ128" s="94"/>
      <c r="SK128" s="94"/>
      <c r="SL128" s="94"/>
      <c r="SM128" s="94"/>
      <c r="SN128" s="94"/>
      <c r="SO128" s="94"/>
      <c r="SP128" s="94"/>
      <c r="SQ128" s="94"/>
      <c r="SR128" s="94"/>
      <c r="SS128" s="94"/>
      <c r="ST128" s="94"/>
      <c r="SU128" s="94"/>
      <c r="SV128" s="94"/>
      <c r="SW128" s="94"/>
      <c r="SX128" s="94"/>
      <c r="SY128" s="94"/>
      <c r="SZ128" s="94"/>
      <c r="TA128" s="94"/>
      <c r="TB128" s="94"/>
      <c r="TC128" s="94"/>
      <c r="TD128" s="94"/>
      <c r="TE128" s="94"/>
      <c r="TF128" s="94"/>
      <c r="TG128" s="94"/>
      <c r="TH128" s="94"/>
      <c r="TI128" s="94"/>
      <c r="TJ128" s="94"/>
      <c r="TK128" s="94"/>
      <c r="TL128" s="94"/>
      <c r="TM128" s="94"/>
      <c r="TN128" s="94"/>
      <c r="TO128" s="94"/>
      <c r="TP128" s="94"/>
      <c r="TQ128" s="94"/>
      <c r="TR128" s="94"/>
      <c r="TS128" s="94"/>
      <c r="TT128" s="94"/>
      <c r="TU128" s="94"/>
      <c r="TV128" s="94"/>
      <c r="TW128" s="94"/>
      <c r="TX128" s="94"/>
      <c r="TY128" s="94"/>
      <c r="TZ128" s="94"/>
      <c r="UA128" s="94"/>
      <c r="UB128" s="94"/>
      <c r="UC128" s="94"/>
      <c r="UD128" s="94"/>
      <c r="UE128" s="94"/>
      <c r="UF128" s="94"/>
      <c r="UG128" s="94"/>
      <c r="UH128" s="94"/>
      <c r="UI128" s="94"/>
      <c r="UJ128" s="94"/>
      <c r="UK128" s="94"/>
      <c r="UL128" s="94"/>
      <c r="UM128" s="94"/>
      <c r="UN128" s="94"/>
      <c r="UO128" s="94"/>
      <c r="UP128" s="94"/>
      <c r="UQ128" s="94"/>
      <c r="UR128" s="94"/>
      <c r="US128" s="94"/>
      <c r="UT128" s="94"/>
      <c r="UU128" s="94"/>
      <c r="UV128" s="94"/>
      <c r="UW128" s="94"/>
      <c r="UX128" s="94"/>
      <c r="UY128" s="94"/>
      <c r="UZ128" s="94"/>
      <c r="VA128" s="94"/>
      <c r="VB128" s="94"/>
      <c r="VC128" s="94"/>
      <c r="VD128" s="94"/>
      <c r="VE128" s="94"/>
      <c r="VF128" s="94"/>
      <c r="VG128" s="94"/>
      <c r="VH128" s="94"/>
      <c r="VI128" s="94"/>
      <c r="VJ128" s="94"/>
      <c r="VK128" s="94"/>
      <c r="VL128" s="94"/>
      <c r="VM128" s="94"/>
      <c r="VN128" s="94"/>
      <c r="VO128" s="94"/>
      <c r="VP128" s="94"/>
      <c r="VQ128" s="94"/>
      <c r="VR128" s="94"/>
      <c r="VS128" s="94"/>
      <c r="VT128" s="94"/>
      <c r="VU128" s="94"/>
      <c r="VV128" s="94"/>
      <c r="VW128" s="94"/>
      <c r="VX128" s="94"/>
      <c r="VY128" s="94"/>
      <c r="VZ128" s="94"/>
      <c r="WA128" s="94"/>
      <c r="WB128" s="94"/>
      <c r="WC128" s="94"/>
      <c r="WD128" s="94"/>
      <c r="WE128" s="94"/>
      <c r="WF128" s="94"/>
      <c r="WG128" s="94"/>
      <c r="WH128" s="94"/>
      <c r="WI128" s="94"/>
      <c r="WJ128" s="94"/>
      <c r="WK128" s="94"/>
      <c r="WL128" s="94"/>
      <c r="WM128" s="94"/>
      <c r="WN128" s="94"/>
      <c r="WO128" s="94"/>
      <c r="WP128" s="94"/>
      <c r="WQ128" s="94"/>
      <c r="WR128" s="94"/>
      <c r="WS128" s="94"/>
      <c r="WT128" s="94"/>
      <c r="WU128" s="94"/>
      <c r="WV128" s="94"/>
      <c r="WW128" s="94"/>
      <c r="WX128" s="94"/>
      <c r="WY128" s="94"/>
      <c r="WZ128" s="94"/>
      <c r="XA128" s="94"/>
      <c r="XB128" s="94"/>
      <c r="XC128" s="94"/>
      <c r="XD128" s="94"/>
      <c r="XE128" s="94"/>
      <c r="XF128" s="94"/>
      <c r="XG128" s="94"/>
      <c r="XH128" s="94"/>
      <c r="XI128" s="94"/>
      <c r="XJ128" s="94"/>
      <c r="XK128" s="94"/>
      <c r="XL128" s="94"/>
      <c r="XM128" s="94"/>
      <c r="XN128" s="94"/>
      <c r="XO128" s="94"/>
      <c r="XP128" s="94"/>
      <c r="XQ128" s="94"/>
      <c r="XR128" s="94"/>
      <c r="XS128" s="94"/>
      <c r="XT128" s="94"/>
      <c r="XU128" s="94"/>
      <c r="XV128" s="94"/>
      <c r="XW128" s="94"/>
      <c r="XX128" s="94"/>
      <c r="XY128" s="94"/>
      <c r="XZ128" s="94"/>
      <c r="YA128" s="94"/>
      <c r="YB128" s="94"/>
      <c r="YC128" s="94"/>
      <c r="YD128" s="94"/>
      <c r="YE128" s="94"/>
      <c r="YF128" s="94"/>
      <c r="YG128" s="94"/>
      <c r="YH128" s="94"/>
      <c r="YI128" s="94"/>
      <c r="YJ128" s="94"/>
      <c r="YK128" s="94"/>
      <c r="YL128" s="94"/>
      <c r="YM128" s="94"/>
      <c r="YN128" s="94"/>
      <c r="YO128" s="94"/>
      <c r="YP128" s="94"/>
      <c r="YQ128" s="94"/>
      <c r="YR128" s="94"/>
      <c r="YS128" s="94"/>
      <c r="YT128" s="94"/>
      <c r="YU128" s="94"/>
      <c r="YV128" s="94"/>
      <c r="YW128" s="94"/>
      <c r="YX128" s="94"/>
      <c r="YY128" s="94"/>
      <c r="YZ128" s="94"/>
      <c r="ZA128" s="94"/>
      <c r="ZB128" s="94"/>
      <c r="ZC128" s="94"/>
      <c r="ZD128" s="94"/>
      <c r="ZE128" s="94"/>
      <c r="ZF128" s="94"/>
      <c r="ZG128" s="94"/>
      <c r="ZH128" s="94"/>
      <c r="ZI128" s="94"/>
      <c r="ZJ128" s="94"/>
      <c r="ZK128" s="94"/>
      <c r="ZL128" s="94"/>
      <c r="ZM128" s="94"/>
      <c r="ZN128" s="94"/>
      <c r="ZO128" s="94"/>
      <c r="ZP128" s="94"/>
      <c r="ZQ128" s="94"/>
      <c r="ZR128" s="94"/>
      <c r="ZS128" s="94"/>
      <c r="ZT128" s="94"/>
      <c r="ZU128" s="94"/>
      <c r="ZV128" s="94"/>
      <c r="ZW128" s="94"/>
      <c r="ZX128" s="94"/>
      <c r="ZY128" s="94"/>
      <c r="ZZ128" s="94"/>
      <c r="AAA128" s="94"/>
      <c r="AAB128" s="94"/>
      <c r="AAC128" s="94"/>
      <c r="AAD128" s="94"/>
      <c r="AAE128" s="94"/>
      <c r="AAF128" s="94"/>
      <c r="AAG128" s="94"/>
      <c r="AAH128" s="94"/>
      <c r="AAI128" s="94"/>
      <c r="AAJ128" s="94"/>
      <c r="AAK128" s="94"/>
      <c r="AAL128" s="94"/>
      <c r="AAM128" s="94"/>
      <c r="AAN128" s="94"/>
      <c r="AAO128" s="94"/>
      <c r="AAP128" s="94"/>
      <c r="AAQ128" s="94"/>
      <c r="AAR128" s="94"/>
      <c r="AAS128" s="94"/>
      <c r="AAT128" s="94"/>
      <c r="AAU128" s="94"/>
      <c r="AAV128" s="94"/>
      <c r="AAW128" s="94"/>
      <c r="AAX128" s="94"/>
      <c r="AAY128" s="94"/>
      <c r="AAZ128" s="94"/>
      <c r="ABA128" s="94"/>
      <c r="ABB128" s="94"/>
      <c r="ABC128" s="94"/>
      <c r="ABD128" s="94"/>
      <c r="ABE128" s="94"/>
      <c r="ABF128" s="94"/>
      <c r="ABG128" s="94"/>
      <c r="ABH128" s="94"/>
      <c r="ABI128" s="94"/>
      <c r="ABJ128" s="94"/>
      <c r="ABK128" s="94"/>
      <c r="ABL128" s="94"/>
      <c r="ABM128" s="94"/>
      <c r="ABN128" s="94"/>
      <c r="ABO128" s="94"/>
      <c r="ABP128" s="94"/>
      <c r="ABQ128" s="94"/>
      <c r="ABR128" s="94"/>
      <c r="ABS128" s="94"/>
      <c r="ABT128" s="94"/>
      <c r="ABU128" s="94"/>
      <c r="ABV128" s="94"/>
      <c r="ABW128" s="94"/>
      <c r="ABX128" s="94"/>
      <c r="ABY128" s="94"/>
      <c r="ABZ128" s="94"/>
      <c r="ACA128" s="94"/>
      <c r="ACB128" s="94"/>
      <c r="ACC128" s="94"/>
      <c r="ACD128" s="94"/>
      <c r="ACE128" s="94"/>
      <c r="ACF128" s="94"/>
      <c r="ACG128" s="94"/>
      <c r="ACH128" s="94"/>
      <c r="ACI128" s="94"/>
      <c r="ACJ128" s="94"/>
      <c r="ACK128" s="94"/>
      <c r="ACL128" s="94"/>
      <c r="ACM128" s="94"/>
      <c r="ACN128" s="94"/>
      <c r="ACO128" s="94"/>
      <c r="ACP128" s="94"/>
      <c r="ACQ128" s="94"/>
      <c r="ACR128" s="94"/>
      <c r="ACS128" s="94"/>
      <c r="ACT128" s="94"/>
      <c r="ACU128" s="94"/>
      <c r="ACV128" s="94"/>
      <c r="ACW128" s="94"/>
      <c r="ACX128" s="94"/>
      <c r="ACY128" s="94"/>
      <c r="ACZ128" s="94"/>
      <c r="ADA128" s="94"/>
      <c r="ADB128" s="94"/>
      <c r="ADC128" s="94"/>
      <c r="ADD128" s="94"/>
      <c r="ADE128" s="94"/>
      <c r="ADF128" s="94"/>
      <c r="ADG128" s="94"/>
      <c r="ADH128" s="94"/>
      <c r="ADI128" s="94"/>
      <c r="ADJ128" s="94"/>
      <c r="ADK128" s="94"/>
      <c r="ADL128" s="94"/>
      <c r="ADM128" s="94"/>
      <c r="ADN128" s="94"/>
      <c r="ADO128" s="94"/>
      <c r="ADP128" s="94"/>
      <c r="ADQ128" s="94"/>
      <c r="ADR128" s="94"/>
      <c r="ADS128" s="94"/>
      <c r="ADT128" s="94"/>
      <c r="ADU128" s="94"/>
      <c r="ADV128" s="94"/>
      <c r="ADW128" s="94"/>
      <c r="ADX128" s="94"/>
      <c r="ADY128" s="94"/>
      <c r="ADZ128" s="94"/>
      <c r="AEA128" s="94"/>
      <c r="AEB128" s="94"/>
      <c r="AEC128" s="94"/>
      <c r="AED128" s="94"/>
      <c r="AEE128" s="94"/>
      <c r="AEF128" s="94"/>
      <c r="AEG128" s="94"/>
      <c r="AEH128" s="94"/>
      <c r="AEI128" s="94"/>
      <c r="AEJ128" s="94"/>
      <c r="AEK128" s="94"/>
      <c r="AEL128" s="94"/>
      <c r="AEM128" s="94"/>
      <c r="AEN128" s="94"/>
      <c r="AEO128" s="94"/>
      <c r="AEP128" s="94"/>
      <c r="AEQ128" s="94"/>
      <c r="AER128" s="94"/>
      <c r="AES128" s="94"/>
      <c r="AET128" s="94"/>
      <c r="AEU128" s="94"/>
      <c r="AEV128" s="94"/>
      <c r="AEW128" s="94"/>
      <c r="AEX128" s="94"/>
      <c r="AEY128" s="94"/>
      <c r="AEZ128" s="94"/>
      <c r="AFA128" s="94"/>
      <c r="AFB128" s="94"/>
      <c r="AFC128" s="94"/>
      <c r="AFD128" s="94"/>
      <c r="AFE128" s="94"/>
      <c r="AFF128" s="94"/>
      <c r="AFG128" s="94"/>
      <c r="AFH128" s="94"/>
      <c r="AFI128" s="94"/>
      <c r="AFJ128" s="94"/>
      <c r="AFK128" s="94"/>
      <c r="AFL128" s="94"/>
      <c r="AFM128" s="94"/>
      <c r="AFN128" s="94"/>
      <c r="AFO128" s="94"/>
      <c r="AFP128" s="94"/>
      <c r="AFQ128" s="94"/>
      <c r="AFR128" s="94"/>
      <c r="AFS128" s="94"/>
      <c r="AFT128" s="94"/>
      <c r="AFU128" s="94"/>
      <c r="AFV128" s="94"/>
      <c r="AFW128" s="94"/>
      <c r="AFX128" s="94"/>
      <c r="AFY128" s="94"/>
      <c r="AFZ128" s="94"/>
      <c r="AGA128" s="94"/>
      <c r="AGB128" s="94"/>
      <c r="AGC128" s="94"/>
      <c r="AGD128" s="94"/>
      <c r="AGE128" s="94"/>
      <c r="AGF128" s="94"/>
      <c r="AGG128" s="94"/>
      <c r="AGH128" s="94"/>
      <c r="AGI128" s="94"/>
      <c r="AGJ128" s="94"/>
      <c r="AGK128" s="94"/>
      <c r="AGL128" s="94"/>
      <c r="AGM128" s="94"/>
      <c r="AGN128" s="94"/>
      <c r="AGO128" s="94"/>
      <c r="AGP128" s="94"/>
      <c r="AGQ128" s="94"/>
      <c r="AGR128" s="94"/>
      <c r="AGS128" s="94"/>
      <c r="AGT128" s="94"/>
      <c r="AGU128" s="94"/>
      <c r="AGV128" s="94"/>
      <c r="AGW128" s="94"/>
      <c r="AGX128" s="94"/>
      <c r="AGY128" s="94"/>
      <c r="AGZ128" s="94"/>
      <c r="AHA128" s="94"/>
      <c r="AHB128" s="94"/>
      <c r="AHC128" s="94"/>
      <c r="AHD128" s="94"/>
      <c r="AHE128" s="94"/>
      <c r="AHF128" s="94"/>
      <c r="AHG128" s="94"/>
      <c r="AHH128" s="94"/>
      <c r="AHI128" s="94"/>
      <c r="AHJ128" s="94"/>
      <c r="AHK128" s="94"/>
      <c r="AHL128" s="94"/>
      <c r="AHM128" s="94"/>
      <c r="AHN128" s="94"/>
      <c r="AHO128" s="94"/>
      <c r="AHP128" s="94"/>
      <c r="AHQ128" s="94"/>
      <c r="AHR128" s="94"/>
      <c r="AHS128" s="94"/>
      <c r="AHT128" s="94"/>
      <c r="AHU128" s="94"/>
      <c r="AHV128" s="94"/>
      <c r="AHW128" s="94"/>
      <c r="AHX128" s="94"/>
      <c r="AHY128" s="94"/>
      <c r="AHZ128" s="94"/>
      <c r="AIA128" s="94"/>
      <c r="AIB128" s="94"/>
      <c r="AIC128" s="94"/>
      <c r="AID128" s="94"/>
      <c r="AIE128" s="94"/>
      <c r="AIF128" s="94"/>
      <c r="AIG128" s="94"/>
      <c r="AIH128" s="94"/>
      <c r="AII128" s="94"/>
      <c r="AIJ128" s="94"/>
      <c r="AIK128" s="94"/>
      <c r="AIL128" s="94"/>
      <c r="AIM128" s="94"/>
      <c r="AIN128" s="94"/>
      <c r="AIO128" s="94"/>
      <c r="AIP128" s="94"/>
      <c r="AIQ128" s="94"/>
      <c r="AIR128" s="94"/>
      <c r="AIS128" s="94"/>
      <c r="AIT128" s="94"/>
      <c r="AIU128" s="94"/>
      <c r="AIV128" s="94"/>
      <c r="AIW128" s="94"/>
      <c r="AIX128" s="94"/>
      <c r="AIY128" s="94"/>
      <c r="AIZ128" s="94"/>
      <c r="AJA128" s="94"/>
      <c r="AJB128" s="94"/>
      <c r="AJC128" s="94"/>
      <c r="AJD128" s="94"/>
      <c r="AJE128" s="94"/>
      <c r="AJF128" s="94"/>
      <c r="AJG128" s="94"/>
      <c r="AJH128" s="94"/>
      <c r="AJI128" s="94"/>
      <c r="AJJ128" s="94"/>
      <c r="AJK128" s="94"/>
      <c r="AJL128" s="94"/>
      <c r="AJM128" s="94"/>
      <c r="AJN128" s="94"/>
      <c r="AJO128" s="94"/>
      <c r="AJP128" s="94"/>
      <c r="AJQ128" s="94"/>
      <c r="AJR128" s="94"/>
      <c r="AJS128" s="94"/>
      <c r="AJT128" s="94"/>
      <c r="AJU128" s="94"/>
      <c r="AJV128" s="94"/>
      <c r="AJW128" s="94"/>
      <c r="AJX128" s="94"/>
      <c r="AJY128" s="94"/>
      <c r="AJZ128" s="94"/>
      <c r="AKA128" s="94"/>
      <c r="AKB128" s="94"/>
      <c r="AKC128" s="94"/>
      <c r="AKD128" s="94"/>
      <c r="AKE128" s="94"/>
      <c r="AKF128" s="94"/>
      <c r="AKG128" s="94"/>
      <c r="AKH128" s="94"/>
      <c r="AKI128" s="94"/>
      <c r="AKJ128" s="94"/>
      <c r="AKK128" s="94"/>
      <c r="AKL128" s="94"/>
      <c r="AKM128" s="94"/>
      <c r="AKN128" s="94"/>
      <c r="AKO128" s="94"/>
      <c r="AKP128" s="94"/>
      <c r="AKQ128" s="94"/>
      <c r="AKR128" s="94"/>
      <c r="AKS128" s="94"/>
      <c r="AKT128" s="94"/>
      <c r="AKU128" s="94"/>
      <c r="AKV128" s="94"/>
      <c r="AKW128" s="94"/>
      <c r="AKX128" s="94"/>
      <c r="AKY128" s="94"/>
      <c r="AKZ128" s="94"/>
      <c r="ALA128" s="94"/>
      <c r="ALB128" s="94"/>
      <c r="ALC128" s="94"/>
      <c r="ALD128" s="94"/>
      <c r="ALE128" s="94"/>
      <c r="ALF128" s="94"/>
      <c r="ALG128" s="94"/>
      <c r="ALH128" s="94"/>
      <c r="ALI128" s="94"/>
      <c r="ALJ128" s="94"/>
      <c r="ALK128" s="94"/>
      <c r="ALL128" s="94"/>
      <c r="ALM128" s="94"/>
      <c r="ALN128" s="94"/>
      <c r="ALO128" s="94"/>
      <c r="ALP128" s="94"/>
      <c r="ALQ128" s="94"/>
      <c r="ALR128" s="94"/>
      <c r="ALS128" s="94"/>
      <c r="ALT128" s="94"/>
      <c r="ALU128" s="94"/>
      <c r="ALV128" s="94"/>
      <c r="ALW128" s="94"/>
      <c r="ALX128" s="94"/>
      <c r="ALY128" s="94"/>
      <c r="ALZ128" s="94"/>
      <c r="AMA128" s="94"/>
      <c r="AMB128" s="94"/>
      <c r="AMC128" s="94"/>
      <c r="AMD128" s="94"/>
      <c r="AME128" s="94"/>
      <c r="AMF128" s="94"/>
      <c r="AMG128" s="94"/>
      <c r="AMH128" s="94"/>
      <c r="AMI128" s="94"/>
      <c r="AMJ128" s="94"/>
      <c r="AMK128" s="94"/>
      <c r="AML128" s="94"/>
      <c r="AMM128" s="94"/>
      <c r="AMN128" s="94"/>
      <c r="AMO128" s="94"/>
      <c r="AMP128" s="94"/>
      <c r="AMQ128" s="94"/>
      <c r="AMR128" s="94"/>
      <c r="AMS128" s="94"/>
      <c r="AMT128" s="94"/>
      <c r="AMU128" s="94"/>
      <c r="AMV128" s="94"/>
      <c r="AMW128" s="94"/>
      <c r="AMX128" s="94"/>
      <c r="AMY128" s="94"/>
      <c r="AMZ128" s="94"/>
      <c r="ANA128" s="94"/>
      <c r="ANB128" s="94"/>
      <c r="ANC128" s="94"/>
      <c r="AND128" s="94"/>
      <c r="ANE128" s="94"/>
      <c r="ANF128" s="94"/>
      <c r="ANG128" s="94"/>
      <c r="ANH128" s="94"/>
      <c r="ANI128" s="94"/>
      <c r="ANJ128" s="94"/>
      <c r="ANK128" s="94"/>
      <c r="ANL128" s="94"/>
      <c r="ANM128" s="94"/>
      <c r="ANN128" s="94"/>
      <c r="ANO128" s="94"/>
      <c r="ANP128" s="94"/>
      <c r="ANQ128" s="94"/>
      <c r="ANR128" s="94"/>
      <c r="ANS128" s="94"/>
      <c r="ANT128" s="94"/>
      <c r="ANU128" s="94"/>
      <c r="ANV128" s="94"/>
      <c r="ANW128" s="94"/>
      <c r="ANX128" s="94"/>
      <c r="ANY128" s="94"/>
      <c r="ANZ128" s="94"/>
      <c r="AOA128" s="94"/>
      <c r="AOB128" s="94"/>
      <c r="AOC128" s="94"/>
      <c r="AOD128" s="94"/>
      <c r="AOE128" s="94"/>
      <c r="AOF128" s="94"/>
      <c r="AOG128" s="94"/>
      <c r="AOH128" s="94"/>
      <c r="AOI128" s="94"/>
      <c r="AOJ128" s="94"/>
      <c r="AOK128" s="94"/>
      <c r="AOL128" s="94"/>
      <c r="AOM128" s="94"/>
      <c r="AON128" s="94"/>
      <c r="AOO128" s="94"/>
      <c r="AOP128" s="94"/>
      <c r="AOQ128" s="94"/>
      <c r="AOR128" s="94"/>
      <c r="AOS128" s="94"/>
      <c r="AOT128" s="94"/>
      <c r="AOU128" s="94"/>
      <c r="AOV128" s="94"/>
      <c r="AOW128" s="94"/>
      <c r="AOX128" s="94"/>
      <c r="AOY128" s="94"/>
      <c r="AOZ128" s="94"/>
      <c r="APA128" s="94"/>
      <c r="APB128" s="94"/>
      <c r="APC128" s="94"/>
      <c r="APD128" s="94"/>
      <c r="APE128" s="94"/>
      <c r="APF128" s="94"/>
      <c r="APG128" s="94"/>
      <c r="APH128" s="94"/>
      <c r="API128" s="94"/>
      <c r="APJ128" s="94"/>
      <c r="APK128" s="94"/>
      <c r="APL128" s="94"/>
      <c r="APM128" s="94"/>
      <c r="APN128" s="94"/>
      <c r="APO128" s="94"/>
      <c r="APP128" s="94"/>
      <c r="APQ128" s="94"/>
      <c r="APR128" s="94"/>
      <c r="APS128" s="94"/>
      <c r="APT128" s="94"/>
      <c r="APU128" s="94"/>
      <c r="APV128" s="94"/>
      <c r="APW128" s="94"/>
      <c r="APX128" s="94"/>
      <c r="APY128" s="94"/>
      <c r="APZ128" s="94"/>
      <c r="AQA128" s="94"/>
      <c r="AQB128" s="94"/>
      <c r="AQC128" s="94"/>
      <c r="AQD128" s="94"/>
      <c r="AQE128" s="94"/>
      <c r="AQF128" s="94"/>
      <c r="AQG128" s="94"/>
      <c r="AQH128" s="94"/>
      <c r="AQI128" s="94"/>
      <c r="AQJ128" s="94"/>
      <c r="AQK128" s="94"/>
      <c r="AQL128" s="94"/>
      <c r="AQM128" s="94"/>
      <c r="AQN128" s="94"/>
      <c r="AQO128" s="94"/>
      <c r="AQP128" s="94"/>
      <c r="AQQ128" s="94"/>
      <c r="AQR128" s="94"/>
      <c r="AQS128" s="94"/>
      <c r="AQT128" s="94"/>
      <c r="AQU128" s="94"/>
      <c r="AQV128" s="94"/>
      <c r="AQW128" s="94"/>
      <c r="AQX128" s="94"/>
      <c r="AQY128" s="94"/>
      <c r="AQZ128" s="94"/>
      <c r="ARA128" s="94"/>
      <c r="ARB128" s="94"/>
      <c r="ARC128" s="94"/>
      <c r="ARD128" s="94"/>
      <c r="ARE128" s="94"/>
      <c r="ARF128" s="94"/>
      <c r="ARG128" s="94"/>
      <c r="ARH128" s="94"/>
      <c r="ARI128" s="94"/>
      <c r="ARJ128" s="94"/>
      <c r="ARK128" s="94"/>
      <c r="ARL128" s="94"/>
      <c r="ARM128" s="94"/>
      <c r="ARN128" s="94"/>
      <c r="ARO128" s="94"/>
      <c r="ARP128" s="94"/>
      <c r="ARQ128" s="94"/>
      <c r="ARR128" s="94"/>
      <c r="ARS128" s="94"/>
      <c r="ART128" s="94"/>
      <c r="ARU128" s="94"/>
      <c r="ARV128" s="94"/>
      <c r="ARW128" s="94"/>
      <c r="ARX128" s="94"/>
      <c r="ARY128" s="94"/>
      <c r="ARZ128" s="94"/>
      <c r="ASA128" s="94"/>
      <c r="ASB128" s="94"/>
      <c r="ASC128" s="94"/>
      <c r="ASD128" s="94"/>
      <c r="ASE128" s="94"/>
      <c r="ASF128" s="94"/>
      <c r="ASG128" s="94"/>
      <c r="ASH128" s="94"/>
      <c r="ASI128" s="94"/>
      <c r="ASJ128" s="94"/>
      <c r="ASK128" s="94"/>
      <c r="ASL128" s="94"/>
      <c r="ASM128" s="94"/>
      <c r="ASN128" s="94"/>
      <c r="ASO128" s="94"/>
      <c r="ASP128" s="94"/>
      <c r="ASQ128" s="94"/>
      <c r="ASR128" s="94"/>
      <c r="ASS128" s="94"/>
      <c r="AST128" s="94"/>
      <c r="ASU128" s="94"/>
      <c r="ASV128" s="94"/>
      <c r="ASW128" s="94"/>
      <c r="ASX128" s="94"/>
      <c r="ASY128" s="94"/>
      <c r="ASZ128" s="94"/>
      <c r="ATA128" s="94"/>
      <c r="ATB128" s="94"/>
      <c r="ATC128" s="94"/>
      <c r="ATD128" s="94"/>
      <c r="ATE128" s="94"/>
      <c r="ATF128" s="94"/>
      <c r="ATG128" s="94"/>
      <c r="ATH128" s="94"/>
      <c r="ATI128" s="94"/>
      <c r="ATJ128" s="94"/>
      <c r="ATK128" s="94"/>
      <c r="ATL128" s="94"/>
      <c r="ATM128" s="94"/>
      <c r="ATN128" s="94"/>
      <c r="ATO128" s="94"/>
      <c r="ATP128" s="94"/>
      <c r="ATQ128" s="94"/>
      <c r="ATR128" s="94"/>
      <c r="ATS128" s="94"/>
      <c r="ATT128" s="94"/>
      <c r="ATU128" s="94"/>
      <c r="ATV128" s="94"/>
      <c r="ATW128" s="94"/>
      <c r="ATX128" s="94"/>
      <c r="ATY128" s="94"/>
      <c r="ATZ128" s="94"/>
      <c r="AUA128" s="94"/>
      <c r="AUB128" s="94"/>
      <c r="AUC128" s="94"/>
      <c r="AUD128" s="94"/>
      <c r="AUE128" s="94"/>
      <c r="AUF128" s="94"/>
      <c r="AUG128" s="94"/>
      <c r="AUH128" s="94"/>
      <c r="AUI128" s="94"/>
      <c r="AUJ128" s="94"/>
      <c r="AUK128" s="94"/>
      <c r="AUL128" s="94"/>
      <c r="AUM128" s="94"/>
      <c r="AUN128" s="94"/>
      <c r="AUO128" s="94"/>
      <c r="AUP128" s="94"/>
      <c r="AUQ128" s="94"/>
      <c r="AUR128" s="94"/>
      <c r="AUS128" s="94"/>
      <c r="AUT128" s="94"/>
      <c r="AUU128" s="94"/>
      <c r="AUV128" s="94"/>
      <c r="AUW128" s="94"/>
      <c r="AUX128" s="94"/>
      <c r="AUY128" s="94"/>
      <c r="AUZ128" s="94"/>
      <c r="AVA128" s="94"/>
      <c r="AVB128" s="94"/>
      <c r="AVC128" s="94"/>
      <c r="AVD128" s="94"/>
      <c r="AVE128" s="94"/>
      <c r="AVF128" s="94"/>
      <c r="AVG128" s="94"/>
      <c r="AVH128" s="94"/>
      <c r="AVI128" s="94"/>
      <c r="AVJ128" s="94"/>
      <c r="AVK128" s="94"/>
      <c r="AVL128" s="94"/>
      <c r="AVM128" s="94"/>
      <c r="AVN128" s="94"/>
      <c r="AVO128" s="94"/>
      <c r="AVP128" s="94"/>
      <c r="AVQ128" s="94"/>
      <c r="AVR128" s="94"/>
      <c r="AVS128" s="94"/>
      <c r="AVT128" s="94"/>
      <c r="AVU128" s="94"/>
      <c r="AVV128" s="94"/>
      <c r="AVW128" s="94"/>
      <c r="AVX128" s="94"/>
      <c r="AVY128" s="94"/>
      <c r="AVZ128" s="94"/>
      <c r="AWA128" s="94"/>
      <c r="AWB128" s="94"/>
      <c r="AWC128" s="94"/>
      <c r="AWD128" s="94"/>
      <c r="AWE128" s="94"/>
      <c r="AWF128" s="94"/>
      <c r="AWG128" s="94"/>
      <c r="AWH128" s="94"/>
      <c r="AWI128" s="94"/>
      <c r="AWJ128" s="94"/>
      <c r="AWK128" s="94"/>
      <c r="AWL128" s="94"/>
      <c r="AWM128" s="94"/>
      <c r="AWN128" s="94"/>
      <c r="AWO128" s="94"/>
      <c r="AWP128" s="94"/>
      <c r="AWQ128" s="94"/>
      <c r="AWR128" s="94"/>
      <c r="AWS128" s="94"/>
      <c r="AWT128" s="94"/>
      <c r="AWU128" s="94"/>
      <c r="AWV128" s="94"/>
      <c r="AWW128" s="94"/>
      <c r="AWX128" s="94"/>
      <c r="AWY128" s="94"/>
      <c r="AWZ128" s="94"/>
      <c r="AXA128" s="94"/>
      <c r="AXB128" s="94"/>
      <c r="AXC128" s="94"/>
      <c r="AXD128" s="94"/>
      <c r="AXE128" s="94"/>
      <c r="AXF128" s="94"/>
      <c r="AXG128" s="94"/>
      <c r="AXH128" s="94"/>
      <c r="AXI128" s="94"/>
      <c r="AXJ128" s="94"/>
      <c r="AXK128" s="94"/>
      <c r="AXL128" s="94"/>
      <c r="AXM128" s="94"/>
      <c r="AXN128" s="94"/>
      <c r="AXO128" s="94"/>
      <c r="AXP128" s="94"/>
      <c r="AXQ128" s="94"/>
      <c r="AXR128" s="94"/>
      <c r="AXS128" s="94"/>
      <c r="AXT128" s="94"/>
      <c r="AXU128" s="94"/>
      <c r="AXV128" s="94"/>
      <c r="AXW128" s="94"/>
      <c r="AXX128" s="94"/>
      <c r="AXY128" s="94"/>
      <c r="AXZ128" s="94"/>
      <c r="AYA128" s="94"/>
      <c r="AYB128" s="94"/>
      <c r="AYC128" s="94"/>
      <c r="AYD128" s="94"/>
      <c r="AYE128" s="94"/>
      <c r="AYF128" s="94"/>
      <c r="AYG128" s="94"/>
      <c r="AYH128" s="94"/>
      <c r="AYI128" s="94"/>
      <c r="AYJ128" s="94"/>
      <c r="AYK128" s="94"/>
      <c r="AYL128" s="94"/>
      <c r="AYM128" s="94"/>
      <c r="AYN128" s="94"/>
      <c r="AYO128" s="94"/>
      <c r="AYP128" s="94"/>
      <c r="AYQ128" s="94"/>
      <c r="AYR128" s="94"/>
      <c r="AYS128" s="94"/>
      <c r="AYT128" s="94"/>
      <c r="AYU128" s="94"/>
      <c r="AYV128" s="94"/>
      <c r="AYW128" s="94"/>
      <c r="AYX128" s="94"/>
      <c r="AYY128" s="94"/>
      <c r="AYZ128" s="94"/>
      <c r="AZA128" s="94"/>
      <c r="AZB128" s="94"/>
      <c r="AZC128" s="94"/>
      <c r="AZD128" s="94"/>
      <c r="AZE128" s="94"/>
      <c r="AZF128" s="94"/>
      <c r="AZG128" s="94"/>
      <c r="AZH128" s="94"/>
      <c r="AZI128" s="94"/>
      <c r="AZJ128" s="94"/>
      <c r="AZK128" s="94"/>
      <c r="AZL128" s="94"/>
      <c r="AZM128" s="94"/>
      <c r="AZN128" s="94"/>
      <c r="AZO128" s="94"/>
      <c r="AZP128" s="94"/>
      <c r="AZQ128" s="94"/>
      <c r="AZR128" s="94"/>
      <c r="AZS128" s="94"/>
      <c r="AZT128" s="94"/>
      <c r="AZU128" s="94"/>
      <c r="AZV128" s="94"/>
      <c r="AZW128" s="94"/>
      <c r="AZX128" s="94"/>
      <c r="AZY128" s="94"/>
      <c r="AZZ128" s="94"/>
      <c r="BAA128" s="94"/>
      <c r="BAB128" s="94"/>
      <c r="BAC128" s="94"/>
      <c r="BAD128" s="94"/>
      <c r="BAE128" s="94"/>
      <c r="BAF128" s="94"/>
      <c r="BAG128" s="94"/>
      <c r="BAH128" s="94"/>
      <c r="BAI128" s="94"/>
      <c r="BAJ128" s="94"/>
      <c r="BAK128" s="94"/>
      <c r="BAL128" s="94"/>
      <c r="BAM128" s="94"/>
      <c r="BAN128" s="94"/>
      <c r="BAO128" s="94"/>
      <c r="BAP128" s="94"/>
      <c r="BAQ128" s="94"/>
      <c r="BAR128" s="94"/>
      <c r="BAS128" s="94"/>
      <c r="BAT128" s="94"/>
      <c r="BAU128" s="94"/>
      <c r="BAV128" s="94"/>
      <c r="BAW128" s="94"/>
      <c r="BAX128" s="94"/>
      <c r="BAY128" s="94"/>
      <c r="BAZ128" s="94"/>
      <c r="BBA128" s="94"/>
      <c r="BBB128" s="94"/>
      <c r="BBC128" s="94"/>
      <c r="BBD128" s="94"/>
      <c r="BBE128" s="94"/>
      <c r="BBF128" s="94"/>
      <c r="BBG128" s="94"/>
      <c r="BBH128" s="94"/>
      <c r="BBI128" s="94"/>
      <c r="BBJ128" s="94"/>
      <c r="BBK128" s="94"/>
      <c r="BBL128" s="94"/>
      <c r="BBM128" s="94"/>
      <c r="BBN128" s="94"/>
      <c r="BBO128" s="94"/>
      <c r="BBP128" s="94"/>
      <c r="BBQ128" s="94"/>
      <c r="BBR128" s="94"/>
      <c r="BBS128" s="94"/>
      <c r="BBT128" s="94"/>
      <c r="BBU128" s="94"/>
      <c r="BBV128" s="94"/>
      <c r="BBW128" s="94"/>
      <c r="BBX128" s="94"/>
      <c r="BBY128" s="94"/>
      <c r="BBZ128" s="94"/>
      <c r="BCA128" s="94"/>
      <c r="BCB128" s="94"/>
      <c r="BCC128" s="94"/>
      <c r="BCD128" s="94"/>
      <c r="BCE128" s="94"/>
      <c r="BCF128" s="94"/>
      <c r="BCG128" s="94"/>
      <c r="BCH128" s="94"/>
      <c r="BCI128" s="94"/>
      <c r="BCJ128" s="94"/>
      <c r="BCK128" s="94"/>
      <c r="BCL128" s="94"/>
      <c r="BCM128" s="94"/>
      <c r="BCN128" s="94"/>
      <c r="BCO128" s="94"/>
      <c r="BCP128" s="94"/>
      <c r="BCQ128" s="94"/>
      <c r="BCR128" s="94"/>
      <c r="BCS128" s="94"/>
      <c r="BCT128" s="94"/>
      <c r="BCU128" s="94"/>
      <c r="BCV128" s="94"/>
      <c r="BCW128" s="94"/>
      <c r="BCX128" s="94"/>
      <c r="BCY128" s="94"/>
      <c r="BCZ128" s="94"/>
      <c r="BDA128" s="94"/>
      <c r="BDB128" s="94"/>
      <c r="BDC128" s="94"/>
      <c r="BDD128" s="94"/>
      <c r="BDE128" s="94"/>
      <c r="BDF128" s="94"/>
      <c r="BDG128" s="94"/>
      <c r="BDH128" s="94"/>
      <c r="BDI128" s="94"/>
      <c r="BDJ128" s="94"/>
      <c r="BDK128" s="94"/>
      <c r="BDL128" s="94"/>
      <c r="BDM128" s="94"/>
      <c r="BDN128" s="94"/>
      <c r="BDO128" s="94"/>
      <c r="BDP128" s="94"/>
      <c r="BDQ128" s="94"/>
      <c r="BDR128" s="94"/>
      <c r="BDS128" s="94"/>
      <c r="BDT128" s="94"/>
      <c r="BDU128" s="94"/>
      <c r="BDV128" s="94"/>
      <c r="BDW128" s="94"/>
      <c r="BDX128" s="94"/>
      <c r="BDY128" s="94"/>
      <c r="BDZ128" s="94"/>
      <c r="BEA128" s="94"/>
      <c r="BEB128" s="94"/>
      <c r="BEC128" s="94"/>
      <c r="BED128" s="94"/>
      <c r="BEE128" s="94"/>
      <c r="BEF128" s="94"/>
      <c r="BEG128" s="94"/>
      <c r="BEH128" s="94"/>
      <c r="BEI128" s="94"/>
      <c r="BEJ128" s="94"/>
      <c r="BEK128" s="94"/>
      <c r="BEL128" s="94"/>
      <c r="BEM128" s="94"/>
      <c r="BEN128" s="94"/>
      <c r="BEO128" s="94"/>
      <c r="BEP128" s="94"/>
      <c r="BEQ128" s="94"/>
      <c r="BER128" s="94"/>
      <c r="BES128" s="94"/>
      <c r="BET128" s="94"/>
      <c r="BEU128" s="94"/>
      <c r="BEV128" s="94"/>
      <c r="BEW128" s="94"/>
      <c r="BEX128" s="94"/>
      <c r="BEY128" s="94"/>
      <c r="BEZ128" s="94"/>
      <c r="BFA128" s="94"/>
      <c r="BFB128" s="94"/>
      <c r="BFC128" s="94"/>
      <c r="BFD128" s="94"/>
      <c r="BFE128" s="94"/>
      <c r="BFF128" s="94"/>
      <c r="BFG128" s="94"/>
      <c r="BFH128" s="94"/>
      <c r="BFI128" s="94"/>
      <c r="BFJ128" s="94"/>
      <c r="BFK128" s="94"/>
      <c r="BFL128" s="94"/>
      <c r="BFM128" s="94"/>
      <c r="BFN128" s="94"/>
      <c r="BFO128" s="94"/>
      <c r="BFP128" s="94"/>
      <c r="BFQ128" s="94"/>
      <c r="BFR128" s="94"/>
      <c r="BFS128" s="94"/>
      <c r="BFT128" s="94"/>
      <c r="BFU128" s="94"/>
      <c r="BFV128" s="94"/>
      <c r="BFW128" s="94"/>
      <c r="BFX128" s="94"/>
      <c r="BFY128" s="94"/>
      <c r="BFZ128" s="94"/>
      <c r="BGA128" s="94"/>
      <c r="BGB128" s="94"/>
      <c r="BGC128" s="94"/>
      <c r="BGD128" s="94"/>
      <c r="BGE128" s="94"/>
      <c r="BGF128" s="94"/>
      <c r="BGG128" s="94"/>
      <c r="BGH128" s="94"/>
      <c r="BGI128" s="94"/>
      <c r="BGJ128" s="94"/>
      <c r="BGK128" s="94"/>
      <c r="BGL128" s="94"/>
      <c r="BGM128" s="94"/>
      <c r="BGN128" s="94"/>
      <c r="BGO128" s="94"/>
      <c r="BGP128" s="94"/>
      <c r="BGQ128" s="94"/>
      <c r="BGR128" s="94"/>
      <c r="BGS128" s="94"/>
      <c r="BGT128" s="94"/>
      <c r="BGU128" s="94"/>
      <c r="BGV128" s="94"/>
      <c r="BGW128" s="94"/>
      <c r="BGX128" s="94"/>
      <c r="BGY128" s="94"/>
      <c r="BGZ128" s="94"/>
      <c r="BHA128" s="94"/>
      <c r="BHB128" s="94"/>
      <c r="BHC128" s="94"/>
      <c r="BHD128" s="94"/>
      <c r="BHE128" s="94"/>
      <c r="BHF128" s="94"/>
      <c r="BHG128" s="94"/>
      <c r="BHH128" s="94"/>
      <c r="BHI128" s="94"/>
      <c r="BHJ128" s="94"/>
      <c r="BHK128" s="94"/>
      <c r="BHL128" s="94"/>
      <c r="BHM128" s="94"/>
      <c r="BHN128" s="94"/>
      <c r="BHO128" s="94"/>
      <c r="BHP128" s="94"/>
      <c r="BHQ128" s="94"/>
      <c r="BHR128" s="94"/>
      <c r="BHS128" s="94"/>
      <c r="BHT128" s="94"/>
      <c r="BHU128" s="94"/>
      <c r="BHV128" s="94"/>
      <c r="BHW128" s="94"/>
      <c r="BHX128" s="94"/>
      <c r="BHY128" s="94"/>
      <c r="BHZ128" s="94"/>
      <c r="BIA128" s="94"/>
      <c r="BIB128" s="94"/>
      <c r="BIC128" s="94"/>
      <c r="BID128" s="94"/>
      <c r="BIE128" s="94"/>
      <c r="BIF128" s="94"/>
      <c r="BIG128" s="94"/>
      <c r="BIH128" s="94"/>
      <c r="BII128" s="94"/>
      <c r="BIJ128" s="94"/>
      <c r="BIK128" s="94"/>
      <c r="BIL128" s="94"/>
      <c r="BIM128" s="94"/>
      <c r="BIN128" s="94"/>
      <c r="BIO128" s="94"/>
      <c r="BIP128" s="94"/>
      <c r="BIQ128" s="94"/>
      <c r="BIR128" s="94"/>
      <c r="BIS128" s="94"/>
      <c r="BIT128" s="94"/>
      <c r="BIU128" s="94"/>
      <c r="BIV128" s="94"/>
      <c r="BIW128" s="94"/>
      <c r="BIX128" s="94"/>
      <c r="BIY128" s="94"/>
      <c r="BIZ128" s="94"/>
      <c r="BJA128" s="94"/>
      <c r="BJB128" s="94"/>
      <c r="BJC128" s="94"/>
      <c r="BJD128" s="94"/>
      <c r="BJE128" s="94"/>
      <c r="BJF128" s="94"/>
      <c r="BJG128" s="94"/>
      <c r="BJH128" s="94"/>
      <c r="BJI128" s="94"/>
      <c r="BJJ128" s="94"/>
      <c r="BJK128" s="94"/>
      <c r="BJL128" s="94"/>
      <c r="BJM128" s="94"/>
      <c r="BJN128" s="94"/>
      <c r="BJO128" s="94"/>
      <c r="BJP128" s="94"/>
      <c r="BJQ128" s="94"/>
      <c r="BJR128" s="94"/>
      <c r="BJS128" s="94"/>
      <c r="BJT128" s="94"/>
      <c r="BJU128" s="94"/>
      <c r="BJV128" s="94"/>
      <c r="BJW128" s="94"/>
      <c r="BJX128" s="94"/>
      <c r="BJY128" s="94"/>
      <c r="BJZ128" s="94"/>
      <c r="BKA128" s="94"/>
      <c r="BKB128" s="94"/>
      <c r="BKC128" s="94"/>
      <c r="BKD128" s="94"/>
      <c r="BKE128" s="94"/>
      <c r="BKF128" s="94"/>
      <c r="BKG128" s="94"/>
      <c r="BKH128" s="94"/>
      <c r="BKI128" s="94"/>
      <c r="BKJ128" s="94"/>
      <c r="BKK128" s="94"/>
      <c r="BKL128" s="94"/>
      <c r="BKM128" s="94"/>
      <c r="BKN128" s="94"/>
      <c r="BKO128" s="94"/>
      <c r="BKP128" s="94"/>
      <c r="BKQ128" s="94"/>
      <c r="BKR128" s="94"/>
      <c r="BKS128" s="94"/>
      <c r="BKT128" s="94"/>
      <c r="BKU128" s="94"/>
      <c r="BKV128" s="94"/>
      <c r="BKW128" s="94"/>
      <c r="BKX128" s="94"/>
      <c r="BKY128" s="94"/>
      <c r="BKZ128" s="94"/>
      <c r="BLA128" s="94"/>
      <c r="BLB128" s="94"/>
      <c r="BLC128" s="94"/>
      <c r="BLD128" s="94"/>
      <c r="BLE128" s="94"/>
      <c r="BLF128" s="94"/>
      <c r="BLG128" s="94"/>
      <c r="BLH128" s="94"/>
      <c r="BLI128" s="94"/>
      <c r="BLJ128" s="94"/>
      <c r="BLK128" s="94"/>
      <c r="BLL128" s="94"/>
      <c r="BLM128" s="94"/>
      <c r="BLN128" s="94"/>
      <c r="BLO128" s="94"/>
      <c r="BLP128" s="94"/>
      <c r="BLQ128" s="94"/>
      <c r="BLR128" s="94"/>
      <c r="BLS128" s="94"/>
      <c r="BLT128" s="94"/>
      <c r="BLU128" s="94"/>
      <c r="BLV128" s="94"/>
      <c r="BLW128" s="94"/>
      <c r="BLX128" s="94"/>
      <c r="BLY128" s="94"/>
      <c r="BLZ128" s="94"/>
      <c r="BMA128" s="94"/>
      <c r="BMB128" s="94"/>
      <c r="BMC128" s="94"/>
      <c r="BMD128" s="94"/>
      <c r="BME128" s="94"/>
      <c r="BMF128" s="94"/>
      <c r="BMG128" s="94"/>
      <c r="BMH128" s="94"/>
      <c r="BMI128" s="94"/>
      <c r="BMJ128" s="94"/>
      <c r="BMK128" s="94"/>
      <c r="BML128" s="94"/>
      <c r="BMM128" s="94"/>
      <c r="BMN128" s="94"/>
      <c r="BMO128" s="94"/>
      <c r="BMP128" s="94"/>
      <c r="BMQ128" s="94"/>
      <c r="BMR128" s="94"/>
      <c r="BMS128" s="94"/>
      <c r="BMT128" s="94"/>
      <c r="BMU128" s="94"/>
      <c r="BMV128" s="94"/>
      <c r="BMW128" s="94"/>
      <c r="BMX128" s="94"/>
      <c r="BMY128" s="94"/>
      <c r="BMZ128" s="94"/>
      <c r="BNA128" s="94"/>
      <c r="BNB128" s="94"/>
      <c r="BNC128" s="94"/>
      <c r="BND128" s="94"/>
      <c r="BNE128" s="94"/>
      <c r="BNF128" s="94"/>
      <c r="BNG128" s="94"/>
      <c r="BNH128" s="94"/>
      <c r="BNI128" s="94"/>
      <c r="BNJ128" s="94"/>
      <c r="BNK128" s="94"/>
      <c r="BNL128" s="94"/>
      <c r="BNM128" s="94"/>
      <c r="BNN128" s="94"/>
      <c r="BNO128" s="94"/>
      <c r="BNP128" s="94"/>
      <c r="BNQ128" s="94"/>
      <c r="BNR128" s="94"/>
      <c r="BNS128" s="94"/>
      <c r="BNT128" s="94"/>
      <c r="BNU128" s="94"/>
      <c r="BNV128" s="94"/>
      <c r="BNW128" s="94"/>
      <c r="BNX128" s="94"/>
      <c r="BNY128" s="94"/>
      <c r="BNZ128" s="94"/>
      <c r="BOA128" s="94"/>
      <c r="BOB128" s="94"/>
      <c r="BOC128" s="94"/>
      <c r="BOD128" s="94"/>
      <c r="BOE128" s="94"/>
      <c r="BOF128" s="94"/>
      <c r="BOG128" s="94"/>
      <c r="BOH128" s="94"/>
      <c r="BOI128" s="94"/>
      <c r="BOJ128" s="94"/>
      <c r="BOK128" s="94"/>
      <c r="BOL128" s="94"/>
      <c r="BOM128" s="94"/>
      <c r="BON128" s="94"/>
      <c r="BOO128" s="94"/>
      <c r="BOP128" s="94"/>
      <c r="BOQ128" s="94"/>
      <c r="BOR128" s="94"/>
      <c r="BOS128" s="94"/>
      <c r="BOT128" s="94"/>
      <c r="BOU128" s="94"/>
      <c r="BOV128" s="94"/>
      <c r="BOW128" s="94"/>
      <c r="BOX128" s="94"/>
      <c r="BOY128" s="94"/>
      <c r="BOZ128" s="94"/>
      <c r="BPA128" s="94"/>
      <c r="BPB128" s="94"/>
      <c r="BPC128" s="94"/>
      <c r="BPD128" s="94"/>
      <c r="BPE128" s="94"/>
      <c r="BPF128" s="94"/>
      <c r="BPG128" s="94"/>
      <c r="BPH128" s="94"/>
      <c r="BPI128" s="94"/>
      <c r="BPJ128" s="94"/>
      <c r="BPK128" s="94"/>
      <c r="BPL128" s="94"/>
      <c r="BPM128" s="94"/>
      <c r="BPN128" s="94"/>
      <c r="BPO128" s="94"/>
      <c r="BPP128" s="94"/>
      <c r="BPQ128" s="94"/>
      <c r="BPR128" s="94"/>
      <c r="BPS128" s="94"/>
      <c r="BPT128" s="94"/>
      <c r="BPU128" s="94"/>
      <c r="BPV128" s="94"/>
      <c r="BPW128" s="94"/>
      <c r="BPX128" s="94"/>
      <c r="BPY128" s="94"/>
      <c r="BPZ128" s="94"/>
      <c r="BQA128" s="94"/>
      <c r="BQB128" s="94"/>
      <c r="BQC128" s="94"/>
      <c r="BQD128" s="94"/>
      <c r="BQE128" s="94"/>
      <c r="BQF128" s="94"/>
      <c r="BQG128" s="94"/>
      <c r="BQH128" s="94"/>
      <c r="BQI128" s="94"/>
      <c r="BQJ128" s="94"/>
      <c r="BQK128" s="94"/>
      <c r="BQL128" s="94"/>
      <c r="BQM128" s="94"/>
      <c r="BQN128" s="94"/>
      <c r="BQO128" s="94"/>
      <c r="BQP128" s="94"/>
      <c r="BQQ128" s="94"/>
      <c r="BQR128" s="94"/>
      <c r="BQS128" s="94"/>
      <c r="BQT128" s="94"/>
      <c r="BQU128" s="94"/>
      <c r="BQV128" s="94"/>
      <c r="BQW128" s="94"/>
      <c r="BQX128" s="94"/>
      <c r="BQY128" s="94"/>
      <c r="BQZ128" s="94"/>
      <c r="BRA128" s="94"/>
      <c r="BRB128" s="94"/>
      <c r="BRC128" s="94"/>
      <c r="BRD128" s="94"/>
      <c r="BRE128" s="94"/>
      <c r="BRF128" s="94"/>
      <c r="BRG128" s="94"/>
      <c r="BRH128" s="94"/>
      <c r="BRI128" s="94"/>
      <c r="BRJ128" s="94"/>
      <c r="BRK128" s="94"/>
      <c r="BRL128" s="94"/>
      <c r="BRM128" s="94"/>
      <c r="BRN128" s="94"/>
      <c r="BRO128" s="94"/>
      <c r="BRP128" s="94"/>
      <c r="BRQ128" s="94"/>
      <c r="BRR128" s="94"/>
      <c r="BRS128" s="94"/>
      <c r="BRT128" s="94"/>
      <c r="BRU128" s="94"/>
      <c r="BRV128" s="94"/>
      <c r="BRW128" s="94"/>
      <c r="BRX128" s="94"/>
      <c r="BRY128" s="94"/>
      <c r="BRZ128" s="94"/>
      <c r="BSA128" s="94"/>
      <c r="BSB128" s="94"/>
      <c r="BSC128" s="94"/>
      <c r="BSD128" s="94"/>
      <c r="BSE128" s="94"/>
      <c r="BSF128" s="94"/>
      <c r="BSG128" s="94"/>
      <c r="BSH128" s="94"/>
      <c r="BSI128" s="94"/>
      <c r="BSJ128" s="94"/>
      <c r="BSK128" s="94"/>
      <c r="BSL128" s="94"/>
      <c r="BSM128" s="94"/>
      <c r="BSN128" s="94"/>
      <c r="BSO128" s="94"/>
      <c r="BSP128" s="94"/>
      <c r="BSQ128" s="94"/>
      <c r="BSR128" s="94"/>
      <c r="BSS128" s="94"/>
      <c r="BST128" s="94"/>
      <c r="BSU128" s="94"/>
      <c r="BSV128" s="94"/>
      <c r="BSW128" s="94"/>
      <c r="BSX128" s="94"/>
      <c r="BSY128" s="94"/>
      <c r="BSZ128" s="94"/>
      <c r="BTA128" s="94"/>
      <c r="BTB128" s="94"/>
      <c r="BTC128" s="94"/>
      <c r="BTD128" s="94"/>
      <c r="BTE128" s="94"/>
      <c r="BTF128" s="94"/>
      <c r="BTG128" s="94"/>
      <c r="BTH128" s="94"/>
      <c r="BTI128" s="94"/>
      <c r="BTJ128" s="94"/>
      <c r="BTK128" s="94"/>
      <c r="BTL128" s="94"/>
      <c r="BTM128" s="94"/>
      <c r="BTN128" s="94"/>
      <c r="BTO128" s="94"/>
      <c r="BTP128" s="94"/>
      <c r="BTQ128" s="94"/>
      <c r="BTR128" s="94"/>
      <c r="BTS128" s="94"/>
      <c r="BTT128" s="94"/>
      <c r="BTU128" s="94"/>
      <c r="BTV128" s="94"/>
      <c r="BTW128" s="94"/>
      <c r="BTX128" s="94"/>
      <c r="BTY128" s="94"/>
      <c r="BTZ128" s="94"/>
      <c r="BUA128" s="94"/>
      <c r="BUB128" s="94"/>
      <c r="BUC128" s="94"/>
      <c r="BUD128" s="94"/>
      <c r="BUE128" s="94"/>
      <c r="BUF128" s="94"/>
      <c r="BUG128" s="94"/>
      <c r="BUH128" s="94"/>
      <c r="BUI128" s="94"/>
      <c r="BUJ128" s="94"/>
      <c r="BUK128" s="94"/>
      <c r="BUL128" s="94"/>
      <c r="BUM128" s="94"/>
      <c r="BUN128" s="94"/>
      <c r="BUO128" s="94"/>
      <c r="BUP128" s="94"/>
      <c r="BUQ128" s="94"/>
      <c r="BUR128" s="94"/>
      <c r="BUS128" s="94"/>
      <c r="BUT128" s="94"/>
      <c r="BUU128" s="94"/>
      <c r="BUV128" s="94"/>
      <c r="BUW128" s="94"/>
      <c r="BUX128" s="94"/>
      <c r="BUY128" s="94"/>
      <c r="BUZ128" s="94"/>
      <c r="BVA128" s="94"/>
      <c r="BVB128" s="94"/>
      <c r="BVC128" s="94"/>
      <c r="BVD128" s="94"/>
      <c r="BVE128" s="94"/>
      <c r="BVF128" s="94"/>
      <c r="BVG128" s="94"/>
      <c r="BVH128" s="94"/>
      <c r="BVI128" s="94"/>
      <c r="BVJ128" s="94"/>
      <c r="BVK128" s="94"/>
      <c r="BVL128" s="94"/>
      <c r="BVM128" s="94"/>
      <c r="BVN128" s="94"/>
      <c r="BVO128" s="94"/>
      <c r="BVP128" s="94"/>
      <c r="BVQ128" s="94"/>
      <c r="BVR128" s="94"/>
      <c r="BVS128" s="94"/>
      <c r="BVT128" s="94"/>
      <c r="BVU128" s="94"/>
      <c r="BVV128" s="94"/>
      <c r="BVW128" s="94"/>
      <c r="BVX128" s="94"/>
      <c r="BVY128" s="94"/>
      <c r="BVZ128" s="94"/>
      <c r="BWA128" s="94"/>
      <c r="BWB128" s="94"/>
      <c r="BWC128" s="94"/>
      <c r="BWD128" s="94"/>
      <c r="BWE128" s="94"/>
      <c r="BWF128" s="94"/>
      <c r="BWG128" s="94"/>
      <c r="BWH128" s="94"/>
      <c r="BWI128" s="94"/>
      <c r="BWJ128" s="94"/>
      <c r="BWK128" s="94"/>
      <c r="BWL128" s="94"/>
      <c r="BWM128" s="94"/>
      <c r="BWN128" s="94"/>
      <c r="BWO128" s="94"/>
      <c r="BWP128" s="94"/>
      <c r="BWQ128" s="94"/>
      <c r="BWR128" s="94"/>
      <c r="BWS128" s="94"/>
      <c r="BWT128" s="94"/>
      <c r="BWU128" s="94"/>
      <c r="BWV128" s="94"/>
      <c r="BWW128" s="94"/>
      <c r="BWX128" s="94"/>
      <c r="BWY128" s="94"/>
      <c r="BWZ128" s="94"/>
      <c r="BXA128" s="94"/>
      <c r="BXB128" s="94"/>
      <c r="BXC128" s="94"/>
      <c r="BXD128" s="94"/>
      <c r="BXE128" s="94"/>
      <c r="BXF128" s="94"/>
      <c r="BXG128" s="94"/>
      <c r="BXH128" s="94"/>
      <c r="BXI128" s="94"/>
      <c r="BXJ128" s="94"/>
      <c r="BXK128" s="94"/>
      <c r="BXL128" s="94"/>
      <c r="BXM128" s="94"/>
      <c r="BXN128" s="94"/>
      <c r="BXO128" s="94"/>
      <c r="BXP128" s="94"/>
      <c r="BXQ128" s="94"/>
      <c r="BXR128" s="94"/>
      <c r="BXS128" s="94"/>
      <c r="BXT128" s="94"/>
      <c r="BXU128" s="94"/>
      <c r="BXV128" s="94"/>
      <c r="BXW128" s="94"/>
      <c r="BXX128" s="94"/>
      <c r="BXY128" s="94"/>
      <c r="BXZ128" s="94"/>
      <c r="BYA128" s="94"/>
      <c r="BYB128" s="94"/>
      <c r="BYC128" s="94"/>
      <c r="BYD128" s="94"/>
      <c r="BYE128" s="94"/>
      <c r="BYF128" s="94"/>
      <c r="BYG128" s="94"/>
      <c r="BYH128" s="94"/>
      <c r="BYI128" s="94"/>
      <c r="BYJ128" s="94"/>
      <c r="BYK128" s="94"/>
      <c r="BYL128" s="94"/>
      <c r="BYM128" s="94"/>
      <c r="BYN128" s="94"/>
      <c r="BYO128" s="94"/>
      <c r="BYP128" s="94"/>
      <c r="BYQ128" s="94"/>
      <c r="BYR128" s="94"/>
      <c r="BYS128" s="94"/>
      <c r="BYT128" s="94"/>
      <c r="BYU128" s="94"/>
      <c r="BYV128" s="94"/>
      <c r="BYW128" s="94"/>
      <c r="BYX128" s="94"/>
      <c r="BYY128" s="94"/>
      <c r="BYZ128" s="94"/>
      <c r="BZA128" s="94"/>
      <c r="BZB128" s="94"/>
      <c r="BZC128" s="94"/>
      <c r="BZD128" s="94"/>
      <c r="BZE128" s="94"/>
      <c r="BZF128" s="94"/>
      <c r="BZG128" s="94"/>
      <c r="BZH128" s="94"/>
      <c r="BZI128" s="94"/>
      <c r="BZJ128" s="94"/>
      <c r="BZK128" s="94"/>
      <c r="BZL128" s="94"/>
      <c r="BZM128" s="94"/>
      <c r="BZN128" s="94"/>
      <c r="BZO128" s="94"/>
      <c r="BZP128" s="94"/>
      <c r="BZQ128" s="94"/>
      <c r="BZR128" s="94"/>
      <c r="BZS128" s="94"/>
      <c r="BZT128" s="94"/>
      <c r="BZU128" s="94"/>
      <c r="BZV128" s="94"/>
      <c r="BZW128" s="94"/>
      <c r="BZX128" s="94"/>
      <c r="BZY128" s="94"/>
      <c r="BZZ128" s="94"/>
      <c r="CAA128" s="94"/>
      <c r="CAB128" s="94"/>
      <c r="CAC128" s="94"/>
      <c r="CAD128" s="94"/>
      <c r="CAE128" s="94"/>
      <c r="CAF128" s="94"/>
      <c r="CAG128" s="94"/>
      <c r="CAH128" s="94"/>
      <c r="CAI128" s="94"/>
      <c r="CAJ128" s="94"/>
      <c r="CAK128" s="94"/>
      <c r="CAL128" s="94"/>
      <c r="CAM128" s="94"/>
      <c r="CAN128" s="94"/>
      <c r="CAO128" s="94"/>
      <c r="CAP128" s="94"/>
      <c r="CAQ128" s="94"/>
      <c r="CAR128" s="94"/>
      <c r="CAS128" s="94"/>
      <c r="CAT128" s="94"/>
      <c r="CAU128" s="94"/>
      <c r="CAV128" s="94"/>
      <c r="CAW128" s="94"/>
      <c r="CAX128" s="94"/>
      <c r="CAY128" s="94"/>
      <c r="CAZ128" s="94"/>
      <c r="CBA128" s="94"/>
      <c r="CBB128" s="94"/>
      <c r="CBC128" s="94"/>
      <c r="CBD128" s="94"/>
      <c r="CBE128" s="94"/>
      <c r="CBF128" s="94"/>
      <c r="CBG128" s="94"/>
      <c r="CBH128" s="94"/>
      <c r="CBI128" s="94"/>
      <c r="CBJ128" s="94"/>
      <c r="CBK128" s="94"/>
      <c r="CBL128" s="94"/>
      <c r="CBM128" s="94"/>
      <c r="CBN128" s="94"/>
      <c r="CBO128" s="94"/>
      <c r="CBP128" s="94"/>
      <c r="CBQ128" s="94"/>
      <c r="CBR128" s="94"/>
      <c r="CBS128" s="94"/>
      <c r="CBT128" s="94"/>
      <c r="CBU128" s="94"/>
      <c r="CBV128" s="94"/>
      <c r="CBW128" s="94"/>
      <c r="CBX128" s="94"/>
      <c r="CBY128" s="94"/>
      <c r="CBZ128" s="94"/>
      <c r="CCA128" s="94"/>
      <c r="CCB128" s="94"/>
      <c r="CCC128" s="94"/>
      <c r="CCD128" s="94"/>
      <c r="CCE128" s="94"/>
      <c r="CCF128" s="94"/>
      <c r="CCG128" s="94"/>
      <c r="CCH128" s="94"/>
      <c r="CCI128" s="94"/>
      <c r="CCJ128" s="94"/>
      <c r="CCK128" s="94"/>
      <c r="CCL128" s="94"/>
      <c r="CCM128" s="94"/>
      <c r="CCN128" s="94"/>
      <c r="CCO128" s="94"/>
      <c r="CCP128" s="94"/>
      <c r="CCQ128" s="94"/>
      <c r="CCR128" s="94"/>
      <c r="CCS128" s="94"/>
      <c r="CCT128" s="94"/>
      <c r="CCU128" s="94"/>
      <c r="CCV128" s="94"/>
      <c r="CCW128" s="94"/>
      <c r="CCX128" s="94"/>
      <c r="CCY128" s="94"/>
      <c r="CCZ128" s="94"/>
      <c r="CDA128" s="94"/>
      <c r="CDB128" s="94"/>
      <c r="CDC128" s="94"/>
      <c r="CDD128" s="94"/>
      <c r="CDE128" s="94"/>
      <c r="CDF128" s="94"/>
      <c r="CDG128" s="94"/>
      <c r="CDH128" s="94"/>
      <c r="CDI128" s="94"/>
      <c r="CDJ128" s="94"/>
      <c r="CDK128" s="94"/>
      <c r="CDL128" s="94"/>
      <c r="CDM128" s="94"/>
      <c r="CDN128" s="94"/>
      <c r="CDO128" s="94"/>
      <c r="CDP128" s="94"/>
      <c r="CDQ128" s="94"/>
      <c r="CDR128" s="94"/>
      <c r="CDS128" s="94"/>
      <c r="CDT128" s="94"/>
      <c r="CDU128" s="94"/>
      <c r="CDV128" s="94"/>
      <c r="CDW128" s="94"/>
      <c r="CDX128" s="94"/>
      <c r="CDY128" s="94"/>
      <c r="CDZ128" s="94"/>
      <c r="CEA128" s="94"/>
      <c r="CEB128" s="94"/>
      <c r="CEC128" s="94"/>
      <c r="CED128" s="94"/>
      <c r="CEE128" s="94"/>
      <c r="CEF128" s="94"/>
      <c r="CEG128" s="94"/>
      <c r="CEH128" s="94"/>
      <c r="CEI128" s="94"/>
      <c r="CEJ128" s="94"/>
      <c r="CEK128" s="94"/>
      <c r="CEL128" s="94"/>
      <c r="CEM128" s="94"/>
      <c r="CEN128" s="94"/>
      <c r="CEO128" s="94"/>
      <c r="CEP128" s="94"/>
      <c r="CEQ128" s="94"/>
      <c r="CER128" s="94"/>
      <c r="CES128" s="94"/>
      <c r="CET128" s="94"/>
      <c r="CEU128" s="94"/>
      <c r="CEV128" s="94"/>
      <c r="CEW128" s="94"/>
      <c r="CEX128" s="94"/>
      <c r="CEY128" s="94"/>
      <c r="CEZ128" s="94"/>
      <c r="CFA128" s="94"/>
      <c r="CFB128" s="94"/>
      <c r="CFC128" s="94"/>
      <c r="CFD128" s="94"/>
      <c r="CFE128" s="94"/>
      <c r="CFF128" s="94"/>
      <c r="CFG128" s="94"/>
      <c r="CFH128" s="94"/>
      <c r="CFI128" s="94"/>
      <c r="CFJ128" s="94"/>
      <c r="CFK128" s="94"/>
      <c r="CFL128" s="94"/>
      <c r="CFM128" s="94"/>
      <c r="CFN128" s="94"/>
      <c r="CFO128" s="94"/>
      <c r="CFP128" s="94"/>
      <c r="CFQ128" s="94"/>
      <c r="CFR128" s="94"/>
      <c r="CFS128" s="94"/>
      <c r="CFT128" s="94"/>
      <c r="CFU128" s="94"/>
      <c r="CFV128" s="94"/>
      <c r="CFW128" s="94"/>
      <c r="CFX128" s="94"/>
      <c r="CFY128" s="94"/>
      <c r="CFZ128" s="94"/>
      <c r="CGA128" s="94"/>
      <c r="CGB128" s="94"/>
      <c r="CGC128" s="94"/>
      <c r="CGD128" s="94"/>
      <c r="CGE128" s="94"/>
      <c r="CGF128" s="94"/>
      <c r="CGG128" s="94"/>
      <c r="CGH128" s="94"/>
      <c r="CGI128" s="94"/>
      <c r="CGJ128" s="94"/>
      <c r="CGK128" s="94"/>
      <c r="CGL128" s="94"/>
      <c r="CGM128" s="94"/>
      <c r="CGN128" s="94"/>
      <c r="CGO128" s="94"/>
      <c r="CGP128" s="94"/>
      <c r="CGQ128" s="94"/>
      <c r="CGR128" s="94"/>
      <c r="CGS128" s="94"/>
      <c r="CGT128" s="94"/>
      <c r="CGU128" s="94"/>
      <c r="CGV128" s="94"/>
      <c r="CGW128" s="94"/>
      <c r="CGX128" s="94"/>
      <c r="CGY128" s="94"/>
      <c r="CGZ128" s="94"/>
      <c r="CHA128" s="94"/>
      <c r="CHB128" s="94"/>
      <c r="CHC128" s="94"/>
      <c r="CHD128" s="94"/>
      <c r="CHE128" s="94"/>
      <c r="CHF128" s="94"/>
      <c r="CHG128" s="94"/>
      <c r="CHH128" s="94"/>
      <c r="CHI128" s="94"/>
      <c r="CHJ128" s="94"/>
      <c r="CHK128" s="94"/>
      <c r="CHL128" s="94"/>
      <c r="CHM128" s="94"/>
      <c r="CHN128" s="94"/>
      <c r="CHO128" s="94"/>
      <c r="CHP128" s="94"/>
      <c r="CHQ128" s="94"/>
      <c r="CHR128" s="94"/>
      <c r="CHS128" s="94"/>
      <c r="CHT128" s="94"/>
      <c r="CHU128" s="94"/>
      <c r="CHV128" s="94"/>
      <c r="CHW128" s="94"/>
      <c r="CHX128" s="94"/>
      <c r="CHY128" s="94"/>
      <c r="CHZ128" s="94"/>
      <c r="CIA128" s="94"/>
      <c r="CIB128" s="94"/>
      <c r="CIC128" s="94"/>
      <c r="CID128" s="94"/>
      <c r="CIE128" s="94"/>
      <c r="CIF128" s="94"/>
      <c r="CIG128" s="94"/>
      <c r="CIH128" s="94"/>
      <c r="CII128" s="94"/>
      <c r="CIJ128" s="94"/>
      <c r="CIK128" s="94"/>
      <c r="CIL128" s="94"/>
      <c r="CIM128" s="94"/>
      <c r="CIN128" s="94"/>
      <c r="CIO128" s="94"/>
      <c r="CIP128" s="94"/>
      <c r="CIQ128" s="94"/>
      <c r="CIR128" s="94"/>
      <c r="CIS128" s="94"/>
      <c r="CIT128" s="94"/>
      <c r="CIU128" s="94"/>
      <c r="CIV128" s="94"/>
      <c r="CIW128" s="94"/>
      <c r="CIX128" s="94"/>
      <c r="CIY128" s="94"/>
      <c r="CIZ128" s="94"/>
      <c r="CJA128" s="94"/>
      <c r="CJB128" s="94"/>
      <c r="CJC128" s="94"/>
      <c r="CJD128" s="94"/>
      <c r="CJE128" s="94"/>
      <c r="CJF128" s="94"/>
      <c r="CJG128" s="94"/>
      <c r="CJH128" s="94"/>
      <c r="CJI128" s="94"/>
      <c r="CJJ128" s="94"/>
      <c r="CJK128" s="94"/>
      <c r="CJL128" s="94"/>
      <c r="CJM128" s="94"/>
      <c r="CJN128" s="94"/>
      <c r="CJO128" s="94"/>
      <c r="CJP128" s="94"/>
      <c r="CJQ128" s="94"/>
      <c r="CJR128" s="94"/>
      <c r="CJS128" s="94"/>
      <c r="CJT128" s="94"/>
      <c r="CJU128" s="94"/>
      <c r="CJV128" s="94"/>
      <c r="CJW128" s="94"/>
      <c r="CJX128" s="94"/>
      <c r="CJY128" s="94"/>
      <c r="CJZ128" s="94"/>
      <c r="CKA128" s="94"/>
      <c r="CKB128" s="94"/>
      <c r="CKC128" s="94"/>
      <c r="CKD128" s="94"/>
      <c r="CKE128" s="94"/>
      <c r="CKF128" s="94"/>
      <c r="CKG128" s="94"/>
      <c r="CKH128" s="94"/>
      <c r="CKI128" s="94"/>
      <c r="CKJ128" s="94"/>
      <c r="CKK128" s="94"/>
      <c r="CKL128" s="94"/>
      <c r="CKM128" s="94"/>
      <c r="CKN128" s="94"/>
      <c r="CKO128" s="94"/>
      <c r="CKP128" s="94"/>
      <c r="CKQ128" s="94"/>
      <c r="CKR128" s="94"/>
      <c r="CKS128" s="94"/>
      <c r="CKT128" s="94"/>
      <c r="CKU128" s="94"/>
      <c r="CKV128" s="94"/>
      <c r="CKW128" s="94"/>
      <c r="CKX128" s="94"/>
      <c r="CKY128" s="94"/>
      <c r="CKZ128" s="94"/>
      <c r="CLA128" s="94"/>
      <c r="CLB128" s="94"/>
      <c r="CLC128" s="94"/>
      <c r="CLD128" s="94"/>
      <c r="CLE128" s="94"/>
      <c r="CLF128" s="94"/>
      <c r="CLG128" s="94"/>
      <c r="CLH128" s="94"/>
      <c r="CLI128" s="94"/>
      <c r="CLJ128" s="94"/>
      <c r="CLK128" s="94"/>
      <c r="CLL128" s="94"/>
      <c r="CLM128" s="94"/>
      <c r="CLN128" s="94"/>
      <c r="CLO128" s="94"/>
      <c r="CLP128" s="94"/>
      <c r="CLQ128" s="94"/>
      <c r="CLR128" s="94"/>
      <c r="CLS128" s="94"/>
      <c r="CLT128" s="94"/>
      <c r="CLU128" s="94"/>
      <c r="CLV128" s="94"/>
      <c r="CLW128" s="94"/>
      <c r="CLX128" s="94"/>
      <c r="CLY128" s="94"/>
      <c r="CLZ128" s="94"/>
      <c r="CMA128" s="94"/>
      <c r="CMB128" s="94"/>
      <c r="CMC128" s="94"/>
      <c r="CMD128" s="94"/>
      <c r="CME128" s="94"/>
      <c r="CMF128" s="94"/>
      <c r="CMG128" s="94"/>
      <c r="CMH128" s="94"/>
      <c r="CMI128" s="94"/>
      <c r="CMJ128" s="94"/>
      <c r="CMK128" s="94"/>
      <c r="CML128" s="94"/>
      <c r="CMM128" s="94"/>
      <c r="CMN128" s="94"/>
      <c r="CMO128" s="94"/>
      <c r="CMP128" s="94"/>
      <c r="CMQ128" s="94"/>
      <c r="CMR128" s="94"/>
      <c r="CMS128" s="94"/>
      <c r="CMT128" s="94"/>
      <c r="CMU128" s="94"/>
      <c r="CMV128" s="94"/>
      <c r="CMW128" s="94"/>
      <c r="CMX128" s="94"/>
      <c r="CMY128" s="94"/>
      <c r="CMZ128" s="94"/>
      <c r="CNA128" s="94"/>
      <c r="CNB128" s="94"/>
      <c r="CNC128" s="94"/>
      <c r="CND128" s="94"/>
      <c r="CNE128" s="94"/>
      <c r="CNF128" s="94"/>
      <c r="CNG128" s="94"/>
      <c r="CNH128" s="94"/>
      <c r="CNI128" s="94"/>
      <c r="CNJ128" s="94"/>
      <c r="CNK128" s="94"/>
      <c r="CNL128" s="94"/>
      <c r="CNM128" s="94"/>
      <c r="CNN128" s="94"/>
      <c r="CNO128" s="94"/>
      <c r="CNP128" s="94"/>
      <c r="CNQ128" s="94"/>
      <c r="CNR128" s="94"/>
      <c r="CNS128" s="94"/>
      <c r="CNT128" s="94"/>
      <c r="CNU128" s="94"/>
      <c r="CNV128" s="94"/>
      <c r="CNW128" s="94"/>
      <c r="CNX128" s="94"/>
      <c r="CNY128" s="94"/>
      <c r="CNZ128" s="94"/>
      <c r="COA128" s="94"/>
      <c r="COB128" s="94"/>
      <c r="COC128" s="94"/>
      <c r="COD128" s="94"/>
      <c r="COE128" s="94"/>
      <c r="COF128" s="94"/>
      <c r="COG128" s="94"/>
      <c r="COH128" s="94"/>
      <c r="COI128" s="94"/>
      <c r="COJ128" s="94"/>
      <c r="COK128" s="94"/>
      <c r="COL128" s="94"/>
      <c r="COM128" s="94"/>
      <c r="CON128" s="94"/>
      <c r="COO128" s="94"/>
      <c r="COP128" s="94"/>
      <c r="COQ128" s="94"/>
      <c r="COR128" s="94"/>
      <c r="COS128" s="94"/>
      <c r="COT128" s="94"/>
      <c r="COU128" s="94"/>
      <c r="COV128" s="94"/>
      <c r="COW128" s="94"/>
      <c r="COX128" s="94"/>
      <c r="COY128" s="94"/>
      <c r="COZ128" s="94"/>
      <c r="CPA128" s="94"/>
      <c r="CPB128" s="94"/>
      <c r="CPC128" s="94"/>
      <c r="CPD128" s="94"/>
      <c r="CPE128" s="94"/>
      <c r="CPF128" s="94"/>
      <c r="CPG128" s="94"/>
      <c r="CPH128" s="94"/>
      <c r="CPI128" s="94"/>
      <c r="CPJ128" s="94"/>
      <c r="CPK128" s="94"/>
      <c r="CPL128" s="94"/>
      <c r="CPM128" s="94"/>
      <c r="CPN128" s="94"/>
      <c r="CPO128" s="94"/>
      <c r="CPP128" s="94"/>
      <c r="CPQ128" s="94"/>
      <c r="CPR128" s="94"/>
      <c r="CPS128" s="94"/>
      <c r="CPT128" s="94"/>
      <c r="CPU128" s="94"/>
      <c r="CPV128" s="94"/>
      <c r="CPW128" s="94"/>
      <c r="CPX128" s="94"/>
      <c r="CPY128" s="94"/>
      <c r="CPZ128" s="94"/>
      <c r="CQA128" s="94"/>
      <c r="CQB128" s="94"/>
      <c r="CQC128" s="94"/>
      <c r="CQD128" s="94"/>
      <c r="CQE128" s="94"/>
      <c r="CQF128" s="94"/>
      <c r="CQG128" s="94"/>
      <c r="CQH128" s="94"/>
      <c r="CQI128" s="94"/>
      <c r="CQJ128" s="94"/>
      <c r="CQK128" s="94"/>
      <c r="CQL128" s="94"/>
      <c r="CQM128" s="94"/>
      <c r="CQN128" s="94"/>
      <c r="CQO128" s="94"/>
      <c r="CQP128" s="94"/>
      <c r="CQQ128" s="94"/>
      <c r="CQR128" s="94"/>
      <c r="CQS128" s="94"/>
      <c r="CQT128" s="94"/>
      <c r="CQU128" s="94"/>
      <c r="CQV128" s="94"/>
      <c r="CQW128" s="94"/>
      <c r="CQX128" s="94"/>
      <c r="CQY128" s="94"/>
      <c r="CQZ128" s="94"/>
      <c r="CRA128" s="94"/>
      <c r="CRB128" s="94"/>
      <c r="CRC128" s="94"/>
      <c r="CRD128" s="94"/>
      <c r="CRE128" s="94"/>
      <c r="CRF128" s="94"/>
      <c r="CRG128" s="94"/>
      <c r="CRH128" s="94"/>
      <c r="CRI128" s="94"/>
      <c r="CRJ128" s="94"/>
      <c r="CRK128" s="94"/>
      <c r="CRL128" s="94"/>
      <c r="CRM128" s="94"/>
      <c r="CRN128" s="94"/>
      <c r="CRO128" s="94"/>
      <c r="CRP128" s="94"/>
      <c r="CRQ128" s="94"/>
      <c r="CRR128" s="94"/>
      <c r="CRS128" s="94"/>
      <c r="CRT128" s="94"/>
      <c r="CRU128" s="94"/>
      <c r="CRV128" s="94"/>
      <c r="CRW128" s="94"/>
      <c r="CRX128" s="94"/>
      <c r="CRY128" s="94"/>
      <c r="CRZ128" s="94"/>
      <c r="CSA128" s="94"/>
      <c r="CSB128" s="94"/>
      <c r="CSC128" s="94"/>
      <c r="CSD128" s="94"/>
      <c r="CSE128" s="94"/>
      <c r="CSF128" s="94"/>
      <c r="CSG128" s="94"/>
      <c r="CSH128" s="94"/>
      <c r="CSI128" s="94"/>
      <c r="CSJ128" s="94"/>
      <c r="CSK128" s="94"/>
      <c r="CSL128" s="94"/>
      <c r="CSM128" s="94"/>
      <c r="CSN128" s="94"/>
      <c r="CSO128" s="94"/>
      <c r="CSP128" s="94"/>
      <c r="CSQ128" s="94"/>
      <c r="CSR128" s="94"/>
      <c r="CSS128" s="94"/>
      <c r="CST128" s="94"/>
      <c r="CSU128" s="94"/>
      <c r="CSV128" s="94"/>
      <c r="CSW128" s="94"/>
      <c r="CSX128" s="94"/>
      <c r="CSY128" s="94"/>
      <c r="CSZ128" s="94"/>
      <c r="CTA128" s="94"/>
      <c r="CTB128" s="94"/>
      <c r="CTC128" s="94"/>
      <c r="CTD128" s="94"/>
      <c r="CTE128" s="94"/>
      <c r="CTF128" s="94"/>
      <c r="CTG128" s="94"/>
      <c r="CTH128" s="94"/>
      <c r="CTI128" s="94"/>
      <c r="CTJ128" s="94"/>
      <c r="CTK128" s="94"/>
      <c r="CTL128" s="94"/>
      <c r="CTM128" s="94"/>
      <c r="CTN128" s="94"/>
      <c r="CTO128" s="94"/>
      <c r="CTP128" s="94"/>
      <c r="CTQ128" s="94"/>
      <c r="CTR128" s="94"/>
      <c r="CTS128" s="94"/>
      <c r="CTT128" s="94"/>
      <c r="CTU128" s="94"/>
      <c r="CTV128" s="94"/>
      <c r="CTW128" s="94"/>
      <c r="CTX128" s="94"/>
      <c r="CTY128" s="94"/>
      <c r="CTZ128" s="94"/>
      <c r="CUA128" s="94"/>
      <c r="CUB128" s="94"/>
      <c r="CUC128" s="94"/>
      <c r="CUD128" s="94"/>
      <c r="CUE128" s="94"/>
      <c r="CUF128" s="94"/>
      <c r="CUG128" s="94"/>
      <c r="CUH128" s="94"/>
      <c r="CUI128" s="94"/>
      <c r="CUJ128" s="94"/>
      <c r="CUK128" s="94"/>
      <c r="CUL128" s="94"/>
      <c r="CUM128" s="94"/>
      <c r="CUN128" s="94"/>
      <c r="CUO128" s="94"/>
      <c r="CUP128" s="94"/>
      <c r="CUQ128" s="94"/>
      <c r="CUR128" s="94"/>
      <c r="CUS128" s="94"/>
      <c r="CUT128" s="94"/>
      <c r="CUU128" s="94"/>
      <c r="CUV128" s="94"/>
      <c r="CUW128" s="94"/>
      <c r="CUX128" s="94"/>
      <c r="CUY128" s="94"/>
      <c r="CUZ128" s="94"/>
      <c r="CVA128" s="94"/>
      <c r="CVB128" s="94"/>
      <c r="CVC128" s="94"/>
      <c r="CVD128" s="94"/>
      <c r="CVE128" s="94"/>
      <c r="CVF128" s="94"/>
      <c r="CVG128" s="94"/>
      <c r="CVH128" s="94"/>
      <c r="CVI128" s="94"/>
      <c r="CVJ128" s="94"/>
      <c r="CVK128" s="94"/>
      <c r="CVL128" s="94"/>
      <c r="CVM128" s="94"/>
      <c r="CVN128" s="94"/>
      <c r="CVO128" s="94"/>
      <c r="CVP128" s="94"/>
      <c r="CVQ128" s="94"/>
      <c r="CVR128" s="94"/>
      <c r="CVS128" s="94"/>
      <c r="CVT128" s="94"/>
      <c r="CVU128" s="94"/>
      <c r="CVV128" s="94"/>
      <c r="CVW128" s="94"/>
      <c r="CVX128" s="94"/>
      <c r="CVY128" s="94"/>
      <c r="CVZ128" s="94"/>
      <c r="CWA128" s="94"/>
      <c r="CWB128" s="94"/>
      <c r="CWC128" s="94"/>
      <c r="CWD128" s="94"/>
      <c r="CWE128" s="94"/>
      <c r="CWF128" s="94"/>
      <c r="CWG128" s="94"/>
      <c r="CWH128" s="94"/>
      <c r="CWI128" s="94"/>
      <c r="CWJ128" s="94"/>
      <c r="CWK128" s="94"/>
      <c r="CWL128" s="94"/>
      <c r="CWM128" s="94"/>
      <c r="CWN128" s="94"/>
      <c r="CWO128" s="94"/>
      <c r="CWP128" s="94"/>
      <c r="CWQ128" s="94"/>
      <c r="CWR128" s="94"/>
      <c r="CWS128" s="94"/>
      <c r="CWT128" s="94"/>
      <c r="CWU128" s="94"/>
      <c r="CWV128" s="94"/>
      <c r="CWW128" s="94"/>
      <c r="CWX128" s="94"/>
      <c r="CWY128" s="94"/>
      <c r="CWZ128" s="94"/>
      <c r="CXA128" s="94"/>
      <c r="CXB128" s="94"/>
      <c r="CXC128" s="94"/>
      <c r="CXD128" s="94"/>
      <c r="CXE128" s="94"/>
      <c r="CXF128" s="94"/>
      <c r="CXG128" s="94"/>
      <c r="CXH128" s="94"/>
      <c r="CXI128" s="94"/>
      <c r="CXJ128" s="94"/>
      <c r="CXK128" s="94"/>
      <c r="CXL128" s="94"/>
      <c r="CXM128" s="94"/>
      <c r="CXN128" s="94"/>
      <c r="CXO128" s="94"/>
      <c r="CXP128" s="94"/>
      <c r="CXQ128" s="94"/>
      <c r="CXR128" s="94"/>
      <c r="CXS128" s="94"/>
      <c r="CXT128" s="94"/>
      <c r="CXU128" s="94"/>
      <c r="CXV128" s="94"/>
      <c r="CXW128" s="94"/>
      <c r="CXX128" s="94"/>
      <c r="CXY128" s="94"/>
      <c r="CXZ128" s="94"/>
      <c r="CYA128" s="94"/>
      <c r="CYB128" s="94"/>
      <c r="CYC128" s="94"/>
      <c r="CYD128" s="94"/>
      <c r="CYE128" s="94"/>
      <c r="CYF128" s="94"/>
      <c r="CYG128" s="94"/>
      <c r="CYH128" s="94"/>
      <c r="CYI128" s="94"/>
      <c r="CYJ128" s="94"/>
      <c r="CYK128" s="94"/>
      <c r="CYL128" s="94"/>
      <c r="CYM128" s="94"/>
      <c r="CYN128" s="94"/>
      <c r="CYO128" s="94"/>
      <c r="CYP128" s="94"/>
      <c r="CYQ128" s="94"/>
      <c r="CYR128" s="94"/>
      <c r="CYS128" s="94"/>
      <c r="CYT128" s="94"/>
      <c r="CYU128" s="94"/>
      <c r="CYV128" s="94"/>
      <c r="CYW128" s="94"/>
      <c r="CYX128" s="94"/>
      <c r="CYY128" s="94"/>
      <c r="CYZ128" s="94"/>
      <c r="CZA128" s="94"/>
      <c r="CZB128" s="94"/>
      <c r="CZC128" s="94"/>
      <c r="CZD128" s="94"/>
      <c r="CZE128" s="94"/>
      <c r="CZF128" s="94"/>
      <c r="CZG128" s="94"/>
      <c r="CZH128" s="94"/>
      <c r="CZI128" s="94"/>
      <c r="CZJ128" s="94"/>
      <c r="CZK128" s="94"/>
      <c r="CZL128" s="94"/>
      <c r="CZM128" s="94"/>
      <c r="CZN128" s="94"/>
      <c r="CZO128" s="94"/>
      <c r="CZP128" s="94"/>
      <c r="CZQ128" s="94"/>
      <c r="CZR128" s="94"/>
      <c r="CZS128" s="94"/>
      <c r="CZT128" s="94"/>
      <c r="CZU128" s="94"/>
      <c r="CZV128" s="94"/>
      <c r="CZW128" s="94"/>
      <c r="CZX128" s="94"/>
      <c r="CZY128" s="94"/>
      <c r="CZZ128" s="94"/>
      <c r="DAA128" s="94"/>
      <c r="DAB128" s="94"/>
      <c r="DAC128" s="94"/>
      <c r="DAD128" s="94"/>
      <c r="DAE128" s="94"/>
      <c r="DAF128" s="94"/>
      <c r="DAG128" s="94"/>
      <c r="DAH128" s="94"/>
      <c r="DAI128" s="94"/>
      <c r="DAJ128" s="94"/>
      <c r="DAK128" s="94"/>
      <c r="DAL128" s="94"/>
      <c r="DAM128" s="94"/>
      <c r="DAN128" s="94"/>
      <c r="DAO128" s="94"/>
      <c r="DAP128" s="94"/>
      <c r="DAQ128" s="94"/>
      <c r="DAR128" s="94"/>
      <c r="DAS128" s="94"/>
      <c r="DAT128" s="94"/>
      <c r="DAU128" s="94"/>
      <c r="DAV128" s="94"/>
      <c r="DAW128" s="94"/>
      <c r="DAX128" s="94"/>
      <c r="DAY128" s="94"/>
      <c r="DAZ128" s="94"/>
      <c r="DBA128" s="94"/>
      <c r="DBB128" s="94"/>
      <c r="DBC128" s="94"/>
      <c r="DBD128" s="94"/>
      <c r="DBE128" s="94"/>
      <c r="DBF128" s="94"/>
      <c r="DBG128" s="94"/>
      <c r="DBH128" s="94"/>
      <c r="DBI128" s="94"/>
      <c r="DBJ128" s="94"/>
      <c r="DBK128" s="94"/>
      <c r="DBL128" s="94"/>
      <c r="DBM128" s="94"/>
      <c r="DBN128" s="94"/>
      <c r="DBO128" s="94"/>
      <c r="DBP128" s="94"/>
      <c r="DBQ128" s="94"/>
      <c r="DBR128" s="94"/>
      <c r="DBS128" s="94"/>
      <c r="DBT128" s="94"/>
      <c r="DBU128" s="94"/>
      <c r="DBV128" s="94"/>
      <c r="DBW128" s="94"/>
      <c r="DBX128" s="94"/>
      <c r="DBY128" s="94"/>
      <c r="DBZ128" s="94"/>
      <c r="DCA128" s="94"/>
      <c r="DCB128" s="94"/>
      <c r="DCC128" s="94"/>
      <c r="DCD128" s="94"/>
      <c r="DCE128" s="94"/>
      <c r="DCF128" s="94"/>
      <c r="DCG128" s="94"/>
      <c r="DCH128" s="94"/>
      <c r="DCI128" s="94"/>
      <c r="DCJ128" s="94"/>
      <c r="DCK128" s="94"/>
      <c r="DCL128" s="94"/>
      <c r="DCM128" s="94"/>
      <c r="DCN128" s="94"/>
      <c r="DCO128" s="94"/>
      <c r="DCP128" s="94"/>
      <c r="DCQ128" s="94"/>
      <c r="DCR128" s="94"/>
      <c r="DCS128" s="94"/>
      <c r="DCT128" s="94"/>
      <c r="DCU128" s="94"/>
      <c r="DCV128" s="94"/>
      <c r="DCW128" s="94"/>
      <c r="DCX128" s="94"/>
      <c r="DCY128" s="94"/>
      <c r="DCZ128" s="94"/>
      <c r="DDA128" s="94"/>
      <c r="DDB128" s="94"/>
      <c r="DDC128" s="94"/>
      <c r="DDD128" s="94"/>
      <c r="DDE128" s="94"/>
      <c r="DDF128" s="94"/>
      <c r="DDG128" s="94"/>
      <c r="DDH128" s="94"/>
      <c r="DDI128" s="94"/>
      <c r="DDJ128" s="94"/>
      <c r="DDK128" s="94"/>
      <c r="DDL128" s="94"/>
      <c r="DDM128" s="94"/>
      <c r="DDN128" s="94"/>
      <c r="DDO128" s="94"/>
      <c r="DDP128" s="94"/>
      <c r="DDQ128" s="94"/>
      <c r="DDR128" s="94"/>
      <c r="DDS128" s="94"/>
      <c r="DDT128" s="94"/>
      <c r="DDU128" s="94"/>
      <c r="DDV128" s="94"/>
      <c r="DDW128" s="94"/>
      <c r="DDX128" s="94"/>
      <c r="DDY128" s="94"/>
      <c r="DDZ128" s="94"/>
      <c r="DEA128" s="94"/>
      <c r="DEB128" s="94"/>
      <c r="DEC128" s="94"/>
      <c r="DED128" s="94"/>
      <c r="DEE128" s="94"/>
      <c r="DEF128" s="94"/>
      <c r="DEG128" s="94"/>
      <c r="DEH128" s="94"/>
      <c r="DEI128" s="94"/>
      <c r="DEJ128" s="94"/>
      <c r="DEK128" s="94"/>
      <c r="DEL128" s="94"/>
      <c r="DEM128" s="94"/>
      <c r="DEN128" s="94"/>
      <c r="DEO128" s="94"/>
      <c r="DEP128" s="94"/>
      <c r="DEQ128" s="94"/>
      <c r="DER128" s="94"/>
      <c r="DES128" s="94"/>
      <c r="DET128" s="94"/>
      <c r="DEU128" s="94"/>
      <c r="DEV128" s="94"/>
      <c r="DEW128" s="94"/>
      <c r="DEX128" s="94"/>
      <c r="DEY128" s="94"/>
      <c r="DEZ128" s="94"/>
      <c r="DFA128" s="94"/>
      <c r="DFB128" s="94"/>
      <c r="DFC128" s="94"/>
      <c r="DFD128" s="94"/>
      <c r="DFE128" s="94"/>
      <c r="DFF128" s="94"/>
      <c r="DFG128" s="94"/>
      <c r="DFH128" s="94"/>
      <c r="DFI128" s="94"/>
      <c r="DFJ128" s="94"/>
      <c r="DFK128" s="94"/>
      <c r="DFL128" s="94"/>
      <c r="DFM128" s="94"/>
      <c r="DFN128" s="94"/>
      <c r="DFO128" s="94"/>
      <c r="DFP128" s="94"/>
      <c r="DFQ128" s="94"/>
      <c r="DFR128" s="94"/>
      <c r="DFS128" s="94"/>
      <c r="DFT128" s="94"/>
      <c r="DFU128" s="94"/>
      <c r="DFV128" s="94"/>
      <c r="DFW128" s="94"/>
      <c r="DFX128" s="94"/>
      <c r="DFY128" s="94"/>
      <c r="DFZ128" s="94"/>
      <c r="DGA128" s="94"/>
      <c r="DGB128" s="94"/>
      <c r="DGC128" s="94"/>
      <c r="DGD128" s="94"/>
      <c r="DGE128" s="94"/>
      <c r="DGF128" s="94"/>
      <c r="DGG128" s="94"/>
      <c r="DGH128" s="94"/>
      <c r="DGI128" s="94"/>
      <c r="DGJ128" s="94"/>
      <c r="DGK128" s="94"/>
      <c r="DGL128" s="94"/>
      <c r="DGM128" s="94"/>
      <c r="DGN128" s="94"/>
      <c r="DGO128" s="94"/>
      <c r="DGP128" s="94"/>
      <c r="DGQ128" s="94"/>
      <c r="DGR128" s="94"/>
      <c r="DGS128" s="94"/>
      <c r="DGT128" s="94"/>
      <c r="DGU128" s="94"/>
      <c r="DGV128" s="94"/>
      <c r="DGW128" s="94"/>
      <c r="DGX128" s="94"/>
      <c r="DGY128" s="94"/>
      <c r="DGZ128" s="94"/>
      <c r="DHA128" s="94"/>
      <c r="DHB128" s="94"/>
      <c r="DHC128" s="94"/>
      <c r="DHD128" s="94"/>
      <c r="DHE128" s="94"/>
      <c r="DHF128" s="94"/>
      <c r="DHG128" s="94"/>
      <c r="DHH128" s="94"/>
      <c r="DHI128" s="94"/>
      <c r="DHJ128" s="94"/>
      <c r="DHK128" s="94"/>
      <c r="DHL128" s="94"/>
      <c r="DHM128" s="94"/>
      <c r="DHN128" s="94"/>
      <c r="DHO128" s="94"/>
      <c r="DHP128" s="94"/>
      <c r="DHQ128" s="94"/>
      <c r="DHR128" s="94"/>
      <c r="DHS128" s="94"/>
      <c r="DHT128" s="94"/>
      <c r="DHU128" s="94"/>
      <c r="DHV128" s="94"/>
      <c r="DHW128" s="94"/>
      <c r="DHX128" s="94"/>
      <c r="DHY128" s="94"/>
      <c r="DHZ128" s="94"/>
      <c r="DIA128" s="94"/>
      <c r="DIB128" s="94"/>
      <c r="DIC128" s="94"/>
      <c r="DID128" s="94"/>
      <c r="DIE128" s="94"/>
      <c r="DIF128" s="94"/>
      <c r="DIG128" s="94"/>
      <c r="DIH128" s="94"/>
      <c r="DII128" s="94"/>
      <c r="DIJ128" s="94"/>
      <c r="DIK128" s="94"/>
      <c r="DIL128" s="94"/>
      <c r="DIM128" s="94"/>
      <c r="DIN128" s="94"/>
      <c r="DIO128" s="94"/>
      <c r="DIP128" s="94"/>
      <c r="DIQ128" s="94"/>
      <c r="DIR128" s="94"/>
      <c r="DIS128" s="94"/>
      <c r="DIT128" s="94"/>
      <c r="DIU128" s="94"/>
      <c r="DIV128" s="94"/>
      <c r="DIW128" s="94"/>
      <c r="DIX128" s="94"/>
      <c r="DIY128" s="94"/>
      <c r="DIZ128" s="94"/>
      <c r="DJA128" s="94"/>
      <c r="DJB128" s="94"/>
      <c r="DJC128" s="94"/>
      <c r="DJD128" s="94"/>
      <c r="DJE128" s="94"/>
      <c r="DJF128" s="94"/>
      <c r="DJG128" s="94"/>
      <c r="DJH128" s="94"/>
      <c r="DJI128" s="94"/>
      <c r="DJJ128" s="94"/>
      <c r="DJK128" s="94"/>
      <c r="DJL128" s="94"/>
      <c r="DJM128" s="94"/>
      <c r="DJN128" s="94"/>
      <c r="DJO128" s="94"/>
      <c r="DJP128" s="94"/>
      <c r="DJQ128" s="94"/>
      <c r="DJR128" s="94"/>
      <c r="DJS128" s="94"/>
      <c r="DJT128" s="94"/>
      <c r="DJU128" s="94"/>
      <c r="DJV128" s="94"/>
      <c r="DJW128" s="94"/>
      <c r="DJX128" s="94"/>
      <c r="DJY128" s="94"/>
      <c r="DJZ128" s="94"/>
      <c r="DKA128" s="94"/>
      <c r="DKB128" s="94"/>
      <c r="DKC128" s="94"/>
      <c r="DKD128" s="94"/>
      <c r="DKE128" s="94"/>
      <c r="DKF128" s="94"/>
      <c r="DKG128" s="94"/>
      <c r="DKH128" s="94"/>
      <c r="DKI128" s="94"/>
      <c r="DKJ128" s="94"/>
      <c r="DKK128" s="94"/>
      <c r="DKL128" s="94"/>
      <c r="DKM128" s="94"/>
      <c r="DKN128" s="94"/>
      <c r="DKO128" s="94"/>
      <c r="DKP128" s="94"/>
      <c r="DKQ128" s="94"/>
      <c r="DKR128" s="94"/>
      <c r="DKS128" s="94"/>
      <c r="DKT128" s="94"/>
      <c r="DKU128" s="94"/>
      <c r="DKV128" s="94"/>
      <c r="DKW128" s="94"/>
      <c r="DKX128" s="94"/>
      <c r="DKY128" s="94"/>
      <c r="DKZ128" s="94"/>
      <c r="DLA128" s="94"/>
      <c r="DLB128" s="94"/>
      <c r="DLC128" s="94"/>
      <c r="DLD128" s="94"/>
      <c r="DLE128" s="94"/>
      <c r="DLF128" s="94"/>
      <c r="DLG128" s="94"/>
      <c r="DLH128" s="94"/>
      <c r="DLI128" s="94"/>
      <c r="DLJ128" s="94"/>
      <c r="DLK128" s="94"/>
      <c r="DLL128" s="94"/>
      <c r="DLM128" s="94"/>
      <c r="DLN128" s="94"/>
      <c r="DLO128" s="94"/>
      <c r="DLP128" s="94"/>
      <c r="DLQ128" s="94"/>
      <c r="DLR128" s="94"/>
      <c r="DLS128" s="94"/>
      <c r="DLT128" s="94"/>
      <c r="DLU128" s="94"/>
      <c r="DLV128" s="94"/>
      <c r="DLW128" s="94"/>
      <c r="DLX128" s="94"/>
      <c r="DLY128" s="94"/>
      <c r="DLZ128" s="94"/>
      <c r="DMA128" s="94"/>
      <c r="DMB128" s="94"/>
      <c r="DMC128" s="94"/>
      <c r="DMD128" s="94"/>
      <c r="DME128" s="94"/>
      <c r="DMF128" s="94"/>
      <c r="DMG128" s="94"/>
      <c r="DMH128" s="94"/>
      <c r="DMI128" s="94"/>
      <c r="DMJ128" s="94"/>
      <c r="DMK128" s="94"/>
      <c r="DML128" s="94"/>
      <c r="DMM128" s="94"/>
      <c r="DMN128" s="94"/>
      <c r="DMO128" s="94"/>
      <c r="DMP128" s="94"/>
      <c r="DMQ128" s="94"/>
      <c r="DMR128" s="94"/>
      <c r="DMS128" s="94"/>
      <c r="DMT128" s="94"/>
      <c r="DMU128" s="94"/>
      <c r="DMV128" s="94"/>
      <c r="DMW128" s="94"/>
      <c r="DMX128" s="94"/>
      <c r="DMY128" s="94"/>
      <c r="DMZ128" s="94"/>
      <c r="DNA128" s="94"/>
      <c r="DNB128" s="94"/>
      <c r="DNC128" s="94"/>
      <c r="DND128" s="94"/>
      <c r="DNE128" s="94"/>
      <c r="DNF128" s="94"/>
      <c r="DNG128" s="94"/>
      <c r="DNH128" s="94"/>
      <c r="DNI128" s="94"/>
      <c r="DNJ128" s="94"/>
      <c r="DNK128" s="94"/>
      <c r="DNL128" s="94"/>
      <c r="DNM128" s="94"/>
      <c r="DNN128" s="94"/>
      <c r="DNO128" s="94"/>
      <c r="DNP128" s="94"/>
      <c r="DNQ128" s="94"/>
      <c r="DNR128" s="94"/>
      <c r="DNS128" s="94"/>
      <c r="DNT128" s="94"/>
      <c r="DNU128" s="94"/>
      <c r="DNV128" s="94"/>
      <c r="DNW128" s="94"/>
      <c r="DNX128" s="94"/>
      <c r="DNY128" s="94"/>
      <c r="DNZ128" s="94"/>
      <c r="DOA128" s="94"/>
      <c r="DOB128" s="94"/>
      <c r="DOC128" s="94"/>
      <c r="DOD128" s="94"/>
      <c r="DOE128" s="94"/>
      <c r="DOF128" s="94"/>
      <c r="DOG128" s="94"/>
      <c r="DOH128" s="94"/>
      <c r="DOI128" s="94"/>
      <c r="DOJ128" s="94"/>
      <c r="DOK128" s="94"/>
      <c r="DOL128" s="94"/>
      <c r="DOM128" s="94"/>
      <c r="DON128" s="94"/>
      <c r="DOO128" s="94"/>
      <c r="DOP128" s="94"/>
      <c r="DOQ128" s="94"/>
      <c r="DOR128" s="94"/>
      <c r="DOS128" s="94"/>
      <c r="DOT128" s="94"/>
      <c r="DOU128" s="94"/>
      <c r="DOV128" s="94"/>
      <c r="DOW128" s="94"/>
      <c r="DOX128" s="94"/>
      <c r="DOY128" s="94"/>
      <c r="DOZ128" s="94"/>
      <c r="DPA128" s="94"/>
      <c r="DPB128" s="94"/>
      <c r="DPC128" s="94"/>
      <c r="DPD128" s="94"/>
      <c r="DPE128" s="94"/>
      <c r="DPF128" s="94"/>
      <c r="DPG128" s="94"/>
      <c r="DPH128" s="94"/>
      <c r="DPI128" s="94"/>
      <c r="DPJ128" s="94"/>
      <c r="DPK128" s="94"/>
      <c r="DPL128" s="94"/>
      <c r="DPM128" s="94"/>
      <c r="DPN128" s="94"/>
      <c r="DPO128" s="94"/>
      <c r="DPP128" s="94"/>
      <c r="DPQ128" s="94"/>
      <c r="DPR128" s="94"/>
      <c r="DPS128" s="94"/>
      <c r="DPT128" s="94"/>
      <c r="DPU128" s="94"/>
      <c r="DPV128" s="94"/>
      <c r="DPW128" s="94"/>
      <c r="DPX128" s="94"/>
      <c r="DPY128" s="94"/>
      <c r="DPZ128" s="94"/>
      <c r="DQA128" s="94"/>
      <c r="DQB128" s="94"/>
      <c r="DQC128" s="94"/>
      <c r="DQD128" s="94"/>
      <c r="DQE128" s="94"/>
      <c r="DQF128" s="94"/>
      <c r="DQG128" s="94"/>
      <c r="DQH128" s="94"/>
      <c r="DQI128" s="94"/>
      <c r="DQJ128" s="94"/>
      <c r="DQK128" s="94"/>
      <c r="DQL128" s="94"/>
      <c r="DQM128" s="94"/>
      <c r="DQN128" s="94"/>
      <c r="DQO128" s="94"/>
      <c r="DQP128" s="94"/>
      <c r="DQQ128" s="94"/>
      <c r="DQR128" s="94"/>
      <c r="DQS128" s="94"/>
      <c r="DQT128" s="94"/>
      <c r="DQU128" s="94"/>
      <c r="DQV128" s="94"/>
      <c r="DQW128" s="94"/>
      <c r="DQX128" s="94"/>
      <c r="DQY128" s="94"/>
      <c r="DQZ128" s="94"/>
      <c r="DRA128" s="94"/>
      <c r="DRB128" s="94"/>
      <c r="DRC128" s="94"/>
      <c r="DRD128" s="94"/>
      <c r="DRE128" s="94"/>
      <c r="DRF128" s="94"/>
      <c r="DRG128" s="94"/>
      <c r="DRH128" s="94"/>
      <c r="DRI128" s="94"/>
      <c r="DRJ128" s="94"/>
      <c r="DRK128" s="94"/>
      <c r="DRL128" s="94"/>
      <c r="DRM128" s="94"/>
      <c r="DRN128" s="94"/>
      <c r="DRO128" s="94"/>
      <c r="DRP128" s="94"/>
      <c r="DRQ128" s="94"/>
      <c r="DRR128" s="94"/>
      <c r="DRS128" s="94"/>
      <c r="DRT128" s="94"/>
      <c r="DRU128" s="94"/>
      <c r="DRV128" s="94"/>
      <c r="DRW128" s="94"/>
      <c r="DRX128" s="94"/>
      <c r="DRY128" s="94"/>
      <c r="DRZ128" s="94"/>
      <c r="DSA128" s="94"/>
      <c r="DSB128" s="94"/>
      <c r="DSC128" s="94"/>
      <c r="DSD128" s="94"/>
      <c r="DSE128" s="94"/>
      <c r="DSF128" s="94"/>
      <c r="DSG128" s="94"/>
      <c r="DSH128" s="94"/>
      <c r="DSI128" s="94"/>
      <c r="DSJ128" s="94"/>
      <c r="DSK128" s="94"/>
      <c r="DSL128" s="94"/>
      <c r="DSM128" s="94"/>
      <c r="DSN128" s="94"/>
      <c r="DSO128" s="94"/>
      <c r="DSP128" s="94"/>
      <c r="DSQ128" s="94"/>
      <c r="DSR128" s="94"/>
      <c r="DSS128" s="94"/>
      <c r="DST128" s="94"/>
      <c r="DSU128" s="94"/>
      <c r="DSV128" s="94"/>
      <c r="DSW128" s="94"/>
      <c r="DSX128" s="94"/>
      <c r="DSY128" s="94"/>
      <c r="DSZ128" s="94"/>
      <c r="DTA128" s="94"/>
      <c r="DTB128" s="94"/>
      <c r="DTC128" s="94"/>
      <c r="DTD128" s="94"/>
      <c r="DTE128" s="94"/>
      <c r="DTF128" s="94"/>
      <c r="DTG128" s="94"/>
      <c r="DTH128" s="94"/>
      <c r="DTI128" s="94"/>
      <c r="DTJ128" s="94"/>
      <c r="DTK128" s="94"/>
      <c r="DTL128" s="94"/>
      <c r="DTM128" s="94"/>
      <c r="DTN128" s="94"/>
      <c r="DTO128" s="94"/>
      <c r="DTP128" s="94"/>
      <c r="DTQ128" s="94"/>
      <c r="DTR128" s="94"/>
      <c r="DTS128" s="94"/>
      <c r="DTT128" s="94"/>
      <c r="DTU128" s="94"/>
      <c r="DTV128" s="94"/>
      <c r="DTW128" s="94"/>
      <c r="DTX128" s="94"/>
      <c r="DTY128" s="94"/>
      <c r="DTZ128" s="94"/>
      <c r="DUA128" s="94"/>
      <c r="DUB128" s="94"/>
      <c r="DUC128" s="94"/>
      <c r="DUD128" s="94"/>
      <c r="DUE128" s="94"/>
      <c r="DUF128" s="94"/>
      <c r="DUG128" s="94"/>
      <c r="DUH128" s="94"/>
      <c r="DUI128" s="94"/>
      <c r="DUJ128" s="94"/>
      <c r="DUK128" s="94"/>
      <c r="DUL128" s="94"/>
      <c r="DUM128" s="94"/>
      <c r="DUN128" s="94"/>
      <c r="DUO128" s="94"/>
      <c r="DUP128" s="94"/>
      <c r="DUQ128" s="94"/>
      <c r="DUR128" s="94"/>
      <c r="DUS128" s="94"/>
      <c r="DUT128" s="94"/>
      <c r="DUU128" s="94"/>
      <c r="DUV128" s="94"/>
      <c r="DUW128" s="94"/>
      <c r="DUX128" s="94"/>
      <c r="DUY128" s="94"/>
      <c r="DUZ128" s="94"/>
      <c r="DVA128" s="94"/>
      <c r="DVB128" s="94"/>
      <c r="DVC128" s="94"/>
      <c r="DVD128" s="94"/>
      <c r="DVE128" s="94"/>
      <c r="DVF128" s="94"/>
      <c r="DVG128" s="94"/>
      <c r="DVH128" s="94"/>
      <c r="DVI128" s="94"/>
      <c r="DVJ128" s="94"/>
      <c r="DVK128" s="94"/>
      <c r="DVL128" s="94"/>
      <c r="DVM128" s="94"/>
      <c r="DVN128" s="94"/>
      <c r="DVO128" s="94"/>
      <c r="DVP128" s="94"/>
      <c r="DVQ128" s="94"/>
      <c r="DVR128" s="94"/>
      <c r="DVS128" s="94"/>
      <c r="DVT128" s="94"/>
      <c r="DVU128" s="94"/>
      <c r="DVV128" s="94"/>
      <c r="DVW128" s="94"/>
      <c r="DVX128" s="94"/>
      <c r="DVY128" s="94"/>
      <c r="DVZ128" s="94"/>
      <c r="DWA128" s="94"/>
      <c r="DWB128" s="94"/>
      <c r="DWC128" s="94"/>
      <c r="DWD128" s="94"/>
      <c r="DWE128" s="94"/>
      <c r="DWF128" s="94"/>
      <c r="DWG128" s="94"/>
      <c r="DWH128" s="94"/>
      <c r="DWI128" s="94"/>
      <c r="DWJ128" s="94"/>
      <c r="DWK128" s="94"/>
      <c r="DWL128" s="94"/>
      <c r="DWM128" s="94"/>
      <c r="DWN128" s="94"/>
      <c r="DWO128" s="94"/>
      <c r="DWP128" s="94"/>
      <c r="DWQ128" s="94"/>
      <c r="DWR128" s="94"/>
      <c r="DWS128" s="94"/>
      <c r="DWT128" s="94"/>
      <c r="DWU128" s="94"/>
      <c r="DWV128" s="94"/>
      <c r="DWW128" s="94"/>
      <c r="DWX128" s="94"/>
      <c r="DWY128" s="94"/>
      <c r="DWZ128" s="94"/>
      <c r="DXA128" s="94"/>
      <c r="DXB128" s="94"/>
      <c r="DXC128" s="94"/>
      <c r="DXD128" s="94"/>
      <c r="DXE128" s="94"/>
      <c r="DXF128" s="94"/>
      <c r="DXG128" s="94"/>
      <c r="DXH128" s="94"/>
      <c r="DXI128" s="94"/>
      <c r="DXJ128" s="94"/>
      <c r="DXK128" s="94"/>
      <c r="DXL128" s="94"/>
      <c r="DXM128" s="94"/>
      <c r="DXN128" s="94"/>
      <c r="DXO128" s="94"/>
      <c r="DXP128" s="94"/>
      <c r="DXQ128" s="94"/>
      <c r="DXR128" s="94"/>
      <c r="DXS128" s="94"/>
      <c r="DXT128" s="94"/>
      <c r="DXU128" s="94"/>
      <c r="DXV128" s="94"/>
      <c r="DXW128" s="94"/>
      <c r="DXX128" s="94"/>
      <c r="DXY128" s="94"/>
      <c r="DXZ128" s="94"/>
      <c r="DYA128" s="94"/>
      <c r="DYB128" s="94"/>
      <c r="DYC128" s="94"/>
      <c r="DYD128" s="94"/>
      <c r="DYE128" s="94"/>
      <c r="DYF128" s="94"/>
      <c r="DYG128" s="94"/>
      <c r="DYH128" s="94"/>
      <c r="DYI128" s="94"/>
      <c r="DYJ128" s="94"/>
      <c r="DYK128" s="94"/>
      <c r="DYL128" s="94"/>
      <c r="DYM128" s="94"/>
      <c r="DYN128" s="94"/>
      <c r="DYO128" s="94"/>
      <c r="DYP128" s="94"/>
      <c r="DYQ128" s="94"/>
      <c r="DYR128" s="94"/>
      <c r="DYS128" s="94"/>
      <c r="DYT128" s="94"/>
      <c r="DYU128" s="94"/>
      <c r="DYV128" s="94"/>
      <c r="DYW128" s="94"/>
      <c r="DYX128" s="94"/>
      <c r="DYY128" s="94"/>
      <c r="DYZ128" s="94"/>
      <c r="DZA128" s="94"/>
      <c r="DZB128" s="94"/>
      <c r="DZC128" s="94"/>
      <c r="DZD128" s="94"/>
      <c r="DZE128" s="94"/>
      <c r="DZF128" s="94"/>
      <c r="DZG128" s="94"/>
      <c r="DZH128" s="94"/>
      <c r="DZI128" s="94"/>
      <c r="DZJ128" s="94"/>
      <c r="DZK128" s="94"/>
      <c r="DZL128" s="94"/>
      <c r="DZM128" s="94"/>
      <c r="DZN128" s="94"/>
      <c r="DZO128" s="94"/>
      <c r="DZP128" s="94"/>
      <c r="DZQ128" s="94"/>
      <c r="DZR128" s="94"/>
      <c r="DZS128" s="94"/>
      <c r="DZT128" s="94"/>
      <c r="DZU128" s="94"/>
      <c r="DZV128" s="94"/>
      <c r="DZW128" s="94"/>
      <c r="DZX128" s="94"/>
      <c r="DZY128" s="94"/>
      <c r="DZZ128" s="94"/>
      <c r="EAA128" s="94"/>
      <c r="EAB128" s="94"/>
      <c r="EAC128" s="94"/>
      <c r="EAD128" s="94"/>
      <c r="EAE128" s="94"/>
      <c r="EAF128" s="94"/>
      <c r="EAG128" s="94"/>
      <c r="EAH128" s="94"/>
      <c r="EAI128" s="94"/>
      <c r="EAJ128" s="94"/>
      <c r="EAK128" s="94"/>
      <c r="EAL128" s="94"/>
      <c r="EAM128" s="94"/>
      <c r="EAN128" s="94"/>
      <c r="EAO128" s="94"/>
      <c r="EAP128" s="94"/>
      <c r="EAQ128" s="94"/>
      <c r="EAR128" s="94"/>
      <c r="EAS128" s="94"/>
      <c r="EAT128" s="94"/>
      <c r="EAU128" s="94"/>
      <c r="EAV128" s="94"/>
      <c r="EAW128" s="94"/>
      <c r="EAX128" s="94"/>
      <c r="EAY128" s="94"/>
      <c r="EAZ128" s="94"/>
      <c r="EBA128" s="94"/>
      <c r="EBB128" s="94"/>
      <c r="EBC128" s="94"/>
      <c r="EBD128" s="94"/>
      <c r="EBE128" s="94"/>
      <c r="EBF128" s="94"/>
      <c r="EBG128" s="94"/>
      <c r="EBH128" s="94"/>
      <c r="EBI128" s="94"/>
      <c r="EBJ128" s="94"/>
      <c r="EBK128" s="94"/>
      <c r="EBL128" s="94"/>
      <c r="EBM128" s="94"/>
      <c r="EBN128" s="94"/>
      <c r="EBO128" s="94"/>
      <c r="EBP128" s="94"/>
      <c r="EBQ128" s="94"/>
      <c r="EBR128" s="94"/>
      <c r="EBS128" s="94"/>
      <c r="EBT128" s="94"/>
      <c r="EBU128" s="94"/>
      <c r="EBV128" s="94"/>
      <c r="EBW128" s="94"/>
      <c r="EBX128" s="94"/>
      <c r="EBY128" s="94"/>
      <c r="EBZ128" s="94"/>
      <c r="ECA128" s="94"/>
      <c r="ECB128" s="94"/>
      <c r="ECC128" s="94"/>
      <c r="ECD128" s="94"/>
      <c r="ECE128" s="94"/>
      <c r="ECF128" s="94"/>
      <c r="ECG128" s="94"/>
      <c r="ECH128" s="94"/>
      <c r="ECI128" s="94"/>
      <c r="ECJ128" s="94"/>
      <c r="ECK128" s="94"/>
      <c r="ECL128" s="94"/>
      <c r="ECM128" s="94"/>
      <c r="ECN128" s="94"/>
      <c r="ECO128" s="94"/>
      <c r="ECP128" s="94"/>
      <c r="ECQ128" s="94"/>
      <c r="ECR128" s="94"/>
      <c r="ECS128" s="94"/>
      <c r="ECT128" s="94"/>
      <c r="ECU128" s="94"/>
      <c r="ECV128" s="94"/>
      <c r="ECW128" s="94"/>
      <c r="ECX128" s="94"/>
      <c r="ECY128" s="94"/>
      <c r="ECZ128" s="94"/>
      <c r="EDA128" s="94"/>
      <c r="EDB128" s="94"/>
      <c r="EDC128" s="94"/>
      <c r="EDD128" s="94"/>
      <c r="EDE128" s="94"/>
      <c r="EDF128" s="94"/>
      <c r="EDG128" s="94"/>
      <c r="EDH128" s="94"/>
      <c r="EDI128" s="94"/>
      <c r="EDJ128" s="94"/>
      <c r="EDK128" s="94"/>
      <c r="EDL128" s="94"/>
      <c r="EDM128" s="94"/>
      <c r="EDN128" s="94"/>
      <c r="EDO128" s="94"/>
      <c r="EDP128" s="94"/>
      <c r="EDQ128" s="94"/>
      <c r="EDR128" s="94"/>
      <c r="EDS128" s="94"/>
      <c r="EDT128" s="94"/>
      <c r="EDU128" s="94"/>
      <c r="EDV128" s="94"/>
      <c r="EDW128" s="94"/>
      <c r="EDX128" s="94"/>
      <c r="EDY128" s="94"/>
      <c r="EDZ128" s="94"/>
      <c r="EEA128" s="94"/>
      <c r="EEB128" s="94"/>
      <c r="EEC128" s="94"/>
      <c r="EED128" s="94"/>
      <c r="EEE128" s="94"/>
      <c r="EEF128" s="94"/>
      <c r="EEG128" s="94"/>
      <c r="EEH128" s="94"/>
      <c r="EEI128" s="94"/>
      <c r="EEJ128" s="94"/>
      <c r="EEK128" s="94"/>
      <c r="EEL128" s="94"/>
      <c r="EEM128" s="94"/>
      <c r="EEN128" s="94"/>
      <c r="EEO128" s="94"/>
      <c r="EEP128" s="94"/>
      <c r="EEQ128" s="94"/>
      <c r="EER128" s="94"/>
      <c r="EES128" s="94"/>
      <c r="EET128" s="94"/>
      <c r="EEU128" s="94"/>
      <c r="EEV128" s="94"/>
      <c r="EEW128" s="94"/>
      <c r="EEX128" s="94"/>
      <c r="EEY128" s="94"/>
      <c r="EEZ128" s="94"/>
      <c r="EFA128" s="94"/>
      <c r="EFB128" s="94"/>
      <c r="EFC128" s="94"/>
      <c r="EFD128" s="94"/>
      <c r="EFE128" s="94"/>
      <c r="EFF128" s="94"/>
      <c r="EFG128" s="94"/>
      <c r="EFH128" s="94"/>
      <c r="EFI128" s="94"/>
      <c r="EFJ128" s="94"/>
      <c r="EFK128" s="94"/>
      <c r="EFL128" s="94"/>
      <c r="EFM128" s="94"/>
      <c r="EFN128" s="94"/>
      <c r="EFO128" s="94"/>
      <c r="EFP128" s="94"/>
      <c r="EFQ128" s="94"/>
      <c r="EFR128" s="94"/>
      <c r="EFS128" s="94"/>
      <c r="EFT128" s="94"/>
      <c r="EFU128" s="94"/>
      <c r="EFV128" s="94"/>
      <c r="EFW128" s="94"/>
      <c r="EFX128" s="94"/>
      <c r="EFY128" s="94"/>
      <c r="EFZ128" s="94"/>
      <c r="EGA128" s="94"/>
      <c r="EGB128" s="94"/>
      <c r="EGC128" s="94"/>
      <c r="EGD128" s="94"/>
      <c r="EGE128" s="94"/>
      <c r="EGF128" s="94"/>
      <c r="EGG128" s="94"/>
      <c r="EGH128" s="94"/>
      <c r="EGI128" s="94"/>
      <c r="EGJ128" s="94"/>
      <c r="EGK128" s="94"/>
      <c r="EGL128" s="94"/>
      <c r="EGM128" s="94"/>
      <c r="EGN128" s="94"/>
      <c r="EGO128" s="94"/>
      <c r="EGP128" s="94"/>
      <c r="EGQ128" s="94"/>
      <c r="EGR128" s="94"/>
      <c r="EGS128" s="94"/>
      <c r="EGT128" s="94"/>
      <c r="EGU128" s="94"/>
      <c r="EGV128" s="94"/>
      <c r="EGW128" s="94"/>
      <c r="EGX128" s="94"/>
      <c r="EGY128" s="94"/>
      <c r="EGZ128" s="94"/>
      <c r="EHA128" s="94"/>
      <c r="EHB128" s="94"/>
      <c r="EHC128" s="94"/>
      <c r="EHD128" s="94"/>
      <c r="EHE128" s="94"/>
      <c r="EHF128" s="94"/>
      <c r="EHG128" s="94"/>
      <c r="EHH128" s="94"/>
      <c r="EHI128" s="94"/>
      <c r="EHJ128" s="94"/>
      <c r="EHK128" s="94"/>
      <c r="EHL128" s="94"/>
      <c r="EHM128" s="94"/>
      <c r="EHN128" s="94"/>
      <c r="EHO128" s="94"/>
      <c r="EHP128" s="94"/>
      <c r="EHQ128" s="94"/>
      <c r="EHR128" s="94"/>
      <c r="EHS128" s="94"/>
      <c r="EHT128" s="94"/>
      <c r="EHU128" s="94"/>
      <c r="EHV128" s="94"/>
      <c r="EHW128" s="94"/>
      <c r="EHX128" s="94"/>
      <c r="EHY128" s="94"/>
      <c r="EHZ128" s="94"/>
      <c r="EIA128" s="94"/>
      <c r="EIB128" s="94"/>
      <c r="EIC128" s="94"/>
      <c r="EID128" s="94"/>
      <c r="EIE128" s="94"/>
      <c r="EIF128" s="94"/>
      <c r="EIG128" s="94"/>
      <c r="EIH128" s="94"/>
      <c r="EII128" s="94"/>
      <c r="EIJ128" s="94"/>
      <c r="EIK128" s="94"/>
      <c r="EIL128" s="94"/>
      <c r="EIM128" s="94"/>
      <c r="EIN128" s="94"/>
      <c r="EIO128" s="94"/>
      <c r="EIP128" s="94"/>
      <c r="EIQ128" s="94"/>
      <c r="EIR128" s="94"/>
      <c r="EIS128" s="94"/>
      <c r="EIT128" s="94"/>
      <c r="EIU128" s="94"/>
      <c r="EIV128" s="94"/>
      <c r="EIW128" s="94"/>
      <c r="EIX128" s="94"/>
      <c r="EIY128" s="94"/>
      <c r="EIZ128" s="94"/>
      <c r="EJA128" s="94"/>
      <c r="EJB128" s="94"/>
      <c r="EJC128" s="94"/>
      <c r="EJD128" s="94"/>
      <c r="EJE128" s="94"/>
      <c r="EJF128" s="94"/>
      <c r="EJG128" s="94"/>
      <c r="EJH128" s="94"/>
      <c r="EJI128" s="94"/>
      <c r="EJJ128" s="94"/>
      <c r="EJK128" s="94"/>
      <c r="EJL128" s="94"/>
      <c r="EJM128" s="94"/>
      <c r="EJN128" s="94"/>
      <c r="EJO128" s="94"/>
      <c r="EJP128" s="94"/>
      <c r="EJQ128" s="94"/>
      <c r="EJR128" s="94"/>
      <c r="EJS128" s="94"/>
      <c r="EJT128" s="94"/>
      <c r="EJU128" s="94"/>
      <c r="EJV128" s="94"/>
      <c r="EJW128" s="94"/>
      <c r="EJX128" s="94"/>
      <c r="EJY128" s="94"/>
      <c r="EJZ128" s="94"/>
      <c r="EKA128" s="94"/>
      <c r="EKB128" s="94"/>
      <c r="EKC128" s="94"/>
      <c r="EKD128" s="94"/>
      <c r="EKE128" s="94"/>
      <c r="EKF128" s="94"/>
      <c r="EKG128" s="94"/>
      <c r="EKH128" s="94"/>
      <c r="EKI128" s="94"/>
      <c r="EKJ128" s="94"/>
      <c r="EKK128" s="94"/>
      <c r="EKL128" s="94"/>
      <c r="EKM128" s="94"/>
      <c r="EKN128" s="94"/>
      <c r="EKO128" s="94"/>
      <c r="EKP128" s="94"/>
      <c r="EKQ128" s="94"/>
      <c r="EKR128" s="94"/>
      <c r="EKS128" s="94"/>
      <c r="EKT128" s="94"/>
      <c r="EKU128" s="94"/>
      <c r="EKV128" s="94"/>
      <c r="EKW128" s="94"/>
      <c r="EKX128" s="94"/>
      <c r="EKY128" s="94"/>
      <c r="EKZ128" s="94"/>
      <c r="ELA128" s="94"/>
      <c r="ELB128" s="94"/>
      <c r="ELC128" s="94"/>
      <c r="ELD128" s="94"/>
      <c r="ELE128" s="94"/>
      <c r="ELF128" s="94"/>
      <c r="ELG128" s="94"/>
      <c r="ELH128" s="94"/>
      <c r="ELI128" s="94"/>
      <c r="ELJ128" s="94"/>
      <c r="ELK128" s="94"/>
      <c r="ELL128" s="94"/>
      <c r="ELM128" s="94"/>
      <c r="ELN128" s="94"/>
      <c r="ELO128" s="94"/>
      <c r="ELP128" s="94"/>
      <c r="ELQ128" s="94"/>
      <c r="ELR128" s="94"/>
      <c r="ELS128" s="94"/>
      <c r="ELT128" s="94"/>
      <c r="ELU128" s="94"/>
      <c r="ELV128" s="94"/>
      <c r="ELW128" s="94"/>
      <c r="ELX128" s="94"/>
      <c r="ELY128" s="94"/>
      <c r="ELZ128" s="94"/>
      <c r="EMA128" s="94"/>
      <c r="EMB128" s="94"/>
      <c r="EMC128" s="94"/>
      <c r="EMD128" s="94"/>
      <c r="EME128" s="94"/>
      <c r="EMF128" s="94"/>
      <c r="EMG128" s="94"/>
      <c r="EMH128" s="94"/>
      <c r="EMI128" s="94"/>
      <c r="EMJ128" s="94"/>
      <c r="EMK128" s="94"/>
      <c r="EML128" s="94"/>
      <c r="EMM128" s="94"/>
      <c r="EMN128" s="94"/>
      <c r="EMO128" s="94"/>
      <c r="EMP128" s="94"/>
      <c r="EMQ128" s="94"/>
      <c r="EMR128" s="94"/>
      <c r="EMS128" s="94"/>
      <c r="EMT128" s="94"/>
      <c r="EMU128" s="94"/>
      <c r="EMV128" s="94"/>
      <c r="EMW128" s="94"/>
      <c r="EMX128" s="94"/>
      <c r="EMY128" s="94"/>
      <c r="EMZ128" s="94"/>
      <c r="ENA128" s="94"/>
      <c r="ENB128" s="94"/>
      <c r="ENC128" s="94"/>
      <c r="END128" s="94"/>
      <c r="ENE128" s="94"/>
      <c r="ENF128" s="94"/>
      <c r="ENG128" s="94"/>
      <c r="ENH128" s="94"/>
      <c r="ENI128" s="94"/>
      <c r="ENJ128" s="94"/>
      <c r="ENK128" s="94"/>
      <c r="ENL128" s="94"/>
      <c r="ENM128" s="94"/>
      <c r="ENN128" s="94"/>
      <c r="ENO128" s="94"/>
      <c r="ENP128" s="94"/>
      <c r="ENQ128" s="94"/>
      <c r="ENR128" s="94"/>
      <c r="ENS128" s="94"/>
      <c r="ENT128" s="94"/>
      <c r="ENU128" s="94"/>
      <c r="ENV128" s="94"/>
      <c r="ENW128" s="94"/>
      <c r="ENX128" s="94"/>
      <c r="ENY128" s="94"/>
      <c r="ENZ128" s="94"/>
      <c r="EOA128" s="94"/>
      <c r="EOB128" s="94"/>
      <c r="EOC128" s="94"/>
      <c r="EOD128" s="94"/>
      <c r="EOE128" s="94"/>
      <c r="EOF128" s="94"/>
      <c r="EOG128" s="94"/>
      <c r="EOH128" s="94"/>
      <c r="EOI128" s="94"/>
      <c r="EOJ128" s="94"/>
      <c r="EOK128" s="94"/>
      <c r="EOL128" s="94"/>
      <c r="EOM128" s="94"/>
      <c r="EON128" s="94"/>
      <c r="EOO128" s="94"/>
      <c r="EOP128" s="94"/>
      <c r="EOQ128" s="94"/>
      <c r="EOR128" s="94"/>
      <c r="EOS128" s="94"/>
      <c r="EOT128" s="94"/>
      <c r="EOU128" s="94"/>
      <c r="EOV128" s="94"/>
      <c r="EOW128" s="94"/>
      <c r="EOX128" s="94"/>
      <c r="EOY128" s="94"/>
      <c r="EOZ128" s="94"/>
      <c r="EPA128" s="94"/>
      <c r="EPB128" s="94"/>
      <c r="EPC128" s="94"/>
      <c r="EPD128" s="94"/>
      <c r="EPE128" s="94"/>
      <c r="EPF128" s="94"/>
      <c r="EPG128" s="94"/>
      <c r="EPH128" s="94"/>
      <c r="EPI128" s="94"/>
      <c r="EPJ128" s="94"/>
      <c r="EPK128" s="94"/>
      <c r="EPL128" s="94"/>
      <c r="EPM128" s="94"/>
      <c r="EPN128" s="94"/>
      <c r="EPO128" s="94"/>
      <c r="EPP128" s="94"/>
      <c r="EPQ128" s="94"/>
      <c r="EPR128" s="94"/>
      <c r="EPS128" s="94"/>
      <c r="EPT128" s="94"/>
      <c r="EPU128" s="94"/>
      <c r="EPV128" s="94"/>
      <c r="EPW128" s="94"/>
      <c r="EPX128" s="94"/>
      <c r="EPY128" s="94"/>
      <c r="EPZ128" s="94"/>
      <c r="EQA128" s="94"/>
      <c r="EQB128" s="94"/>
      <c r="EQC128" s="94"/>
      <c r="EQD128" s="94"/>
      <c r="EQE128" s="94"/>
      <c r="EQF128" s="94"/>
      <c r="EQG128" s="94"/>
      <c r="EQH128" s="94"/>
      <c r="EQI128" s="94"/>
      <c r="EQJ128" s="94"/>
      <c r="EQK128" s="94"/>
      <c r="EQL128" s="94"/>
      <c r="EQM128" s="94"/>
      <c r="EQN128" s="94"/>
      <c r="EQO128" s="94"/>
      <c r="EQP128" s="94"/>
      <c r="EQQ128" s="94"/>
      <c r="EQR128" s="94"/>
      <c r="EQS128" s="94"/>
      <c r="EQT128" s="94"/>
      <c r="EQU128" s="94"/>
      <c r="EQV128" s="94"/>
      <c r="EQW128" s="94"/>
      <c r="EQX128" s="94"/>
      <c r="EQY128" s="94"/>
      <c r="EQZ128" s="94"/>
      <c r="ERA128" s="94"/>
      <c r="ERB128" s="94"/>
      <c r="ERC128" s="94"/>
      <c r="ERD128" s="94"/>
      <c r="ERE128" s="94"/>
      <c r="ERF128" s="94"/>
      <c r="ERG128" s="94"/>
      <c r="ERH128" s="94"/>
      <c r="ERI128" s="94"/>
      <c r="ERJ128" s="94"/>
      <c r="ERK128" s="94"/>
      <c r="ERL128" s="94"/>
      <c r="ERM128" s="94"/>
      <c r="ERN128" s="94"/>
      <c r="ERO128" s="94"/>
      <c r="ERP128" s="94"/>
      <c r="ERQ128" s="94"/>
      <c r="ERR128" s="94"/>
      <c r="ERS128" s="94"/>
      <c r="ERT128" s="94"/>
      <c r="ERU128" s="94"/>
      <c r="ERV128" s="94"/>
      <c r="ERW128" s="94"/>
      <c r="ERX128" s="94"/>
      <c r="ERY128" s="94"/>
      <c r="ERZ128" s="94"/>
      <c r="ESA128" s="94"/>
      <c r="ESB128" s="94"/>
      <c r="ESC128" s="94"/>
      <c r="ESD128" s="94"/>
      <c r="ESE128" s="94"/>
      <c r="ESF128" s="94"/>
      <c r="ESG128" s="94"/>
      <c r="ESH128" s="94"/>
      <c r="ESI128" s="94"/>
      <c r="ESJ128" s="94"/>
      <c r="ESK128" s="94"/>
      <c r="ESL128" s="94"/>
      <c r="ESM128" s="94"/>
      <c r="ESN128" s="94"/>
      <c r="ESO128" s="94"/>
      <c r="ESP128" s="94"/>
      <c r="ESQ128" s="94"/>
      <c r="ESR128" s="94"/>
      <c r="ESS128" s="94"/>
      <c r="EST128" s="94"/>
      <c r="ESU128" s="94"/>
      <c r="ESV128" s="94"/>
      <c r="ESW128" s="94"/>
      <c r="ESX128" s="94"/>
      <c r="ESY128" s="94"/>
      <c r="ESZ128" s="94"/>
      <c r="ETA128" s="94"/>
      <c r="ETB128" s="94"/>
      <c r="ETC128" s="94"/>
      <c r="ETD128" s="94"/>
      <c r="ETE128" s="94"/>
      <c r="ETF128" s="94"/>
      <c r="ETG128" s="94"/>
      <c r="ETH128" s="94"/>
      <c r="ETI128" s="94"/>
      <c r="ETJ128" s="94"/>
      <c r="ETK128" s="94"/>
      <c r="ETL128" s="94"/>
      <c r="ETM128" s="94"/>
      <c r="ETN128" s="94"/>
      <c r="ETO128" s="94"/>
      <c r="ETP128" s="94"/>
      <c r="ETQ128" s="94"/>
      <c r="ETR128" s="94"/>
      <c r="ETS128" s="94"/>
      <c r="ETT128" s="94"/>
      <c r="ETU128" s="94"/>
      <c r="ETV128" s="94"/>
      <c r="ETW128" s="94"/>
      <c r="ETX128" s="94"/>
      <c r="ETY128" s="94"/>
      <c r="ETZ128" s="94"/>
      <c r="EUA128" s="94"/>
      <c r="EUB128" s="94"/>
      <c r="EUC128" s="94"/>
      <c r="EUD128" s="94"/>
      <c r="EUE128" s="94"/>
      <c r="EUF128" s="94"/>
      <c r="EUG128" s="94"/>
      <c r="EUH128" s="94"/>
      <c r="EUI128" s="94"/>
      <c r="EUJ128" s="94"/>
      <c r="EUK128" s="94"/>
      <c r="EUL128" s="94"/>
      <c r="EUM128" s="94"/>
      <c r="EUN128" s="94"/>
      <c r="EUO128" s="94"/>
      <c r="EUP128" s="94"/>
      <c r="EUQ128" s="94"/>
      <c r="EUR128" s="94"/>
      <c r="EUS128" s="94"/>
      <c r="EUT128" s="94"/>
      <c r="EUU128" s="94"/>
      <c r="EUV128" s="94"/>
      <c r="EUW128" s="94"/>
      <c r="EUX128" s="94"/>
      <c r="EUY128" s="94"/>
      <c r="EUZ128" s="94"/>
      <c r="EVA128" s="94"/>
      <c r="EVB128" s="94"/>
      <c r="EVC128" s="94"/>
      <c r="EVD128" s="94"/>
      <c r="EVE128" s="94"/>
      <c r="EVF128" s="94"/>
      <c r="EVG128" s="94"/>
      <c r="EVH128" s="94"/>
      <c r="EVI128" s="94"/>
      <c r="EVJ128" s="94"/>
      <c r="EVK128" s="94"/>
      <c r="EVL128" s="94"/>
      <c r="EVM128" s="94"/>
      <c r="EVN128" s="94"/>
      <c r="EVO128" s="94"/>
      <c r="EVP128" s="94"/>
      <c r="EVQ128" s="94"/>
      <c r="EVR128" s="94"/>
      <c r="EVS128" s="94"/>
      <c r="EVT128" s="94"/>
      <c r="EVU128" s="94"/>
      <c r="EVV128" s="94"/>
      <c r="EVW128" s="94"/>
      <c r="EVX128" s="94"/>
      <c r="EVY128" s="94"/>
      <c r="EVZ128" s="94"/>
      <c r="EWA128" s="94"/>
      <c r="EWB128" s="94"/>
      <c r="EWC128" s="94"/>
      <c r="EWD128" s="94"/>
      <c r="EWE128" s="94"/>
      <c r="EWF128" s="94"/>
      <c r="EWG128" s="94"/>
      <c r="EWH128" s="94"/>
      <c r="EWI128" s="94"/>
      <c r="EWJ128" s="94"/>
      <c r="EWK128" s="94"/>
      <c r="EWL128" s="94"/>
      <c r="EWM128" s="94"/>
      <c r="EWN128" s="94"/>
      <c r="EWO128" s="94"/>
      <c r="EWP128" s="94"/>
      <c r="EWQ128" s="94"/>
      <c r="EWR128" s="94"/>
      <c r="EWS128" s="94"/>
      <c r="EWT128" s="94"/>
      <c r="EWU128" s="94"/>
      <c r="EWV128" s="94"/>
      <c r="EWW128" s="94"/>
      <c r="EWX128" s="94"/>
      <c r="EWY128" s="94"/>
      <c r="EWZ128" s="94"/>
      <c r="EXA128" s="94"/>
      <c r="EXB128" s="94"/>
      <c r="EXC128" s="94"/>
      <c r="EXD128" s="94"/>
      <c r="EXE128" s="94"/>
      <c r="EXF128" s="94"/>
      <c r="EXG128" s="94"/>
      <c r="EXH128" s="94"/>
      <c r="EXI128" s="94"/>
      <c r="EXJ128" s="94"/>
      <c r="EXK128" s="94"/>
      <c r="EXL128" s="94"/>
      <c r="EXM128" s="94"/>
      <c r="EXN128" s="94"/>
      <c r="EXO128" s="94"/>
      <c r="EXP128" s="94"/>
      <c r="EXQ128" s="94"/>
      <c r="EXR128" s="94"/>
      <c r="EXS128" s="94"/>
      <c r="EXT128" s="94"/>
      <c r="EXU128" s="94"/>
      <c r="EXV128" s="94"/>
      <c r="EXW128" s="94"/>
      <c r="EXX128" s="94"/>
      <c r="EXY128" s="94"/>
      <c r="EXZ128" s="94"/>
      <c r="EYA128" s="94"/>
      <c r="EYB128" s="94"/>
      <c r="EYC128" s="94"/>
      <c r="EYD128" s="94"/>
      <c r="EYE128" s="94"/>
      <c r="EYF128" s="94"/>
      <c r="EYG128" s="94"/>
      <c r="EYH128" s="94"/>
      <c r="EYI128" s="94"/>
      <c r="EYJ128" s="94"/>
      <c r="EYK128" s="94"/>
      <c r="EYL128" s="94"/>
      <c r="EYM128" s="94"/>
      <c r="EYN128" s="94"/>
      <c r="EYO128" s="94"/>
      <c r="EYP128" s="94"/>
      <c r="EYQ128" s="94"/>
      <c r="EYR128" s="94"/>
      <c r="EYS128" s="94"/>
      <c r="EYT128" s="94"/>
      <c r="EYU128" s="94"/>
      <c r="EYV128" s="94"/>
      <c r="EYW128" s="94"/>
      <c r="EYX128" s="94"/>
      <c r="EYY128" s="94"/>
      <c r="EYZ128" s="94"/>
      <c r="EZA128" s="94"/>
      <c r="EZB128" s="94"/>
      <c r="EZC128" s="94"/>
      <c r="EZD128" s="94"/>
      <c r="EZE128" s="94"/>
      <c r="EZF128" s="94"/>
      <c r="EZG128" s="94"/>
      <c r="EZH128" s="94"/>
      <c r="EZI128" s="94"/>
      <c r="EZJ128" s="94"/>
      <c r="EZK128" s="94"/>
      <c r="EZL128" s="94"/>
      <c r="EZM128" s="94"/>
      <c r="EZN128" s="94"/>
      <c r="EZO128" s="94"/>
      <c r="EZP128" s="94"/>
      <c r="EZQ128" s="94"/>
      <c r="EZR128" s="94"/>
      <c r="EZS128" s="94"/>
      <c r="EZT128" s="94"/>
      <c r="EZU128" s="94"/>
      <c r="EZV128" s="94"/>
      <c r="EZW128" s="94"/>
      <c r="EZX128" s="94"/>
      <c r="EZY128" s="94"/>
      <c r="EZZ128" s="94"/>
      <c r="FAA128" s="94"/>
      <c r="FAB128" s="94"/>
      <c r="FAC128" s="94"/>
      <c r="FAD128" s="94"/>
      <c r="FAE128" s="94"/>
      <c r="FAF128" s="94"/>
      <c r="FAG128" s="94"/>
      <c r="FAH128" s="94"/>
      <c r="FAI128" s="94"/>
      <c r="FAJ128" s="94"/>
      <c r="FAK128" s="94"/>
      <c r="FAL128" s="94"/>
      <c r="FAM128" s="94"/>
      <c r="FAN128" s="94"/>
      <c r="FAO128" s="94"/>
      <c r="FAP128" s="94"/>
      <c r="FAQ128" s="94"/>
      <c r="FAR128" s="94"/>
      <c r="FAS128" s="94"/>
      <c r="FAT128" s="94"/>
      <c r="FAU128" s="94"/>
      <c r="FAV128" s="94"/>
      <c r="FAW128" s="94"/>
      <c r="FAX128" s="94"/>
      <c r="FAY128" s="94"/>
      <c r="FAZ128" s="94"/>
      <c r="FBA128" s="94"/>
      <c r="FBB128" s="94"/>
      <c r="FBC128" s="94"/>
      <c r="FBD128" s="94"/>
      <c r="FBE128" s="94"/>
      <c r="FBF128" s="94"/>
      <c r="FBG128" s="94"/>
      <c r="FBH128" s="94"/>
      <c r="FBI128" s="94"/>
      <c r="FBJ128" s="94"/>
      <c r="FBK128" s="94"/>
      <c r="FBL128" s="94"/>
      <c r="FBM128" s="94"/>
      <c r="FBN128" s="94"/>
      <c r="FBO128" s="94"/>
      <c r="FBP128" s="94"/>
      <c r="FBQ128" s="94"/>
      <c r="FBR128" s="94"/>
      <c r="FBS128" s="94"/>
      <c r="FBT128" s="94"/>
      <c r="FBU128" s="94"/>
      <c r="FBV128" s="94"/>
      <c r="FBW128" s="94"/>
      <c r="FBX128" s="94"/>
      <c r="FBY128" s="94"/>
      <c r="FBZ128" s="94"/>
      <c r="FCA128" s="94"/>
      <c r="FCB128" s="94"/>
      <c r="FCC128" s="94"/>
      <c r="FCD128" s="94"/>
      <c r="FCE128" s="94"/>
      <c r="FCF128" s="94"/>
      <c r="FCG128" s="94"/>
      <c r="FCH128" s="94"/>
      <c r="FCI128" s="94"/>
      <c r="FCJ128" s="94"/>
      <c r="FCK128" s="94"/>
      <c r="FCL128" s="94"/>
      <c r="FCM128" s="94"/>
      <c r="FCN128" s="94"/>
      <c r="FCO128" s="94"/>
      <c r="FCP128" s="94"/>
      <c r="FCQ128" s="94"/>
      <c r="FCR128" s="94"/>
      <c r="FCS128" s="94"/>
      <c r="FCT128" s="94"/>
      <c r="FCU128" s="94"/>
      <c r="FCV128" s="94"/>
      <c r="FCW128" s="94"/>
      <c r="FCX128" s="94"/>
      <c r="FCY128" s="94"/>
      <c r="FCZ128" s="94"/>
      <c r="FDA128" s="94"/>
      <c r="FDB128" s="94"/>
      <c r="FDC128" s="94"/>
      <c r="FDD128" s="94"/>
      <c r="FDE128" s="94"/>
      <c r="FDF128" s="94"/>
      <c r="FDG128" s="94"/>
      <c r="FDH128" s="94"/>
      <c r="FDI128" s="94"/>
      <c r="FDJ128" s="94"/>
      <c r="FDK128" s="94"/>
      <c r="FDL128" s="94"/>
      <c r="FDM128" s="94"/>
      <c r="FDN128" s="94"/>
      <c r="FDO128" s="94"/>
      <c r="FDP128" s="94"/>
      <c r="FDQ128" s="94"/>
      <c r="FDR128" s="94"/>
      <c r="FDS128" s="94"/>
      <c r="FDT128" s="94"/>
      <c r="FDU128" s="94"/>
      <c r="FDV128" s="94"/>
      <c r="FDW128" s="94"/>
      <c r="FDX128" s="94"/>
      <c r="FDY128" s="94"/>
      <c r="FDZ128" s="94"/>
      <c r="FEA128" s="94"/>
      <c r="FEB128" s="94"/>
      <c r="FEC128" s="94"/>
      <c r="FED128" s="94"/>
      <c r="FEE128" s="94"/>
      <c r="FEF128" s="94"/>
      <c r="FEG128" s="94"/>
      <c r="FEH128" s="94"/>
      <c r="FEI128" s="94"/>
      <c r="FEJ128" s="94"/>
      <c r="FEK128" s="94"/>
      <c r="FEL128" s="94"/>
      <c r="FEM128" s="94"/>
      <c r="FEN128" s="94"/>
      <c r="FEO128" s="94"/>
      <c r="FEP128" s="94"/>
      <c r="FEQ128" s="94"/>
      <c r="FER128" s="94"/>
      <c r="FES128" s="94"/>
      <c r="FET128" s="94"/>
      <c r="FEU128" s="94"/>
      <c r="FEV128" s="94"/>
      <c r="FEW128" s="94"/>
      <c r="FEX128" s="94"/>
      <c r="FEY128" s="94"/>
      <c r="FEZ128" s="94"/>
      <c r="FFA128" s="94"/>
      <c r="FFB128" s="94"/>
      <c r="FFC128" s="94"/>
      <c r="FFD128" s="94"/>
      <c r="FFE128" s="94"/>
      <c r="FFF128" s="94"/>
      <c r="FFG128" s="94"/>
      <c r="FFH128" s="94"/>
      <c r="FFI128" s="94"/>
      <c r="FFJ128" s="94"/>
      <c r="FFK128" s="94"/>
      <c r="FFL128" s="94"/>
      <c r="FFM128" s="94"/>
      <c r="FFN128" s="94"/>
      <c r="FFO128" s="94"/>
      <c r="FFP128" s="94"/>
      <c r="FFQ128" s="94"/>
      <c r="FFR128" s="94"/>
      <c r="FFS128" s="94"/>
      <c r="FFT128" s="94"/>
      <c r="FFU128" s="94"/>
      <c r="FFV128" s="94"/>
      <c r="FFW128" s="94"/>
      <c r="FFX128" s="94"/>
      <c r="FFY128" s="94"/>
      <c r="FFZ128" s="94"/>
      <c r="FGA128" s="94"/>
      <c r="FGB128" s="94"/>
      <c r="FGC128" s="94"/>
      <c r="FGD128" s="94"/>
      <c r="FGE128" s="94"/>
      <c r="FGF128" s="94"/>
      <c r="FGG128" s="94"/>
      <c r="FGH128" s="94"/>
      <c r="FGI128" s="94"/>
      <c r="FGJ128" s="94"/>
      <c r="FGK128" s="94"/>
      <c r="FGL128" s="94"/>
      <c r="FGM128" s="94"/>
      <c r="FGN128" s="94"/>
      <c r="FGO128" s="94"/>
      <c r="FGP128" s="94"/>
      <c r="FGQ128" s="94"/>
      <c r="FGR128" s="94"/>
      <c r="FGS128" s="94"/>
      <c r="FGT128" s="94"/>
      <c r="FGU128" s="94"/>
      <c r="FGV128" s="94"/>
      <c r="FGW128" s="94"/>
      <c r="FGX128" s="94"/>
      <c r="FGY128" s="94"/>
      <c r="FGZ128" s="94"/>
      <c r="FHA128" s="94"/>
      <c r="FHB128" s="94"/>
      <c r="FHC128" s="94"/>
      <c r="FHD128" s="94"/>
      <c r="FHE128" s="94"/>
      <c r="FHF128" s="94"/>
      <c r="FHG128" s="94"/>
      <c r="FHH128" s="94"/>
      <c r="FHI128" s="94"/>
      <c r="FHJ128" s="94"/>
      <c r="FHK128" s="94"/>
      <c r="FHL128" s="94"/>
      <c r="FHM128" s="94"/>
      <c r="FHN128" s="94"/>
      <c r="FHO128" s="94"/>
      <c r="FHP128" s="94"/>
      <c r="FHQ128" s="94"/>
      <c r="FHR128" s="94"/>
      <c r="FHS128" s="94"/>
      <c r="FHT128" s="94"/>
      <c r="FHU128" s="94"/>
      <c r="FHV128" s="94"/>
      <c r="FHW128" s="94"/>
      <c r="FHX128" s="94"/>
      <c r="FHY128" s="94"/>
      <c r="FHZ128" s="94"/>
      <c r="FIA128" s="94"/>
      <c r="FIB128" s="94"/>
      <c r="FIC128" s="94"/>
      <c r="FID128" s="94"/>
      <c r="FIE128" s="94"/>
      <c r="FIF128" s="94"/>
      <c r="FIG128" s="94"/>
      <c r="FIH128" s="94"/>
      <c r="FII128" s="94"/>
      <c r="FIJ128" s="94"/>
      <c r="FIK128" s="94"/>
      <c r="FIL128" s="94"/>
      <c r="FIM128" s="94"/>
      <c r="FIN128" s="94"/>
      <c r="FIO128" s="94"/>
      <c r="FIP128" s="94"/>
      <c r="FIQ128" s="94"/>
      <c r="FIR128" s="94"/>
      <c r="FIS128" s="94"/>
      <c r="FIT128" s="94"/>
      <c r="FIU128" s="94"/>
      <c r="FIV128" s="94"/>
      <c r="FIW128" s="94"/>
      <c r="FIX128" s="94"/>
      <c r="FIY128" s="94"/>
      <c r="FIZ128" s="94"/>
      <c r="FJA128" s="94"/>
      <c r="FJB128" s="94"/>
      <c r="FJC128" s="94"/>
      <c r="FJD128" s="94"/>
      <c r="FJE128" s="94"/>
      <c r="FJF128" s="94"/>
      <c r="FJG128" s="94"/>
      <c r="FJH128" s="94"/>
      <c r="FJI128" s="94"/>
      <c r="FJJ128" s="94"/>
      <c r="FJK128" s="94"/>
      <c r="FJL128" s="94"/>
      <c r="FJM128" s="94"/>
      <c r="FJN128" s="94"/>
      <c r="FJO128" s="94"/>
      <c r="FJP128" s="94"/>
      <c r="FJQ128" s="94"/>
      <c r="FJR128" s="94"/>
      <c r="FJS128" s="94"/>
      <c r="FJT128" s="94"/>
      <c r="FJU128" s="94"/>
      <c r="FJV128" s="94"/>
      <c r="FJW128" s="94"/>
      <c r="FJX128" s="94"/>
      <c r="FJY128" s="94"/>
      <c r="FJZ128" s="94"/>
      <c r="FKA128" s="94"/>
      <c r="FKB128" s="94"/>
      <c r="FKC128" s="94"/>
      <c r="FKD128" s="94"/>
      <c r="FKE128" s="94"/>
      <c r="FKF128" s="94"/>
      <c r="FKG128" s="94"/>
      <c r="FKH128" s="94"/>
      <c r="FKI128" s="94"/>
      <c r="FKJ128" s="94"/>
      <c r="FKK128" s="94"/>
      <c r="FKL128" s="94"/>
      <c r="FKM128" s="94"/>
      <c r="FKN128" s="94"/>
      <c r="FKO128" s="94"/>
      <c r="FKP128" s="94"/>
      <c r="FKQ128" s="94"/>
      <c r="FKR128" s="94"/>
      <c r="FKS128" s="94"/>
      <c r="FKT128" s="94"/>
      <c r="FKU128" s="94"/>
      <c r="FKV128" s="94"/>
      <c r="FKW128" s="94"/>
      <c r="FKX128" s="94"/>
      <c r="FKY128" s="94"/>
      <c r="FKZ128" s="94"/>
      <c r="FLA128" s="94"/>
      <c r="FLB128" s="94"/>
      <c r="FLC128" s="94"/>
      <c r="FLD128" s="94"/>
      <c r="FLE128" s="94"/>
      <c r="FLF128" s="94"/>
      <c r="FLG128" s="94"/>
      <c r="FLH128" s="94"/>
      <c r="FLI128" s="94"/>
      <c r="FLJ128" s="94"/>
      <c r="FLK128" s="94"/>
      <c r="FLL128" s="94"/>
      <c r="FLM128" s="94"/>
      <c r="FLN128" s="94"/>
      <c r="FLO128" s="94"/>
      <c r="FLP128" s="94"/>
      <c r="FLQ128" s="94"/>
      <c r="FLR128" s="94"/>
      <c r="FLS128" s="94"/>
      <c r="FLT128" s="94"/>
      <c r="FLU128" s="94"/>
      <c r="FLV128" s="94"/>
      <c r="FLW128" s="94"/>
      <c r="FLX128" s="94"/>
      <c r="FLY128" s="94"/>
      <c r="FLZ128" s="94"/>
      <c r="FMA128" s="94"/>
      <c r="FMB128" s="94"/>
      <c r="FMC128" s="94"/>
      <c r="FMD128" s="94"/>
      <c r="FME128" s="94"/>
      <c r="FMF128" s="94"/>
      <c r="FMG128" s="94"/>
      <c r="FMH128" s="94"/>
      <c r="FMI128" s="94"/>
      <c r="FMJ128" s="94"/>
      <c r="FMK128" s="94"/>
      <c r="FML128" s="94"/>
      <c r="FMM128" s="94"/>
      <c r="FMN128" s="94"/>
      <c r="FMO128" s="94"/>
      <c r="FMP128" s="94"/>
      <c r="FMQ128" s="94"/>
      <c r="FMR128" s="94"/>
      <c r="FMS128" s="94"/>
      <c r="FMT128" s="94"/>
      <c r="FMU128" s="94"/>
      <c r="FMV128" s="94"/>
      <c r="FMW128" s="94"/>
      <c r="FMX128" s="94"/>
      <c r="FMY128" s="94"/>
      <c r="FMZ128" s="94"/>
      <c r="FNA128" s="94"/>
      <c r="FNB128" s="94"/>
      <c r="FNC128" s="94"/>
      <c r="FND128" s="94"/>
      <c r="FNE128" s="94"/>
      <c r="FNF128" s="94"/>
      <c r="FNG128" s="94"/>
      <c r="FNH128" s="94"/>
      <c r="FNI128" s="94"/>
      <c r="FNJ128" s="94"/>
      <c r="FNK128" s="94"/>
      <c r="FNL128" s="94"/>
      <c r="FNM128" s="94"/>
      <c r="FNN128" s="94"/>
      <c r="FNO128" s="94"/>
      <c r="FNP128" s="94"/>
      <c r="FNQ128" s="94"/>
      <c r="FNR128" s="94"/>
      <c r="FNS128" s="94"/>
      <c r="FNT128" s="94"/>
      <c r="FNU128" s="94"/>
      <c r="FNV128" s="94"/>
      <c r="FNW128" s="94"/>
      <c r="FNX128" s="94"/>
      <c r="FNY128" s="94"/>
      <c r="FNZ128" s="94"/>
      <c r="FOA128" s="94"/>
      <c r="FOB128" s="94"/>
      <c r="FOC128" s="94"/>
      <c r="FOD128" s="94"/>
      <c r="FOE128" s="94"/>
      <c r="FOF128" s="94"/>
      <c r="FOG128" s="94"/>
      <c r="FOH128" s="94"/>
      <c r="FOI128" s="94"/>
      <c r="FOJ128" s="94"/>
      <c r="FOK128" s="94"/>
      <c r="FOL128" s="94"/>
      <c r="FOM128" s="94"/>
      <c r="FON128" s="94"/>
      <c r="FOO128" s="94"/>
      <c r="FOP128" s="94"/>
      <c r="FOQ128" s="94"/>
      <c r="FOR128" s="94"/>
      <c r="FOS128" s="94"/>
      <c r="FOT128" s="94"/>
      <c r="FOU128" s="94"/>
      <c r="FOV128" s="94"/>
      <c r="FOW128" s="94"/>
      <c r="FOX128" s="94"/>
      <c r="FOY128" s="94"/>
      <c r="FOZ128" s="94"/>
      <c r="FPA128" s="94"/>
      <c r="FPB128" s="94"/>
      <c r="FPC128" s="94"/>
      <c r="FPD128" s="94"/>
      <c r="FPE128" s="94"/>
      <c r="FPF128" s="94"/>
      <c r="FPG128" s="94"/>
      <c r="FPH128" s="94"/>
      <c r="FPI128" s="94"/>
      <c r="FPJ128" s="94"/>
      <c r="FPK128" s="94"/>
      <c r="FPL128" s="94"/>
      <c r="FPM128" s="94"/>
      <c r="FPN128" s="94"/>
      <c r="FPO128" s="94"/>
      <c r="FPP128" s="94"/>
      <c r="FPQ128" s="94"/>
      <c r="FPR128" s="94"/>
      <c r="FPS128" s="94"/>
      <c r="FPT128" s="94"/>
      <c r="FPU128" s="94"/>
      <c r="FPV128" s="94"/>
      <c r="FPW128" s="94"/>
      <c r="FPX128" s="94"/>
      <c r="FPY128" s="94"/>
      <c r="FPZ128" s="94"/>
      <c r="FQA128" s="94"/>
      <c r="FQB128" s="94"/>
      <c r="FQC128" s="94"/>
      <c r="FQD128" s="94"/>
      <c r="FQE128" s="94"/>
      <c r="FQF128" s="94"/>
      <c r="FQG128" s="94"/>
      <c r="FQH128" s="94"/>
      <c r="FQI128" s="94"/>
      <c r="FQJ128" s="94"/>
      <c r="FQK128" s="94"/>
      <c r="FQL128" s="94"/>
      <c r="FQM128" s="94"/>
      <c r="FQN128" s="94"/>
      <c r="FQO128" s="94"/>
      <c r="FQP128" s="94"/>
      <c r="FQQ128" s="94"/>
      <c r="FQR128" s="94"/>
      <c r="FQS128" s="94"/>
      <c r="FQT128" s="94"/>
      <c r="FQU128" s="94"/>
      <c r="FQV128" s="94"/>
      <c r="FQW128" s="94"/>
      <c r="FQX128" s="94"/>
      <c r="FQY128" s="94"/>
      <c r="FQZ128" s="94"/>
      <c r="FRA128" s="94"/>
      <c r="FRB128" s="94"/>
      <c r="FRC128" s="94"/>
      <c r="FRD128" s="94"/>
      <c r="FRE128" s="94"/>
      <c r="FRF128" s="94"/>
      <c r="FRG128" s="94"/>
      <c r="FRH128" s="94"/>
      <c r="FRI128" s="94"/>
      <c r="FRJ128" s="94"/>
      <c r="FRK128" s="94"/>
      <c r="FRL128" s="94"/>
      <c r="FRM128" s="94"/>
      <c r="FRN128" s="94"/>
      <c r="FRO128" s="94"/>
      <c r="FRP128" s="94"/>
      <c r="FRQ128" s="94"/>
      <c r="FRR128" s="94"/>
      <c r="FRS128" s="94"/>
      <c r="FRT128" s="94"/>
      <c r="FRU128" s="94"/>
      <c r="FRV128" s="94"/>
      <c r="FRW128" s="94"/>
      <c r="FRX128" s="94"/>
      <c r="FRY128" s="94"/>
      <c r="FRZ128" s="94"/>
      <c r="FSA128" s="94"/>
      <c r="FSB128" s="94"/>
      <c r="FSC128" s="94"/>
      <c r="FSD128" s="94"/>
      <c r="FSE128" s="94"/>
      <c r="FSF128" s="94"/>
      <c r="FSG128" s="94"/>
      <c r="FSH128" s="94"/>
      <c r="FSI128" s="94"/>
      <c r="FSJ128" s="94"/>
      <c r="FSK128" s="94"/>
      <c r="FSL128" s="94"/>
      <c r="FSM128" s="94"/>
      <c r="FSN128" s="94"/>
      <c r="FSO128" s="94"/>
      <c r="FSP128" s="94"/>
      <c r="FSQ128" s="94"/>
      <c r="FSR128" s="94"/>
      <c r="FSS128" s="94"/>
      <c r="FST128" s="94"/>
      <c r="FSU128" s="94"/>
      <c r="FSV128" s="94"/>
      <c r="FSW128" s="94"/>
      <c r="FSX128" s="94"/>
      <c r="FSY128" s="94"/>
      <c r="FSZ128" s="94"/>
      <c r="FTA128" s="94"/>
      <c r="FTB128" s="94"/>
      <c r="FTC128" s="94"/>
      <c r="FTD128" s="94"/>
      <c r="FTE128" s="94"/>
      <c r="FTF128" s="94"/>
      <c r="FTG128" s="94"/>
      <c r="FTH128" s="94"/>
      <c r="FTI128" s="94"/>
      <c r="FTJ128" s="94"/>
      <c r="FTK128" s="94"/>
      <c r="FTL128" s="94"/>
      <c r="FTM128" s="94"/>
      <c r="FTN128" s="94"/>
      <c r="FTO128" s="94"/>
      <c r="FTP128" s="94"/>
      <c r="FTQ128" s="94"/>
      <c r="FTR128" s="94"/>
      <c r="FTS128" s="94"/>
      <c r="FTT128" s="94"/>
      <c r="FTU128" s="94"/>
      <c r="FTV128" s="94"/>
      <c r="FTW128" s="94"/>
      <c r="FTX128" s="94"/>
      <c r="FTY128" s="94"/>
      <c r="FTZ128" s="94"/>
      <c r="FUA128" s="94"/>
      <c r="FUB128" s="94"/>
      <c r="FUC128" s="94"/>
      <c r="FUD128" s="94"/>
      <c r="FUE128" s="94"/>
      <c r="FUF128" s="94"/>
      <c r="FUG128" s="94"/>
      <c r="FUH128" s="94"/>
      <c r="FUI128" s="94"/>
      <c r="FUJ128" s="94"/>
      <c r="FUK128" s="94"/>
      <c r="FUL128" s="94"/>
      <c r="FUM128" s="94"/>
      <c r="FUN128" s="94"/>
      <c r="FUO128" s="94"/>
      <c r="FUP128" s="94"/>
      <c r="FUQ128" s="94"/>
      <c r="FUR128" s="94"/>
      <c r="FUS128" s="94"/>
      <c r="FUT128" s="94"/>
      <c r="FUU128" s="94"/>
      <c r="FUV128" s="94"/>
      <c r="FUW128" s="94"/>
      <c r="FUX128" s="94"/>
      <c r="FUY128" s="94"/>
      <c r="FUZ128" s="94"/>
      <c r="FVA128" s="94"/>
      <c r="FVB128" s="94"/>
      <c r="FVC128" s="94"/>
      <c r="FVD128" s="94"/>
      <c r="FVE128" s="94"/>
      <c r="FVF128" s="94"/>
      <c r="FVG128" s="94"/>
      <c r="FVH128" s="94"/>
      <c r="FVI128" s="94"/>
      <c r="FVJ128" s="94"/>
      <c r="FVK128" s="94"/>
      <c r="FVL128" s="94"/>
      <c r="FVM128" s="94"/>
      <c r="FVN128" s="94"/>
      <c r="FVO128" s="94"/>
      <c r="FVP128" s="94"/>
      <c r="FVQ128" s="94"/>
      <c r="FVR128" s="94"/>
      <c r="FVS128" s="94"/>
      <c r="FVT128" s="94"/>
      <c r="FVU128" s="94"/>
      <c r="FVV128" s="94"/>
      <c r="FVW128" s="94"/>
      <c r="FVX128" s="94"/>
      <c r="FVY128" s="94"/>
      <c r="FVZ128" s="94"/>
      <c r="FWA128" s="94"/>
      <c r="FWB128" s="94"/>
      <c r="FWC128" s="94"/>
      <c r="FWD128" s="94"/>
      <c r="FWE128" s="94"/>
      <c r="FWF128" s="94"/>
      <c r="FWG128" s="94"/>
      <c r="FWH128" s="94"/>
      <c r="FWI128" s="94"/>
      <c r="FWJ128" s="94"/>
      <c r="FWK128" s="94"/>
      <c r="FWL128" s="94"/>
      <c r="FWM128" s="94"/>
      <c r="FWN128" s="94"/>
      <c r="FWO128" s="94"/>
      <c r="FWP128" s="94"/>
      <c r="FWQ128" s="94"/>
      <c r="FWR128" s="94"/>
      <c r="FWS128" s="94"/>
      <c r="FWT128" s="94"/>
      <c r="FWU128" s="94"/>
      <c r="FWV128" s="94"/>
      <c r="FWW128" s="94"/>
      <c r="FWX128" s="94"/>
      <c r="FWY128" s="94"/>
      <c r="FWZ128" s="94"/>
      <c r="FXA128" s="94"/>
      <c r="FXB128" s="94"/>
      <c r="FXC128" s="94"/>
      <c r="FXD128" s="94"/>
      <c r="FXE128" s="94"/>
      <c r="FXF128" s="94"/>
      <c r="FXG128" s="94"/>
      <c r="FXH128" s="94"/>
      <c r="FXI128" s="94"/>
      <c r="FXJ128" s="94"/>
      <c r="FXK128" s="94"/>
      <c r="FXL128" s="94"/>
      <c r="FXM128" s="94"/>
      <c r="FXN128" s="94"/>
      <c r="FXO128" s="94"/>
      <c r="FXP128" s="94"/>
      <c r="FXQ128" s="94"/>
      <c r="FXR128" s="94"/>
      <c r="FXS128" s="94"/>
      <c r="FXT128" s="94"/>
      <c r="FXU128" s="94"/>
      <c r="FXV128" s="94"/>
      <c r="FXW128" s="94"/>
      <c r="FXX128" s="94"/>
      <c r="FXY128" s="94"/>
      <c r="FXZ128" s="94"/>
      <c r="FYA128" s="94"/>
      <c r="FYB128" s="94"/>
      <c r="FYC128" s="94"/>
      <c r="FYD128" s="94"/>
      <c r="FYE128" s="94"/>
      <c r="FYF128" s="94"/>
      <c r="FYG128" s="94"/>
      <c r="FYH128" s="94"/>
      <c r="FYI128" s="94"/>
      <c r="FYJ128" s="94"/>
      <c r="FYK128" s="94"/>
      <c r="FYL128" s="94"/>
      <c r="FYM128" s="94"/>
      <c r="FYN128" s="94"/>
      <c r="FYO128" s="94"/>
      <c r="FYP128" s="94"/>
      <c r="FYQ128" s="94"/>
      <c r="FYR128" s="94"/>
      <c r="FYS128" s="94"/>
      <c r="FYT128" s="94"/>
      <c r="FYU128" s="94"/>
      <c r="FYV128" s="94"/>
      <c r="FYW128" s="94"/>
      <c r="FYX128" s="94"/>
      <c r="FYY128" s="94"/>
      <c r="FYZ128" s="94"/>
      <c r="FZA128" s="94"/>
      <c r="FZB128" s="94"/>
      <c r="FZC128" s="94"/>
      <c r="FZD128" s="94"/>
      <c r="FZE128" s="94"/>
      <c r="FZF128" s="94"/>
      <c r="FZG128" s="94"/>
      <c r="FZH128" s="94"/>
      <c r="FZI128" s="94"/>
      <c r="FZJ128" s="94"/>
      <c r="FZK128" s="94"/>
      <c r="FZL128" s="94"/>
      <c r="FZM128" s="94"/>
      <c r="FZN128" s="94"/>
      <c r="FZO128" s="94"/>
      <c r="FZP128" s="94"/>
      <c r="FZQ128" s="94"/>
      <c r="FZR128" s="94"/>
      <c r="FZS128" s="94"/>
      <c r="FZT128" s="94"/>
      <c r="FZU128" s="94"/>
      <c r="FZV128" s="94"/>
      <c r="FZW128" s="94"/>
      <c r="FZX128" s="94"/>
      <c r="FZY128" s="94"/>
      <c r="FZZ128" s="94"/>
      <c r="GAA128" s="94"/>
      <c r="GAB128" s="94"/>
      <c r="GAC128" s="94"/>
      <c r="GAD128" s="94"/>
      <c r="GAE128" s="94"/>
      <c r="GAF128" s="94"/>
      <c r="GAG128" s="94"/>
      <c r="GAH128" s="94"/>
      <c r="GAI128" s="94"/>
      <c r="GAJ128" s="94"/>
      <c r="GAK128" s="94"/>
      <c r="GAL128" s="94"/>
      <c r="GAM128" s="94"/>
      <c r="GAN128" s="94"/>
      <c r="GAO128" s="94"/>
      <c r="GAP128" s="94"/>
      <c r="GAQ128" s="94"/>
      <c r="GAR128" s="94"/>
      <c r="GAS128" s="94"/>
      <c r="GAT128" s="94"/>
      <c r="GAU128" s="94"/>
      <c r="GAV128" s="94"/>
      <c r="GAW128" s="94"/>
      <c r="GAX128" s="94"/>
      <c r="GAY128" s="94"/>
      <c r="GAZ128" s="94"/>
      <c r="GBA128" s="94"/>
      <c r="GBB128" s="94"/>
      <c r="GBC128" s="94"/>
      <c r="GBD128" s="94"/>
      <c r="GBE128" s="94"/>
      <c r="GBF128" s="94"/>
      <c r="GBG128" s="94"/>
      <c r="GBH128" s="94"/>
      <c r="GBI128" s="94"/>
      <c r="GBJ128" s="94"/>
      <c r="GBK128" s="94"/>
      <c r="GBL128" s="94"/>
      <c r="GBM128" s="94"/>
      <c r="GBN128" s="94"/>
      <c r="GBO128" s="94"/>
      <c r="GBP128" s="94"/>
      <c r="GBQ128" s="94"/>
      <c r="GBR128" s="94"/>
      <c r="GBS128" s="94"/>
      <c r="GBT128" s="94"/>
      <c r="GBU128" s="94"/>
      <c r="GBV128" s="94"/>
      <c r="GBW128" s="94"/>
      <c r="GBX128" s="94"/>
      <c r="GBY128" s="94"/>
      <c r="GBZ128" s="94"/>
      <c r="GCA128" s="94"/>
      <c r="GCB128" s="94"/>
      <c r="GCC128" s="94"/>
      <c r="GCD128" s="94"/>
      <c r="GCE128" s="94"/>
      <c r="GCF128" s="94"/>
      <c r="GCG128" s="94"/>
      <c r="GCH128" s="94"/>
      <c r="GCI128" s="94"/>
      <c r="GCJ128" s="94"/>
      <c r="GCK128" s="94"/>
      <c r="GCL128" s="94"/>
      <c r="GCM128" s="94"/>
      <c r="GCN128" s="94"/>
      <c r="GCO128" s="94"/>
      <c r="GCP128" s="94"/>
      <c r="GCQ128" s="94"/>
      <c r="GCR128" s="94"/>
      <c r="GCS128" s="94"/>
      <c r="GCT128" s="94"/>
      <c r="GCU128" s="94"/>
      <c r="GCV128" s="94"/>
      <c r="GCW128" s="94"/>
      <c r="GCX128" s="94"/>
      <c r="GCY128" s="94"/>
      <c r="GCZ128" s="94"/>
      <c r="GDA128" s="94"/>
      <c r="GDB128" s="94"/>
      <c r="GDC128" s="94"/>
      <c r="GDD128" s="94"/>
      <c r="GDE128" s="94"/>
      <c r="GDF128" s="94"/>
      <c r="GDG128" s="94"/>
      <c r="GDH128" s="94"/>
      <c r="GDI128" s="94"/>
      <c r="GDJ128" s="94"/>
      <c r="GDK128" s="94"/>
      <c r="GDL128" s="94"/>
      <c r="GDM128" s="94"/>
      <c r="GDN128" s="94"/>
      <c r="GDO128" s="94"/>
      <c r="GDP128" s="94"/>
      <c r="GDQ128" s="94"/>
      <c r="GDR128" s="94"/>
      <c r="GDS128" s="94"/>
      <c r="GDT128" s="94"/>
      <c r="GDU128" s="94"/>
      <c r="GDV128" s="94"/>
      <c r="GDW128" s="94"/>
      <c r="GDX128" s="94"/>
      <c r="GDY128" s="94"/>
      <c r="GDZ128" s="94"/>
      <c r="GEA128" s="94"/>
      <c r="GEB128" s="94"/>
      <c r="GEC128" s="94"/>
      <c r="GED128" s="94"/>
      <c r="GEE128" s="94"/>
      <c r="GEF128" s="94"/>
      <c r="GEG128" s="94"/>
      <c r="GEH128" s="94"/>
      <c r="GEI128" s="94"/>
      <c r="GEJ128" s="94"/>
      <c r="GEK128" s="94"/>
      <c r="GEL128" s="94"/>
      <c r="GEM128" s="94"/>
      <c r="GEN128" s="94"/>
      <c r="GEO128" s="94"/>
      <c r="GEP128" s="94"/>
      <c r="GEQ128" s="94"/>
      <c r="GER128" s="94"/>
      <c r="GES128" s="94"/>
      <c r="GET128" s="94"/>
      <c r="GEU128" s="94"/>
      <c r="GEV128" s="94"/>
      <c r="GEW128" s="94"/>
      <c r="GEX128" s="94"/>
      <c r="GEY128" s="94"/>
      <c r="GEZ128" s="94"/>
      <c r="GFA128" s="94"/>
      <c r="GFB128" s="94"/>
      <c r="GFC128" s="94"/>
      <c r="GFD128" s="94"/>
      <c r="GFE128" s="94"/>
      <c r="GFF128" s="94"/>
      <c r="GFG128" s="94"/>
      <c r="GFH128" s="94"/>
      <c r="GFI128" s="94"/>
      <c r="GFJ128" s="94"/>
      <c r="GFK128" s="94"/>
      <c r="GFL128" s="94"/>
      <c r="GFM128" s="94"/>
      <c r="GFN128" s="94"/>
      <c r="GFO128" s="94"/>
      <c r="GFP128" s="94"/>
      <c r="GFQ128" s="94"/>
      <c r="GFR128" s="94"/>
      <c r="GFS128" s="94"/>
      <c r="GFT128" s="94"/>
      <c r="GFU128" s="94"/>
      <c r="GFV128" s="94"/>
      <c r="GFW128" s="94"/>
      <c r="GFX128" s="94"/>
      <c r="GFY128" s="94"/>
      <c r="GFZ128" s="94"/>
      <c r="GGA128" s="94"/>
      <c r="GGB128" s="94"/>
      <c r="GGC128" s="94"/>
      <c r="GGD128" s="94"/>
      <c r="GGE128" s="94"/>
      <c r="GGF128" s="94"/>
      <c r="GGG128" s="94"/>
      <c r="GGH128" s="94"/>
      <c r="GGI128" s="94"/>
      <c r="GGJ128" s="94"/>
      <c r="GGK128" s="94"/>
      <c r="GGL128" s="94"/>
      <c r="GGM128" s="94"/>
      <c r="GGN128" s="94"/>
      <c r="GGO128" s="94"/>
      <c r="GGP128" s="94"/>
      <c r="GGQ128" s="94"/>
      <c r="GGR128" s="94"/>
      <c r="GGS128" s="94"/>
      <c r="GGT128" s="94"/>
      <c r="GGU128" s="94"/>
      <c r="GGV128" s="94"/>
      <c r="GGW128" s="94"/>
      <c r="GGX128" s="94"/>
      <c r="GGY128" s="94"/>
      <c r="GGZ128" s="94"/>
      <c r="GHA128" s="94"/>
      <c r="GHB128" s="94"/>
      <c r="GHC128" s="94"/>
      <c r="GHD128" s="94"/>
      <c r="GHE128" s="94"/>
      <c r="GHF128" s="94"/>
      <c r="GHG128" s="94"/>
      <c r="GHH128" s="94"/>
      <c r="GHI128" s="94"/>
      <c r="GHJ128" s="94"/>
      <c r="GHK128" s="94"/>
      <c r="GHL128" s="94"/>
      <c r="GHM128" s="94"/>
      <c r="GHN128" s="94"/>
      <c r="GHO128" s="94"/>
      <c r="GHP128" s="94"/>
      <c r="GHQ128" s="94"/>
      <c r="GHR128" s="94"/>
      <c r="GHS128" s="94"/>
      <c r="GHT128" s="94"/>
      <c r="GHU128" s="94"/>
      <c r="GHV128" s="94"/>
      <c r="GHW128" s="94"/>
      <c r="GHX128" s="94"/>
      <c r="GHY128" s="94"/>
      <c r="GHZ128" s="94"/>
      <c r="GIA128" s="94"/>
      <c r="GIB128" s="94"/>
      <c r="GIC128" s="94"/>
      <c r="GID128" s="94"/>
      <c r="GIE128" s="94"/>
      <c r="GIF128" s="94"/>
      <c r="GIG128" s="94"/>
      <c r="GIH128" s="94"/>
      <c r="GII128" s="94"/>
      <c r="GIJ128" s="94"/>
      <c r="GIK128" s="94"/>
      <c r="GIL128" s="94"/>
      <c r="GIM128" s="94"/>
      <c r="GIN128" s="94"/>
      <c r="GIO128" s="94"/>
      <c r="GIP128" s="94"/>
      <c r="GIQ128" s="94"/>
      <c r="GIR128" s="94"/>
      <c r="GIS128" s="94"/>
      <c r="GIT128" s="94"/>
      <c r="GIU128" s="94"/>
      <c r="GIV128" s="94"/>
      <c r="GIW128" s="94"/>
      <c r="GIX128" s="94"/>
      <c r="GIY128" s="94"/>
      <c r="GIZ128" s="94"/>
      <c r="GJA128" s="94"/>
      <c r="GJB128" s="94"/>
      <c r="GJC128" s="94"/>
      <c r="GJD128" s="94"/>
      <c r="GJE128" s="94"/>
      <c r="GJF128" s="94"/>
      <c r="GJG128" s="94"/>
      <c r="GJH128" s="94"/>
      <c r="GJI128" s="94"/>
      <c r="GJJ128" s="94"/>
      <c r="GJK128" s="94"/>
      <c r="GJL128" s="94"/>
      <c r="GJM128" s="94"/>
      <c r="GJN128" s="94"/>
      <c r="GJO128" s="94"/>
      <c r="GJP128" s="94"/>
      <c r="GJQ128" s="94"/>
      <c r="GJR128" s="94"/>
      <c r="GJS128" s="94"/>
      <c r="GJT128" s="94"/>
      <c r="GJU128" s="94"/>
      <c r="GJV128" s="94"/>
      <c r="GJW128" s="94"/>
      <c r="GJX128" s="94"/>
      <c r="GJY128" s="94"/>
      <c r="GJZ128" s="94"/>
      <c r="GKA128" s="94"/>
      <c r="GKB128" s="94"/>
      <c r="GKC128" s="94"/>
      <c r="GKD128" s="94"/>
      <c r="GKE128" s="94"/>
      <c r="GKF128" s="94"/>
      <c r="GKG128" s="94"/>
      <c r="GKH128" s="94"/>
      <c r="GKI128" s="94"/>
      <c r="GKJ128" s="94"/>
      <c r="GKK128" s="94"/>
      <c r="GKL128" s="94"/>
      <c r="GKM128" s="94"/>
      <c r="GKN128" s="94"/>
      <c r="GKO128" s="94"/>
      <c r="GKP128" s="94"/>
      <c r="GKQ128" s="94"/>
      <c r="GKR128" s="94"/>
      <c r="GKS128" s="94"/>
      <c r="GKT128" s="94"/>
      <c r="GKU128" s="94"/>
      <c r="GKV128" s="94"/>
      <c r="GKW128" s="94"/>
      <c r="GKX128" s="94"/>
      <c r="GKY128" s="94"/>
      <c r="GKZ128" s="94"/>
      <c r="GLA128" s="94"/>
      <c r="GLB128" s="94"/>
      <c r="GLC128" s="94"/>
      <c r="GLD128" s="94"/>
      <c r="GLE128" s="94"/>
      <c r="GLF128" s="94"/>
      <c r="GLG128" s="94"/>
      <c r="GLH128" s="94"/>
      <c r="GLI128" s="94"/>
      <c r="GLJ128" s="94"/>
      <c r="GLK128" s="94"/>
      <c r="GLL128" s="94"/>
      <c r="GLM128" s="94"/>
      <c r="GLN128" s="94"/>
      <c r="GLO128" s="94"/>
      <c r="GLP128" s="94"/>
      <c r="GLQ128" s="94"/>
      <c r="GLR128" s="94"/>
      <c r="GLS128" s="94"/>
      <c r="GLT128" s="94"/>
      <c r="GLU128" s="94"/>
      <c r="GLV128" s="94"/>
      <c r="GLW128" s="94"/>
      <c r="GLX128" s="94"/>
      <c r="GLY128" s="94"/>
      <c r="GLZ128" s="94"/>
      <c r="GMA128" s="94"/>
      <c r="GMB128" s="94"/>
      <c r="GMC128" s="94"/>
      <c r="GMD128" s="94"/>
      <c r="GME128" s="94"/>
      <c r="GMF128" s="94"/>
      <c r="GMG128" s="94"/>
      <c r="GMH128" s="94"/>
      <c r="GMI128" s="94"/>
      <c r="GMJ128" s="94"/>
      <c r="GMK128" s="94"/>
      <c r="GML128" s="94"/>
      <c r="GMM128" s="94"/>
      <c r="GMN128" s="94"/>
      <c r="GMO128" s="94"/>
      <c r="GMP128" s="94"/>
      <c r="GMQ128" s="94"/>
      <c r="GMR128" s="94"/>
      <c r="GMS128" s="94"/>
      <c r="GMT128" s="94"/>
      <c r="GMU128" s="94"/>
      <c r="GMV128" s="94"/>
      <c r="GMW128" s="94"/>
      <c r="GMX128" s="94"/>
      <c r="GMY128" s="94"/>
      <c r="GMZ128" s="94"/>
      <c r="GNA128" s="94"/>
      <c r="GNB128" s="94"/>
      <c r="GNC128" s="94"/>
      <c r="GND128" s="94"/>
      <c r="GNE128" s="94"/>
      <c r="GNF128" s="94"/>
      <c r="GNG128" s="94"/>
      <c r="GNH128" s="94"/>
      <c r="GNI128" s="94"/>
      <c r="GNJ128" s="94"/>
      <c r="GNK128" s="94"/>
      <c r="GNL128" s="94"/>
      <c r="GNM128" s="94"/>
      <c r="GNN128" s="94"/>
      <c r="GNO128" s="94"/>
      <c r="GNP128" s="94"/>
      <c r="GNQ128" s="94"/>
      <c r="GNR128" s="94"/>
      <c r="GNS128" s="94"/>
      <c r="GNT128" s="94"/>
      <c r="GNU128" s="94"/>
      <c r="GNV128" s="94"/>
      <c r="GNW128" s="94"/>
      <c r="GNX128" s="94"/>
      <c r="GNY128" s="94"/>
      <c r="GNZ128" s="94"/>
      <c r="GOA128" s="94"/>
      <c r="GOB128" s="94"/>
      <c r="GOC128" s="94"/>
      <c r="GOD128" s="94"/>
      <c r="GOE128" s="94"/>
      <c r="GOF128" s="94"/>
      <c r="GOG128" s="94"/>
      <c r="GOH128" s="94"/>
      <c r="GOI128" s="94"/>
      <c r="GOJ128" s="94"/>
      <c r="GOK128" s="94"/>
      <c r="GOL128" s="94"/>
      <c r="GOM128" s="94"/>
      <c r="GON128" s="94"/>
      <c r="GOO128" s="94"/>
      <c r="GOP128" s="94"/>
      <c r="GOQ128" s="94"/>
      <c r="GOR128" s="94"/>
      <c r="GOS128" s="94"/>
      <c r="GOT128" s="94"/>
      <c r="GOU128" s="94"/>
      <c r="GOV128" s="94"/>
      <c r="GOW128" s="94"/>
      <c r="GOX128" s="94"/>
      <c r="GOY128" s="94"/>
      <c r="GOZ128" s="94"/>
      <c r="GPA128" s="94"/>
      <c r="GPB128" s="94"/>
      <c r="GPC128" s="94"/>
      <c r="GPD128" s="94"/>
      <c r="GPE128" s="94"/>
      <c r="GPF128" s="94"/>
      <c r="GPG128" s="94"/>
      <c r="GPH128" s="94"/>
      <c r="GPI128" s="94"/>
      <c r="GPJ128" s="94"/>
      <c r="GPK128" s="94"/>
      <c r="GPL128" s="94"/>
      <c r="GPM128" s="94"/>
      <c r="GPN128" s="94"/>
      <c r="GPO128" s="94"/>
      <c r="GPP128" s="94"/>
      <c r="GPQ128" s="94"/>
      <c r="GPR128" s="94"/>
      <c r="GPS128" s="94"/>
      <c r="GPT128" s="94"/>
      <c r="GPU128" s="94"/>
      <c r="GPV128" s="94"/>
      <c r="GPW128" s="94"/>
      <c r="GPX128" s="94"/>
      <c r="GPY128" s="94"/>
      <c r="GPZ128" s="94"/>
      <c r="GQA128" s="94"/>
      <c r="GQB128" s="94"/>
      <c r="GQC128" s="94"/>
      <c r="GQD128" s="94"/>
      <c r="GQE128" s="94"/>
      <c r="GQF128" s="94"/>
      <c r="GQG128" s="94"/>
      <c r="GQH128" s="94"/>
      <c r="GQI128" s="94"/>
      <c r="GQJ128" s="94"/>
      <c r="GQK128" s="94"/>
      <c r="GQL128" s="94"/>
      <c r="GQM128" s="94"/>
      <c r="GQN128" s="94"/>
      <c r="GQO128" s="94"/>
      <c r="GQP128" s="94"/>
      <c r="GQQ128" s="94"/>
      <c r="GQR128" s="94"/>
      <c r="GQS128" s="94"/>
      <c r="GQT128" s="94"/>
      <c r="GQU128" s="94"/>
      <c r="GQV128" s="94"/>
      <c r="GQW128" s="94"/>
      <c r="GQX128" s="94"/>
      <c r="GQY128" s="94"/>
      <c r="GQZ128" s="94"/>
      <c r="GRA128" s="94"/>
      <c r="GRB128" s="94"/>
      <c r="GRC128" s="94"/>
      <c r="GRD128" s="94"/>
      <c r="GRE128" s="94"/>
      <c r="GRF128" s="94"/>
      <c r="GRG128" s="94"/>
      <c r="GRH128" s="94"/>
      <c r="GRI128" s="94"/>
      <c r="GRJ128" s="94"/>
      <c r="GRK128" s="94"/>
      <c r="GRL128" s="94"/>
      <c r="GRM128" s="94"/>
      <c r="GRN128" s="94"/>
      <c r="GRO128" s="94"/>
      <c r="GRP128" s="94"/>
      <c r="GRQ128" s="94"/>
      <c r="GRR128" s="94"/>
      <c r="GRS128" s="94"/>
      <c r="GRT128" s="94"/>
      <c r="GRU128" s="94"/>
      <c r="GRV128" s="94"/>
      <c r="GRW128" s="94"/>
      <c r="GRX128" s="94"/>
      <c r="GRY128" s="94"/>
      <c r="GRZ128" s="94"/>
      <c r="GSA128" s="94"/>
      <c r="GSB128" s="94"/>
      <c r="GSC128" s="94"/>
      <c r="GSD128" s="94"/>
      <c r="GSE128" s="94"/>
      <c r="GSF128" s="94"/>
      <c r="GSG128" s="94"/>
      <c r="GSH128" s="94"/>
      <c r="GSI128" s="94"/>
      <c r="GSJ128" s="94"/>
      <c r="GSK128" s="94"/>
      <c r="GSL128" s="94"/>
      <c r="GSM128" s="94"/>
      <c r="GSN128" s="94"/>
      <c r="GSO128" s="94"/>
      <c r="GSP128" s="94"/>
      <c r="GSQ128" s="94"/>
      <c r="GSR128" s="94"/>
      <c r="GSS128" s="94"/>
      <c r="GST128" s="94"/>
      <c r="GSU128" s="94"/>
      <c r="GSV128" s="94"/>
      <c r="GSW128" s="94"/>
      <c r="GSX128" s="94"/>
      <c r="GSY128" s="94"/>
      <c r="GSZ128" s="94"/>
      <c r="GTA128" s="94"/>
      <c r="GTB128" s="94"/>
      <c r="GTC128" s="94"/>
      <c r="GTD128" s="94"/>
      <c r="GTE128" s="94"/>
      <c r="GTF128" s="94"/>
      <c r="GTG128" s="94"/>
      <c r="GTH128" s="94"/>
      <c r="GTI128" s="94"/>
      <c r="GTJ128" s="94"/>
      <c r="GTK128" s="94"/>
      <c r="GTL128" s="94"/>
      <c r="GTM128" s="94"/>
      <c r="GTN128" s="94"/>
      <c r="GTO128" s="94"/>
      <c r="GTP128" s="94"/>
      <c r="GTQ128" s="94"/>
      <c r="GTR128" s="94"/>
      <c r="GTS128" s="94"/>
      <c r="GTT128" s="94"/>
      <c r="GTU128" s="94"/>
      <c r="GTV128" s="94"/>
      <c r="GTW128" s="94"/>
      <c r="GTX128" s="94"/>
      <c r="GTY128" s="94"/>
      <c r="GTZ128" s="94"/>
      <c r="GUA128" s="94"/>
      <c r="GUB128" s="94"/>
      <c r="GUC128" s="94"/>
      <c r="GUD128" s="94"/>
      <c r="GUE128" s="94"/>
      <c r="GUF128" s="94"/>
      <c r="GUG128" s="94"/>
      <c r="GUH128" s="94"/>
      <c r="GUI128" s="94"/>
      <c r="GUJ128" s="94"/>
      <c r="GUK128" s="94"/>
      <c r="GUL128" s="94"/>
      <c r="GUM128" s="94"/>
      <c r="GUN128" s="94"/>
      <c r="GUO128" s="94"/>
      <c r="GUP128" s="94"/>
      <c r="GUQ128" s="94"/>
      <c r="GUR128" s="94"/>
      <c r="GUS128" s="94"/>
      <c r="GUT128" s="94"/>
      <c r="GUU128" s="94"/>
      <c r="GUV128" s="94"/>
      <c r="GUW128" s="94"/>
      <c r="GUX128" s="94"/>
      <c r="GUY128" s="94"/>
      <c r="GUZ128" s="94"/>
      <c r="GVA128" s="94"/>
      <c r="GVB128" s="94"/>
      <c r="GVC128" s="94"/>
      <c r="GVD128" s="94"/>
      <c r="GVE128" s="94"/>
      <c r="GVF128" s="94"/>
      <c r="GVG128" s="94"/>
      <c r="GVH128" s="94"/>
      <c r="GVI128" s="94"/>
      <c r="GVJ128" s="94"/>
      <c r="GVK128" s="94"/>
      <c r="GVL128" s="94"/>
      <c r="GVM128" s="94"/>
      <c r="GVN128" s="94"/>
      <c r="GVO128" s="94"/>
      <c r="GVP128" s="94"/>
      <c r="GVQ128" s="94"/>
      <c r="GVR128" s="94"/>
      <c r="GVS128" s="94"/>
      <c r="GVT128" s="94"/>
      <c r="GVU128" s="94"/>
      <c r="GVV128" s="94"/>
      <c r="GVW128" s="94"/>
      <c r="GVX128" s="94"/>
      <c r="GVY128" s="94"/>
      <c r="GVZ128" s="94"/>
      <c r="GWA128" s="94"/>
      <c r="GWB128" s="94"/>
      <c r="GWC128" s="94"/>
      <c r="GWD128" s="94"/>
      <c r="GWE128" s="94"/>
      <c r="GWF128" s="94"/>
      <c r="GWG128" s="94"/>
      <c r="GWH128" s="94"/>
      <c r="GWI128" s="94"/>
      <c r="GWJ128" s="94"/>
      <c r="GWK128" s="94"/>
      <c r="GWL128" s="94"/>
      <c r="GWM128" s="94"/>
      <c r="GWN128" s="94"/>
      <c r="GWO128" s="94"/>
      <c r="GWP128" s="94"/>
      <c r="GWQ128" s="94"/>
      <c r="GWR128" s="94"/>
      <c r="GWS128" s="94"/>
      <c r="GWT128" s="94"/>
      <c r="GWU128" s="94"/>
      <c r="GWV128" s="94"/>
      <c r="GWW128" s="94"/>
      <c r="GWX128" s="94"/>
      <c r="GWY128" s="94"/>
      <c r="GWZ128" s="94"/>
      <c r="GXA128" s="94"/>
      <c r="GXB128" s="94"/>
      <c r="GXC128" s="94"/>
      <c r="GXD128" s="94"/>
      <c r="GXE128" s="94"/>
      <c r="GXF128" s="94"/>
      <c r="GXG128" s="94"/>
      <c r="GXH128" s="94"/>
      <c r="GXI128" s="94"/>
      <c r="GXJ128" s="94"/>
      <c r="GXK128" s="94"/>
      <c r="GXL128" s="94"/>
      <c r="GXM128" s="94"/>
      <c r="GXN128" s="94"/>
      <c r="GXO128" s="94"/>
      <c r="GXP128" s="94"/>
      <c r="GXQ128" s="94"/>
      <c r="GXR128" s="94"/>
      <c r="GXS128" s="94"/>
      <c r="GXT128" s="94"/>
      <c r="GXU128" s="94"/>
      <c r="GXV128" s="94"/>
      <c r="GXW128" s="94"/>
      <c r="GXX128" s="94"/>
      <c r="GXY128" s="94"/>
      <c r="GXZ128" s="94"/>
      <c r="GYA128" s="94"/>
      <c r="GYB128" s="94"/>
      <c r="GYC128" s="94"/>
      <c r="GYD128" s="94"/>
      <c r="GYE128" s="94"/>
      <c r="GYF128" s="94"/>
      <c r="GYG128" s="94"/>
      <c r="GYH128" s="94"/>
      <c r="GYI128" s="94"/>
      <c r="GYJ128" s="94"/>
      <c r="GYK128" s="94"/>
      <c r="GYL128" s="94"/>
      <c r="GYM128" s="94"/>
      <c r="GYN128" s="94"/>
      <c r="GYO128" s="94"/>
      <c r="GYP128" s="94"/>
      <c r="GYQ128" s="94"/>
      <c r="GYR128" s="94"/>
      <c r="GYS128" s="94"/>
      <c r="GYT128" s="94"/>
      <c r="GYU128" s="94"/>
      <c r="GYV128" s="94"/>
      <c r="GYW128" s="94"/>
      <c r="GYX128" s="94"/>
      <c r="GYY128" s="94"/>
      <c r="GYZ128" s="94"/>
      <c r="GZA128" s="94"/>
      <c r="GZB128" s="94"/>
      <c r="GZC128" s="94"/>
      <c r="GZD128" s="94"/>
      <c r="GZE128" s="94"/>
      <c r="GZF128" s="94"/>
      <c r="GZG128" s="94"/>
      <c r="GZH128" s="94"/>
      <c r="GZI128" s="94"/>
      <c r="GZJ128" s="94"/>
      <c r="GZK128" s="94"/>
      <c r="GZL128" s="94"/>
      <c r="GZM128" s="94"/>
      <c r="GZN128" s="94"/>
      <c r="GZO128" s="94"/>
      <c r="GZP128" s="94"/>
      <c r="GZQ128" s="94"/>
      <c r="GZR128" s="94"/>
      <c r="GZS128" s="94"/>
      <c r="GZT128" s="94"/>
      <c r="GZU128" s="94"/>
      <c r="GZV128" s="94"/>
      <c r="GZW128" s="94"/>
      <c r="GZX128" s="94"/>
      <c r="GZY128" s="94"/>
      <c r="GZZ128" s="94"/>
      <c r="HAA128" s="94"/>
      <c r="HAB128" s="94"/>
      <c r="HAC128" s="94"/>
      <c r="HAD128" s="94"/>
      <c r="HAE128" s="94"/>
      <c r="HAF128" s="94"/>
      <c r="HAG128" s="94"/>
      <c r="HAH128" s="94"/>
      <c r="HAI128" s="94"/>
      <c r="HAJ128" s="94"/>
      <c r="HAK128" s="94"/>
      <c r="HAL128" s="94"/>
      <c r="HAM128" s="94"/>
      <c r="HAN128" s="94"/>
      <c r="HAO128" s="94"/>
      <c r="HAP128" s="94"/>
      <c r="HAQ128" s="94"/>
      <c r="HAR128" s="94"/>
      <c r="HAS128" s="94"/>
      <c r="HAT128" s="94"/>
      <c r="HAU128" s="94"/>
      <c r="HAV128" s="94"/>
      <c r="HAW128" s="94"/>
      <c r="HAX128" s="94"/>
      <c r="HAY128" s="94"/>
      <c r="HAZ128" s="94"/>
      <c r="HBA128" s="94"/>
      <c r="HBB128" s="94"/>
      <c r="HBC128" s="94"/>
      <c r="HBD128" s="94"/>
      <c r="HBE128" s="94"/>
      <c r="HBF128" s="94"/>
      <c r="HBG128" s="94"/>
      <c r="HBH128" s="94"/>
      <c r="HBI128" s="94"/>
      <c r="HBJ128" s="94"/>
      <c r="HBK128" s="94"/>
      <c r="HBL128" s="94"/>
      <c r="HBM128" s="94"/>
      <c r="HBN128" s="94"/>
      <c r="HBO128" s="94"/>
      <c r="HBP128" s="94"/>
      <c r="HBQ128" s="94"/>
      <c r="HBR128" s="94"/>
      <c r="HBS128" s="94"/>
      <c r="HBT128" s="94"/>
      <c r="HBU128" s="94"/>
      <c r="HBV128" s="94"/>
      <c r="HBW128" s="94"/>
      <c r="HBX128" s="94"/>
      <c r="HBY128" s="94"/>
      <c r="HBZ128" s="94"/>
      <c r="HCA128" s="94"/>
      <c r="HCB128" s="94"/>
      <c r="HCC128" s="94"/>
      <c r="HCD128" s="94"/>
      <c r="HCE128" s="94"/>
      <c r="HCF128" s="94"/>
      <c r="HCG128" s="94"/>
      <c r="HCH128" s="94"/>
      <c r="HCI128" s="94"/>
      <c r="HCJ128" s="94"/>
      <c r="HCK128" s="94"/>
      <c r="HCL128" s="94"/>
      <c r="HCM128" s="94"/>
      <c r="HCN128" s="94"/>
      <c r="HCO128" s="94"/>
      <c r="HCP128" s="94"/>
      <c r="HCQ128" s="94"/>
      <c r="HCR128" s="94"/>
      <c r="HCS128" s="94"/>
      <c r="HCT128" s="94"/>
      <c r="HCU128" s="94"/>
      <c r="HCV128" s="94"/>
      <c r="HCW128" s="94"/>
      <c r="HCX128" s="94"/>
      <c r="HCY128" s="94"/>
      <c r="HCZ128" s="94"/>
      <c r="HDA128" s="94"/>
      <c r="HDB128" s="94"/>
      <c r="HDC128" s="94"/>
      <c r="HDD128" s="94"/>
      <c r="HDE128" s="94"/>
      <c r="HDF128" s="94"/>
      <c r="HDG128" s="94"/>
      <c r="HDH128" s="94"/>
      <c r="HDI128" s="94"/>
      <c r="HDJ128" s="94"/>
      <c r="HDK128" s="94"/>
      <c r="HDL128" s="94"/>
      <c r="HDM128" s="94"/>
      <c r="HDN128" s="94"/>
      <c r="HDO128" s="94"/>
      <c r="HDP128" s="94"/>
      <c r="HDQ128" s="94"/>
      <c r="HDR128" s="94"/>
      <c r="HDS128" s="94"/>
      <c r="HDT128" s="94"/>
      <c r="HDU128" s="94"/>
      <c r="HDV128" s="94"/>
      <c r="HDW128" s="94"/>
      <c r="HDX128" s="94"/>
      <c r="HDY128" s="94"/>
      <c r="HDZ128" s="94"/>
      <c r="HEA128" s="94"/>
      <c r="HEB128" s="94"/>
      <c r="HEC128" s="94"/>
      <c r="HED128" s="94"/>
      <c r="HEE128" s="94"/>
      <c r="HEF128" s="94"/>
      <c r="HEG128" s="94"/>
      <c r="HEH128" s="94"/>
      <c r="HEI128" s="94"/>
      <c r="HEJ128" s="94"/>
      <c r="HEK128" s="94"/>
      <c r="HEL128" s="94"/>
      <c r="HEM128" s="94"/>
      <c r="HEN128" s="94"/>
      <c r="HEO128" s="94"/>
      <c r="HEP128" s="94"/>
      <c r="HEQ128" s="94"/>
      <c r="HER128" s="94"/>
      <c r="HES128" s="94"/>
      <c r="HET128" s="94"/>
      <c r="HEU128" s="94"/>
      <c r="HEV128" s="94"/>
      <c r="HEW128" s="94"/>
      <c r="HEX128" s="94"/>
      <c r="HEY128" s="94"/>
      <c r="HEZ128" s="94"/>
      <c r="HFA128" s="94"/>
      <c r="HFB128" s="94"/>
      <c r="HFC128" s="94"/>
      <c r="HFD128" s="94"/>
      <c r="HFE128" s="94"/>
      <c r="HFF128" s="94"/>
      <c r="HFG128" s="94"/>
      <c r="HFH128" s="94"/>
      <c r="HFI128" s="94"/>
      <c r="HFJ128" s="94"/>
      <c r="HFK128" s="94"/>
      <c r="HFL128" s="94"/>
      <c r="HFM128" s="94"/>
      <c r="HFN128" s="94"/>
      <c r="HFO128" s="94"/>
      <c r="HFP128" s="94"/>
      <c r="HFQ128" s="94"/>
      <c r="HFR128" s="94"/>
      <c r="HFS128" s="94"/>
      <c r="HFT128" s="94"/>
      <c r="HFU128" s="94"/>
      <c r="HFV128" s="94"/>
      <c r="HFW128" s="94"/>
      <c r="HFX128" s="94"/>
      <c r="HFY128" s="94"/>
      <c r="HFZ128" s="94"/>
      <c r="HGA128" s="94"/>
      <c r="HGB128" s="94"/>
      <c r="HGC128" s="94"/>
      <c r="HGD128" s="94"/>
      <c r="HGE128" s="94"/>
      <c r="HGF128" s="94"/>
      <c r="HGG128" s="94"/>
      <c r="HGH128" s="94"/>
      <c r="HGI128" s="94"/>
      <c r="HGJ128" s="94"/>
      <c r="HGK128" s="94"/>
      <c r="HGL128" s="94"/>
      <c r="HGM128" s="94"/>
      <c r="HGN128" s="94"/>
      <c r="HGO128" s="94"/>
      <c r="HGP128" s="94"/>
      <c r="HGQ128" s="94"/>
      <c r="HGR128" s="94"/>
      <c r="HGS128" s="94"/>
      <c r="HGT128" s="94"/>
      <c r="HGU128" s="94"/>
      <c r="HGV128" s="94"/>
      <c r="HGW128" s="94"/>
      <c r="HGX128" s="94"/>
      <c r="HGY128" s="94"/>
      <c r="HGZ128" s="94"/>
      <c r="HHA128" s="94"/>
      <c r="HHB128" s="94"/>
      <c r="HHC128" s="94"/>
      <c r="HHD128" s="94"/>
      <c r="HHE128" s="94"/>
      <c r="HHF128" s="94"/>
      <c r="HHG128" s="94"/>
      <c r="HHH128" s="94"/>
      <c r="HHI128" s="94"/>
      <c r="HHJ128" s="94"/>
      <c r="HHK128" s="94"/>
      <c r="HHL128" s="94"/>
      <c r="HHM128" s="94"/>
      <c r="HHN128" s="94"/>
      <c r="HHO128" s="94"/>
      <c r="HHP128" s="94"/>
      <c r="HHQ128" s="94"/>
      <c r="HHR128" s="94"/>
      <c r="HHS128" s="94"/>
      <c r="HHT128" s="94"/>
      <c r="HHU128" s="94"/>
      <c r="HHV128" s="94"/>
      <c r="HHW128" s="94"/>
      <c r="HHX128" s="94"/>
      <c r="HHY128" s="94"/>
      <c r="HHZ128" s="94"/>
      <c r="HIA128" s="94"/>
      <c r="HIB128" s="94"/>
      <c r="HIC128" s="94"/>
      <c r="HID128" s="94"/>
      <c r="HIE128" s="94"/>
      <c r="HIF128" s="94"/>
      <c r="HIG128" s="94"/>
      <c r="HIH128" s="94"/>
      <c r="HII128" s="94"/>
      <c r="HIJ128" s="94"/>
      <c r="HIK128" s="94"/>
      <c r="HIL128" s="94"/>
      <c r="HIM128" s="94"/>
      <c r="HIN128" s="94"/>
      <c r="HIO128" s="94"/>
      <c r="HIP128" s="94"/>
      <c r="HIQ128" s="94"/>
      <c r="HIR128" s="94"/>
      <c r="HIS128" s="94"/>
      <c r="HIT128" s="94"/>
      <c r="HIU128" s="94"/>
      <c r="HIV128" s="94"/>
      <c r="HIW128" s="94"/>
      <c r="HIX128" s="94"/>
      <c r="HIY128" s="94"/>
      <c r="HIZ128" s="94"/>
      <c r="HJA128" s="94"/>
      <c r="HJB128" s="94"/>
      <c r="HJC128" s="94"/>
      <c r="HJD128" s="94"/>
      <c r="HJE128" s="94"/>
      <c r="HJF128" s="94"/>
      <c r="HJG128" s="94"/>
      <c r="HJH128" s="94"/>
      <c r="HJI128" s="94"/>
      <c r="HJJ128" s="94"/>
      <c r="HJK128" s="94"/>
      <c r="HJL128" s="94"/>
      <c r="HJM128" s="94"/>
      <c r="HJN128" s="94"/>
      <c r="HJO128" s="94"/>
      <c r="HJP128" s="94"/>
      <c r="HJQ128" s="94"/>
      <c r="HJR128" s="94"/>
      <c r="HJS128" s="94"/>
      <c r="HJT128" s="94"/>
      <c r="HJU128" s="94"/>
      <c r="HJV128" s="94"/>
      <c r="HJW128" s="94"/>
      <c r="HJX128" s="94"/>
      <c r="HJY128" s="94"/>
      <c r="HJZ128" s="94"/>
      <c r="HKA128" s="94"/>
      <c r="HKB128" s="94"/>
      <c r="HKC128" s="94"/>
      <c r="HKD128" s="94"/>
      <c r="HKE128" s="94"/>
      <c r="HKF128" s="94"/>
      <c r="HKG128" s="94"/>
      <c r="HKH128" s="94"/>
      <c r="HKI128" s="94"/>
      <c r="HKJ128" s="94"/>
      <c r="HKK128" s="94"/>
      <c r="HKL128" s="94"/>
      <c r="HKM128" s="94"/>
      <c r="HKN128" s="94"/>
      <c r="HKO128" s="94"/>
      <c r="HKP128" s="94"/>
      <c r="HKQ128" s="94"/>
      <c r="HKR128" s="94"/>
      <c r="HKS128" s="94"/>
      <c r="HKT128" s="94"/>
      <c r="HKU128" s="94"/>
      <c r="HKV128" s="94"/>
      <c r="HKW128" s="94"/>
      <c r="HKX128" s="94"/>
      <c r="HKY128" s="94"/>
      <c r="HKZ128" s="94"/>
      <c r="HLA128" s="94"/>
      <c r="HLB128" s="94"/>
      <c r="HLC128" s="94"/>
      <c r="HLD128" s="94"/>
      <c r="HLE128" s="94"/>
      <c r="HLF128" s="94"/>
      <c r="HLG128" s="94"/>
      <c r="HLH128" s="94"/>
      <c r="HLI128" s="94"/>
      <c r="HLJ128" s="94"/>
      <c r="HLK128" s="94"/>
      <c r="HLL128" s="94"/>
      <c r="HLM128" s="94"/>
      <c r="HLN128" s="94"/>
      <c r="HLO128" s="94"/>
      <c r="HLP128" s="94"/>
      <c r="HLQ128" s="94"/>
      <c r="HLR128" s="94"/>
      <c r="HLS128" s="94"/>
      <c r="HLT128" s="94"/>
      <c r="HLU128" s="94"/>
      <c r="HLV128" s="94"/>
      <c r="HLW128" s="94"/>
      <c r="HLX128" s="94"/>
      <c r="HLY128" s="94"/>
      <c r="HLZ128" s="94"/>
      <c r="HMA128" s="94"/>
      <c r="HMB128" s="94"/>
      <c r="HMC128" s="94"/>
      <c r="HMD128" s="94"/>
      <c r="HME128" s="94"/>
      <c r="HMF128" s="94"/>
      <c r="HMG128" s="94"/>
      <c r="HMH128" s="94"/>
      <c r="HMI128" s="94"/>
      <c r="HMJ128" s="94"/>
      <c r="HMK128" s="94"/>
      <c r="HML128" s="94"/>
      <c r="HMM128" s="94"/>
      <c r="HMN128" s="94"/>
      <c r="HMO128" s="94"/>
      <c r="HMP128" s="94"/>
      <c r="HMQ128" s="94"/>
      <c r="HMR128" s="94"/>
      <c r="HMS128" s="94"/>
      <c r="HMT128" s="94"/>
      <c r="HMU128" s="94"/>
      <c r="HMV128" s="94"/>
      <c r="HMW128" s="94"/>
      <c r="HMX128" s="94"/>
      <c r="HMY128" s="94"/>
      <c r="HMZ128" s="94"/>
      <c r="HNA128" s="94"/>
      <c r="HNB128" s="94"/>
      <c r="HNC128" s="94"/>
      <c r="HND128" s="94"/>
      <c r="HNE128" s="94"/>
      <c r="HNF128" s="94"/>
      <c r="HNG128" s="94"/>
      <c r="HNH128" s="94"/>
      <c r="HNI128" s="94"/>
      <c r="HNJ128" s="94"/>
      <c r="HNK128" s="94"/>
      <c r="HNL128" s="94"/>
      <c r="HNM128" s="94"/>
      <c r="HNN128" s="94"/>
      <c r="HNO128" s="94"/>
      <c r="HNP128" s="94"/>
      <c r="HNQ128" s="94"/>
      <c r="HNR128" s="94"/>
      <c r="HNS128" s="94"/>
      <c r="HNT128" s="94"/>
      <c r="HNU128" s="94"/>
      <c r="HNV128" s="94"/>
      <c r="HNW128" s="94"/>
      <c r="HNX128" s="94"/>
      <c r="HNY128" s="94"/>
      <c r="HNZ128" s="94"/>
      <c r="HOA128" s="94"/>
      <c r="HOB128" s="94"/>
      <c r="HOC128" s="94"/>
      <c r="HOD128" s="94"/>
      <c r="HOE128" s="94"/>
      <c r="HOF128" s="94"/>
      <c r="HOG128" s="94"/>
      <c r="HOH128" s="94"/>
      <c r="HOI128" s="94"/>
      <c r="HOJ128" s="94"/>
      <c r="HOK128" s="94"/>
      <c r="HOL128" s="94"/>
      <c r="HOM128" s="94"/>
      <c r="HON128" s="94"/>
      <c r="HOO128" s="94"/>
      <c r="HOP128" s="94"/>
      <c r="HOQ128" s="94"/>
      <c r="HOR128" s="94"/>
      <c r="HOS128" s="94"/>
      <c r="HOT128" s="94"/>
      <c r="HOU128" s="94"/>
      <c r="HOV128" s="94"/>
      <c r="HOW128" s="94"/>
      <c r="HOX128" s="94"/>
      <c r="HOY128" s="94"/>
      <c r="HOZ128" s="94"/>
      <c r="HPA128" s="94"/>
      <c r="HPB128" s="94"/>
      <c r="HPC128" s="94"/>
      <c r="HPD128" s="94"/>
      <c r="HPE128" s="94"/>
      <c r="HPF128" s="94"/>
      <c r="HPG128" s="94"/>
      <c r="HPH128" s="94"/>
      <c r="HPI128" s="94"/>
      <c r="HPJ128" s="94"/>
      <c r="HPK128" s="94"/>
      <c r="HPL128" s="94"/>
      <c r="HPM128" s="94"/>
      <c r="HPN128" s="94"/>
      <c r="HPO128" s="94"/>
      <c r="HPP128" s="94"/>
      <c r="HPQ128" s="94"/>
      <c r="HPR128" s="94"/>
      <c r="HPS128" s="94"/>
      <c r="HPT128" s="94"/>
      <c r="HPU128" s="94"/>
      <c r="HPV128" s="94"/>
      <c r="HPW128" s="94"/>
      <c r="HPX128" s="94"/>
      <c r="HPY128" s="94"/>
      <c r="HPZ128" s="94"/>
      <c r="HQA128" s="94"/>
      <c r="HQB128" s="94"/>
      <c r="HQC128" s="94"/>
      <c r="HQD128" s="94"/>
      <c r="HQE128" s="94"/>
      <c r="HQF128" s="94"/>
      <c r="HQG128" s="94"/>
      <c r="HQH128" s="94"/>
      <c r="HQI128" s="94"/>
      <c r="HQJ128" s="94"/>
      <c r="HQK128" s="94"/>
      <c r="HQL128" s="94"/>
      <c r="HQM128" s="94"/>
      <c r="HQN128" s="94"/>
      <c r="HQO128" s="94"/>
      <c r="HQP128" s="94"/>
      <c r="HQQ128" s="94"/>
      <c r="HQR128" s="94"/>
      <c r="HQS128" s="94"/>
      <c r="HQT128" s="94"/>
      <c r="HQU128" s="94"/>
      <c r="HQV128" s="94"/>
      <c r="HQW128" s="94"/>
      <c r="HQX128" s="94"/>
      <c r="HQY128" s="94"/>
      <c r="HQZ128" s="94"/>
      <c r="HRA128" s="94"/>
      <c r="HRB128" s="94"/>
      <c r="HRC128" s="94"/>
      <c r="HRD128" s="94"/>
      <c r="HRE128" s="94"/>
      <c r="HRF128" s="94"/>
      <c r="HRG128" s="94"/>
      <c r="HRH128" s="94"/>
      <c r="HRI128" s="94"/>
      <c r="HRJ128" s="94"/>
      <c r="HRK128" s="94"/>
      <c r="HRL128" s="94"/>
      <c r="HRM128" s="94"/>
      <c r="HRN128" s="94"/>
      <c r="HRO128" s="94"/>
      <c r="HRP128" s="94"/>
      <c r="HRQ128" s="94"/>
      <c r="HRR128" s="94"/>
      <c r="HRS128" s="94"/>
      <c r="HRT128" s="94"/>
      <c r="HRU128" s="94"/>
      <c r="HRV128" s="94"/>
      <c r="HRW128" s="94"/>
      <c r="HRX128" s="94"/>
      <c r="HRY128" s="94"/>
      <c r="HRZ128" s="94"/>
      <c r="HSA128" s="94"/>
      <c r="HSB128" s="94"/>
      <c r="HSC128" s="94"/>
      <c r="HSD128" s="94"/>
      <c r="HSE128" s="94"/>
      <c r="HSF128" s="94"/>
      <c r="HSG128" s="94"/>
      <c r="HSH128" s="94"/>
      <c r="HSI128" s="94"/>
      <c r="HSJ128" s="94"/>
      <c r="HSK128" s="94"/>
      <c r="HSL128" s="94"/>
      <c r="HSM128" s="94"/>
      <c r="HSN128" s="94"/>
      <c r="HSO128" s="94"/>
      <c r="HSP128" s="94"/>
      <c r="HSQ128" s="94"/>
      <c r="HSR128" s="94"/>
      <c r="HSS128" s="94"/>
      <c r="HST128" s="94"/>
      <c r="HSU128" s="94"/>
      <c r="HSV128" s="94"/>
      <c r="HSW128" s="94"/>
      <c r="HSX128" s="94"/>
      <c r="HSY128" s="94"/>
      <c r="HSZ128" s="94"/>
      <c r="HTA128" s="94"/>
      <c r="HTB128" s="94"/>
      <c r="HTC128" s="94"/>
      <c r="HTD128" s="94"/>
      <c r="HTE128" s="94"/>
      <c r="HTF128" s="94"/>
      <c r="HTG128" s="94"/>
      <c r="HTH128" s="94"/>
      <c r="HTI128" s="94"/>
      <c r="HTJ128" s="94"/>
      <c r="HTK128" s="94"/>
      <c r="HTL128" s="94"/>
      <c r="HTM128" s="94"/>
      <c r="HTN128" s="94"/>
      <c r="HTO128" s="94"/>
      <c r="HTP128" s="94"/>
      <c r="HTQ128" s="94"/>
      <c r="HTR128" s="94"/>
      <c r="HTS128" s="94"/>
      <c r="HTT128" s="94"/>
      <c r="HTU128" s="94"/>
      <c r="HTV128" s="94"/>
      <c r="HTW128" s="94"/>
      <c r="HTX128" s="94"/>
      <c r="HTY128" s="94"/>
      <c r="HTZ128" s="94"/>
      <c r="HUA128" s="94"/>
      <c r="HUB128" s="94"/>
      <c r="HUC128" s="94"/>
      <c r="HUD128" s="94"/>
      <c r="HUE128" s="94"/>
      <c r="HUF128" s="94"/>
      <c r="HUG128" s="94"/>
      <c r="HUH128" s="94"/>
      <c r="HUI128" s="94"/>
      <c r="HUJ128" s="94"/>
      <c r="HUK128" s="94"/>
      <c r="HUL128" s="94"/>
      <c r="HUM128" s="94"/>
      <c r="HUN128" s="94"/>
      <c r="HUO128" s="94"/>
      <c r="HUP128" s="94"/>
      <c r="HUQ128" s="94"/>
      <c r="HUR128" s="94"/>
      <c r="HUS128" s="94"/>
      <c r="HUT128" s="94"/>
      <c r="HUU128" s="94"/>
      <c r="HUV128" s="94"/>
      <c r="HUW128" s="94"/>
      <c r="HUX128" s="94"/>
      <c r="HUY128" s="94"/>
      <c r="HUZ128" s="94"/>
      <c r="HVA128" s="94"/>
      <c r="HVB128" s="94"/>
      <c r="HVC128" s="94"/>
      <c r="HVD128" s="94"/>
      <c r="HVE128" s="94"/>
      <c r="HVF128" s="94"/>
      <c r="HVG128" s="94"/>
      <c r="HVH128" s="94"/>
      <c r="HVI128" s="94"/>
      <c r="HVJ128" s="94"/>
      <c r="HVK128" s="94"/>
      <c r="HVL128" s="94"/>
      <c r="HVM128" s="94"/>
      <c r="HVN128" s="94"/>
      <c r="HVO128" s="94"/>
      <c r="HVP128" s="94"/>
      <c r="HVQ128" s="94"/>
      <c r="HVR128" s="94"/>
      <c r="HVS128" s="94"/>
      <c r="HVT128" s="94"/>
      <c r="HVU128" s="94"/>
      <c r="HVV128" s="94"/>
      <c r="HVW128" s="94"/>
      <c r="HVX128" s="94"/>
      <c r="HVY128" s="94"/>
      <c r="HVZ128" s="94"/>
      <c r="HWA128" s="94"/>
      <c r="HWB128" s="94"/>
      <c r="HWC128" s="94"/>
      <c r="HWD128" s="94"/>
      <c r="HWE128" s="94"/>
      <c r="HWF128" s="94"/>
      <c r="HWG128" s="94"/>
      <c r="HWH128" s="94"/>
      <c r="HWI128" s="94"/>
      <c r="HWJ128" s="94"/>
      <c r="HWK128" s="94"/>
      <c r="HWL128" s="94"/>
      <c r="HWM128" s="94"/>
      <c r="HWN128" s="94"/>
      <c r="HWO128" s="94"/>
      <c r="HWP128" s="94"/>
      <c r="HWQ128" s="94"/>
      <c r="HWR128" s="94"/>
      <c r="HWS128" s="94"/>
      <c r="HWT128" s="94"/>
      <c r="HWU128" s="94"/>
      <c r="HWV128" s="94"/>
      <c r="HWW128" s="94"/>
      <c r="HWX128" s="94"/>
      <c r="HWY128" s="94"/>
      <c r="HWZ128" s="94"/>
      <c r="HXA128" s="94"/>
      <c r="HXB128" s="94"/>
      <c r="HXC128" s="94"/>
      <c r="HXD128" s="94"/>
      <c r="HXE128" s="94"/>
      <c r="HXF128" s="94"/>
      <c r="HXG128" s="94"/>
      <c r="HXH128" s="94"/>
      <c r="HXI128" s="94"/>
      <c r="HXJ128" s="94"/>
      <c r="HXK128" s="94"/>
      <c r="HXL128" s="94"/>
      <c r="HXM128" s="94"/>
      <c r="HXN128" s="94"/>
      <c r="HXO128" s="94"/>
      <c r="HXP128" s="94"/>
      <c r="HXQ128" s="94"/>
      <c r="HXR128" s="94"/>
      <c r="HXS128" s="94"/>
      <c r="HXT128" s="94"/>
      <c r="HXU128" s="94"/>
      <c r="HXV128" s="94"/>
      <c r="HXW128" s="94"/>
      <c r="HXX128" s="94"/>
      <c r="HXY128" s="94"/>
      <c r="HXZ128" s="94"/>
      <c r="HYA128" s="94"/>
      <c r="HYB128" s="94"/>
      <c r="HYC128" s="94"/>
      <c r="HYD128" s="94"/>
      <c r="HYE128" s="94"/>
      <c r="HYF128" s="94"/>
      <c r="HYG128" s="94"/>
      <c r="HYH128" s="94"/>
      <c r="HYI128" s="94"/>
      <c r="HYJ128" s="94"/>
      <c r="HYK128" s="94"/>
      <c r="HYL128" s="94"/>
      <c r="HYM128" s="94"/>
      <c r="HYN128" s="94"/>
      <c r="HYO128" s="94"/>
      <c r="HYP128" s="94"/>
      <c r="HYQ128" s="94"/>
      <c r="HYR128" s="94"/>
      <c r="HYS128" s="94"/>
      <c r="HYT128" s="94"/>
      <c r="HYU128" s="94"/>
      <c r="HYV128" s="94"/>
      <c r="HYW128" s="94"/>
      <c r="HYX128" s="94"/>
      <c r="HYY128" s="94"/>
      <c r="HYZ128" s="94"/>
      <c r="HZA128" s="94"/>
      <c r="HZB128" s="94"/>
      <c r="HZC128" s="94"/>
      <c r="HZD128" s="94"/>
      <c r="HZE128" s="94"/>
      <c r="HZF128" s="94"/>
      <c r="HZG128" s="94"/>
      <c r="HZH128" s="94"/>
      <c r="HZI128" s="94"/>
      <c r="HZJ128" s="94"/>
      <c r="HZK128" s="94"/>
      <c r="HZL128" s="94"/>
      <c r="HZM128" s="94"/>
      <c r="HZN128" s="94"/>
      <c r="HZO128" s="94"/>
      <c r="HZP128" s="94"/>
      <c r="HZQ128" s="94"/>
      <c r="HZR128" s="94"/>
      <c r="HZS128" s="94"/>
      <c r="HZT128" s="94"/>
      <c r="HZU128" s="94"/>
      <c r="HZV128" s="94"/>
      <c r="HZW128" s="94"/>
      <c r="HZX128" s="94"/>
      <c r="HZY128" s="94"/>
      <c r="HZZ128" s="94"/>
      <c r="IAA128" s="94"/>
      <c r="IAB128" s="94"/>
      <c r="IAC128" s="94"/>
      <c r="IAD128" s="94"/>
      <c r="IAE128" s="94"/>
      <c r="IAF128" s="94"/>
      <c r="IAG128" s="94"/>
      <c r="IAH128" s="94"/>
      <c r="IAI128" s="94"/>
      <c r="IAJ128" s="94"/>
      <c r="IAK128" s="94"/>
      <c r="IAL128" s="94"/>
      <c r="IAM128" s="94"/>
      <c r="IAN128" s="94"/>
      <c r="IAO128" s="94"/>
      <c r="IAP128" s="94"/>
      <c r="IAQ128" s="94"/>
      <c r="IAR128" s="94"/>
      <c r="IAS128" s="94"/>
      <c r="IAT128" s="94"/>
      <c r="IAU128" s="94"/>
      <c r="IAV128" s="94"/>
      <c r="IAW128" s="94"/>
      <c r="IAX128" s="94"/>
      <c r="IAY128" s="94"/>
      <c r="IAZ128" s="94"/>
      <c r="IBA128" s="94"/>
      <c r="IBB128" s="94"/>
      <c r="IBC128" s="94"/>
      <c r="IBD128" s="94"/>
      <c r="IBE128" s="94"/>
      <c r="IBF128" s="94"/>
      <c r="IBG128" s="94"/>
      <c r="IBH128" s="94"/>
      <c r="IBI128" s="94"/>
      <c r="IBJ128" s="94"/>
      <c r="IBK128" s="94"/>
      <c r="IBL128" s="94"/>
      <c r="IBM128" s="94"/>
      <c r="IBN128" s="94"/>
      <c r="IBO128" s="94"/>
      <c r="IBP128" s="94"/>
      <c r="IBQ128" s="94"/>
      <c r="IBR128" s="94"/>
      <c r="IBS128" s="94"/>
      <c r="IBT128" s="94"/>
      <c r="IBU128" s="94"/>
      <c r="IBV128" s="94"/>
      <c r="IBW128" s="94"/>
      <c r="IBX128" s="94"/>
      <c r="IBY128" s="94"/>
      <c r="IBZ128" s="94"/>
      <c r="ICA128" s="94"/>
      <c r="ICB128" s="94"/>
      <c r="ICC128" s="94"/>
      <c r="ICD128" s="94"/>
      <c r="ICE128" s="94"/>
      <c r="ICF128" s="94"/>
      <c r="ICG128" s="94"/>
      <c r="ICH128" s="94"/>
      <c r="ICI128" s="94"/>
      <c r="ICJ128" s="94"/>
      <c r="ICK128" s="94"/>
      <c r="ICL128" s="94"/>
      <c r="ICM128" s="94"/>
      <c r="ICN128" s="94"/>
      <c r="ICO128" s="94"/>
      <c r="ICP128" s="94"/>
      <c r="ICQ128" s="94"/>
      <c r="ICR128" s="94"/>
      <c r="ICS128" s="94"/>
      <c r="ICT128" s="94"/>
      <c r="ICU128" s="94"/>
      <c r="ICV128" s="94"/>
      <c r="ICW128" s="94"/>
      <c r="ICX128" s="94"/>
      <c r="ICY128" s="94"/>
      <c r="ICZ128" s="94"/>
      <c r="IDA128" s="94"/>
      <c r="IDB128" s="94"/>
      <c r="IDC128" s="94"/>
      <c r="IDD128" s="94"/>
      <c r="IDE128" s="94"/>
      <c r="IDF128" s="94"/>
      <c r="IDG128" s="94"/>
      <c r="IDH128" s="94"/>
      <c r="IDI128" s="94"/>
      <c r="IDJ128" s="94"/>
      <c r="IDK128" s="94"/>
      <c r="IDL128" s="94"/>
      <c r="IDM128" s="94"/>
      <c r="IDN128" s="94"/>
      <c r="IDO128" s="94"/>
      <c r="IDP128" s="94"/>
      <c r="IDQ128" s="94"/>
      <c r="IDR128" s="94"/>
      <c r="IDS128" s="94"/>
      <c r="IDT128" s="94"/>
      <c r="IDU128" s="94"/>
      <c r="IDV128" s="94"/>
      <c r="IDW128" s="94"/>
      <c r="IDX128" s="94"/>
      <c r="IDY128" s="94"/>
      <c r="IDZ128" s="94"/>
      <c r="IEA128" s="94"/>
      <c r="IEB128" s="94"/>
      <c r="IEC128" s="94"/>
      <c r="IED128" s="94"/>
      <c r="IEE128" s="94"/>
      <c r="IEF128" s="94"/>
      <c r="IEG128" s="94"/>
      <c r="IEH128" s="94"/>
      <c r="IEI128" s="94"/>
      <c r="IEJ128" s="94"/>
      <c r="IEK128" s="94"/>
      <c r="IEL128" s="94"/>
      <c r="IEM128" s="94"/>
      <c r="IEN128" s="94"/>
      <c r="IEO128" s="94"/>
      <c r="IEP128" s="94"/>
      <c r="IEQ128" s="94"/>
      <c r="IER128" s="94"/>
      <c r="IES128" s="94"/>
      <c r="IET128" s="94"/>
      <c r="IEU128" s="94"/>
      <c r="IEV128" s="94"/>
      <c r="IEW128" s="94"/>
      <c r="IEX128" s="94"/>
      <c r="IEY128" s="94"/>
      <c r="IEZ128" s="94"/>
      <c r="IFA128" s="94"/>
      <c r="IFB128" s="94"/>
      <c r="IFC128" s="94"/>
      <c r="IFD128" s="94"/>
      <c r="IFE128" s="94"/>
      <c r="IFF128" s="94"/>
      <c r="IFG128" s="94"/>
      <c r="IFH128" s="94"/>
      <c r="IFI128" s="94"/>
      <c r="IFJ128" s="94"/>
      <c r="IFK128" s="94"/>
      <c r="IFL128" s="94"/>
      <c r="IFM128" s="94"/>
      <c r="IFN128" s="94"/>
      <c r="IFO128" s="94"/>
      <c r="IFP128" s="94"/>
      <c r="IFQ128" s="94"/>
      <c r="IFR128" s="94"/>
      <c r="IFS128" s="94"/>
      <c r="IFT128" s="94"/>
      <c r="IFU128" s="94"/>
      <c r="IFV128" s="94"/>
      <c r="IFW128" s="94"/>
      <c r="IFX128" s="94"/>
      <c r="IFY128" s="94"/>
      <c r="IFZ128" s="94"/>
      <c r="IGA128" s="94"/>
      <c r="IGB128" s="94"/>
      <c r="IGC128" s="94"/>
      <c r="IGD128" s="94"/>
      <c r="IGE128" s="94"/>
      <c r="IGF128" s="94"/>
      <c r="IGG128" s="94"/>
      <c r="IGH128" s="94"/>
      <c r="IGI128" s="94"/>
      <c r="IGJ128" s="94"/>
      <c r="IGK128" s="94"/>
      <c r="IGL128" s="94"/>
      <c r="IGM128" s="94"/>
      <c r="IGN128" s="94"/>
      <c r="IGO128" s="94"/>
      <c r="IGP128" s="94"/>
      <c r="IGQ128" s="94"/>
      <c r="IGR128" s="94"/>
      <c r="IGS128" s="94"/>
      <c r="IGT128" s="94"/>
      <c r="IGU128" s="94"/>
      <c r="IGV128" s="94"/>
      <c r="IGW128" s="94"/>
      <c r="IGX128" s="94"/>
      <c r="IGY128" s="94"/>
      <c r="IGZ128" s="94"/>
      <c r="IHA128" s="94"/>
      <c r="IHB128" s="94"/>
      <c r="IHC128" s="94"/>
      <c r="IHD128" s="94"/>
      <c r="IHE128" s="94"/>
      <c r="IHF128" s="94"/>
      <c r="IHG128" s="94"/>
      <c r="IHH128" s="94"/>
      <c r="IHI128" s="94"/>
      <c r="IHJ128" s="94"/>
      <c r="IHK128" s="94"/>
      <c r="IHL128" s="94"/>
      <c r="IHM128" s="94"/>
      <c r="IHN128" s="94"/>
      <c r="IHO128" s="94"/>
      <c r="IHP128" s="94"/>
      <c r="IHQ128" s="94"/>
      <c r="IHR128" s="94"/>
      <c r="IHS128" s="94"/>
      <c r="IHT128" s="94"/>
      <c r="IHU128" s="94"/>
      <c r="IHV128" s="94"/>
      <c r="IHW128" s="94"/>
      <c r="IHX128" s="94"/>
      <c r="IHY128" s="94"/>
      <c r="IHZ128" s="94"/>
      <c r="IIA128" s="94"/>
      <c r="IIB128" s="94"/>
      <c r="IIC128" s="94"/>
      <c r="IID128" s="94"/>
      <c r="IIE128" s="94"/>
      <c r="IIF128" s="94"/>
      <c r="IIG128" s="94"/>
      <c r="IIH128" s="94"/>
      <c r="III128" s="94"/>
      <c r="IIJ128" s="94"/>
      <c r="IIK128" s="94"/>
      <c r="IIL128" s="94"/>
      <c r="IIM128" s="94"/>
      <c r="IIN128" s="94"/>
      <c r="IIO128" s="94"/>
      <c r="IIP128" s="94"/>
      <c r="IIQ128" s="94"/>
      <c r="IIR128" s="94"/>
      <c r="IIS128" s="94"/>
      <c r="IIT128" s="94"/>
      <c r="IIU128" s="94"/>
      <c r="IIV128" s="94"/>
      <c r="IIW128" s="94"/>
      <c r="IIX128" s="94"/>
      <c r="IIY128" s="94"/>
      <c r="IIZ128" s="94"/>
      <c r="IJA128" s="94"/>
      <c r="IJB128" s="94"/>
      <c r="IJC128" s="94"/>
      <c r="IJD128" s="94"/>
      <c r="IJE128" s="94"/>
      <c r="IJF128" s="94"/>
      <c r="IJG128" s="94"/>
      <c r="IJH128" s="94"/>
      <c r="IJI128" s="94"/>
      <c r="IJJ128" s="94"/>
      <c r="IJK128" s="94"/>
      <c r="IJL128" s="94"/>
      <c r="IJM128" s="94"/>
      <c r="IJN128" s="94"/>
      <c r="IJO128" s="94"/>
      <c r="IJP128" s="94"/>
      <c r="IJQ128" s="94"/>
      <c r="IJR128" s="94"/>
      <c r="IJS128" s="94"/>
      <c r="IJT128" s="94"/>
      <c r="IJU128" s="94"/>
      <c r="IJV128" s="94"/>
      <c r="IJW128" s="94"/>
      <c r="IJX128" s="94"/>
      <c r="IJY128" s="94"/>
      <c r="IJZ128" s="94"/>
      <c r="IKA128" s="94"/>
      <c r="IKB128" s="94"/>
      <c r="IKC128" s="94"/>
      <c r="IKD128" s="94"/>
      <c r="IKE128" s="94"/>
      <c r="IKF128" s="94"/>
      <c r="IKG128" s="94"/>
      <c r="IKH128" s="94"/>
      <c r="IKI128" s="94"/>
      <c r="IKJ128" s="94"/>
      <c r="IKK128" s="94"/>
      <c r="IKL128" s="94"/>
      <c r="IKM128" s="94"/>
      <c r="IKN128" s="94"/>
      <c r="IKO128" s="94"/>
      <c r="IKP128" s="94"/>
      <c r="IKQ128" s="94"/>
      <c r="IKR128" s="94"/>
      <c r="IKS128" s="94"/>
      <c r="IKT128" s="94"/>
      <c r="IKU128" s="94"/>
      <c r="IKV128" s="94"/>
      <c r="IKW128" s="94"/>
      <c r="IKX128" s="94"/>
      <c r="IKY128" s="94"/>
      <c r="IKZ128" s="94"/>
      <c r="ILA128" s="94"/>
      <c r="ILB128" s="94"/>
      <c r="ILC128" s="94"/>
      <c r="ILD128" s="94"/>
      <c r="ILE128" s="94"/>
      <c r="ILF128" s="94"/>
      <c r="ILG128" s="94"/>
      <c r="ILH128" s="94"/>
      <c r="ILI128" s="94"/>
      <c r="ILJ128" s="94"/>
      <c r="ILK128" s="94"/>
      <c r="ILL128" s="94"/>
      <c r="ILM128" s="94"/>
      <c r="ILN128" s="94"/>
      <c r="ILO128" s="94"/>
      <c r="ILP128" s="94"/>
      <c r="ILQ128" s="94"/>
      <c r="ILR128" s="94"/>
      <c r="ILS128" s="94"/>
      <c r="ILT128" s="94"/>
      <c r="ILU128" s="94"/>
      <c r="ILV128" s="94"/>
      <c r="ILW128" s="94"/>
      <c r="ILX128" s="94"/>
      <c r="ILY128" s="94"/>
      <c r="ILZ128" s="94"/>
      <c r="IMA128" s="94"/>
      <c r="IMB128" s="94"/>
      <c r="IMC128" s="94"/>
      <c r="IMD128" s="94"/>
      <c r="IME128" s="94"/>
      <c r="IMF128" s="94"/>
      <c r="IMG128" s="94"/>
      <c r="IMH128" s="94"/>
      <c r="IMI128" s="94"/>
      <c r="IMJ128" s="94"/>
      <c r="IMK128" s="94"/>
      <c r="IML128" s="94"/>
      <c r="IMM128" s="94"/>
      <c r="IMN128" s="94"/>
      <c r="IMO128" s="94"/>
      <c r="IMP128" s="94"/>
      <c r="IMQ128" s="94"/>
      <c r="IMR128" s="94"/>
      <c r="IMS128" s="94"/>
      <c r="IMT128" s="94"/>
      <c r="IMU128" s="94"/>
      <c r="IMV128" s="94"/>
      <c r="IMW128" s="94"/>
      <c r="IMX128" s="94"/>
      <c r="IMY128" s="94"/>
      <c r="IMZ128" s="94"/>
      <c r="INA128" s="94"/>
      <c r="INB128" s="94"/>
      <c r="INC128" s="94"/>
      <c r="IND128" s="94"/>
      <c r="INE128" s="94"/>
      <c r="INF128" s="94"/>
      <c r="ING128" s="94"/>
      <c r="INH128" s="94"/>
      <c r="INI128" s="94"/>
      <c r="INJ128" s="94"/>
      <c r="INK128" s="94"/>
      <c r="INL128" s="94"/>
      <c r="INM128" s="94"/>
      <c r="INN128" s="94"/>
      <c r="INO128" s="94"/>
      <c r="INP128" s="94"/>
      <c r="INQ128" s="94"/>
      <c r="INR128" s="94"/>
      <c r="INS128" s="94"/>
      <c r="INT128" s="94"/>
      <c r="INU128" s="94"/>
      <c r="INV128" s="94"/>
      <c r="INW128" s="94"/>
      <c r="INX128" s="94"/>
      <c r="INY128" s="94"/>
      <c r="INZ128" s="94"/>
      <c r="IOA128" s="94"/>
      <c r="IOB128" s="94"/>
      <c r="IOC128" s="94"/>
      <c r="IOD128" s="94"/>
      <c r="IOE128" s="94"/>
      <c r="IOF128" s="94"/>
      <c r="IOG128" s="94"/>
      <c r="IOH128" s="94"/>
      <c r="IOI128" s="94"/>
      <c r="IOJ128" s="94"/>
      <c r="IOK128" s="94"/>
      <c r="IOL128" s="94"/>
      <c r="IOM128" s="94"/>
      <c r="ION128" s="94"/>
      <c r="IOO128" s="94"/>
      <c r="IOP128" s="94"/>
      <c r="IOQ128" s="94"/>
      <c r="IOR128" s="94"/>
      <c r="IOS128" s="94"/>
      <c r="IOT128" s="94"/>
      <c r="IOU128" s="94"/>
      <c r="IOV128" s="94"/>
      <c r="IOW128" s="94"/>
      <c r="IOX128" s="94"/>
      <c r="IOY128" s="94"/>
      <c r="IOZ128" s="94"/>
      <c r="IPA128" s="94"/>
      <c r="IPB128" s="94"/>
      <c r="IPC128" s="94"/>
      <c r="IPD128" s="94"/>
      <c r="IPE128" s="94"/>
      <c r="IPF128" s="94"/>
      <c r="IPG128" s="94"/>
      <c r="IPH128" s="94"/>
      <c r="IPI128" s="94"/>
      <c r="IPJ128" s="94"/>
      <c r="IPK128" s="94"/>
      <c r="IPL128" s="94"/>
      <c r="IPM128" s="94"/>
      <c r="IPN128" s="94"/>
      <c r="IPO128" s="94"/>
      <c r="IPP128" s="94"/>
      <c r="IPQ128" s="94"/>
      <c r="IPR128" s="94"/>
      <c r="IPS128" s="94"/>
      <c r="IPT128" s="94"/>
      <c r="IPU128" s="94"/>
      <c r="IPV128" s="94"/>
      <c r="IPW128" s="94"/>
      <c r="IPX128" s="94"/>
      <c r="IPY128" s="94"/>
      <c r="IPZ128" s="94"/>
      <c r="IQA128" s="94"/>
      <c r="IQB128" s="94"/>
      <c r="IQC128" s="94"/>
      <c r="IQD128" s="94"/>
      <c r="IQE128" s="94"/>
      <c r="IQF128" s="94"/>
      <c r="IQG128" s="94"/>
      <c r="IQH128" s="94"/>
      <c r="IQI128" s="94"/>
      <c r="IQJ128" s="94"/>
      <c r="IQK128" s="94"/>
      <c r="IQL128" s="94"/>
      <c r="IQM128" s="94"/>
      <c r="IQN128" s="94"/>
      <c r="IQO128" s="94"/>
      <c r="IQP128" s="94"/>
      <c r="IQQ128" s="94"/>
      <c r="IQR128" s="94"/>
      <c r="IQS128" s="94"/>
      <c r="IQT128" s="94"/>
      <c r="IQU128" s="94"/>
      <c r="IQV128" s="94"/>
      <c r="IQW128" s="94"/>
      <c r="IQX128" s="94"/>
      <c r="IQY128" s="94"/>
      <c r="IQZ128" s="94"/>
      <c r="IRA128" s="94"/>
      <c r="IRB128" s="94"/>
      <c r="IRC128" s="94"/>
      <c r="IRD128" s="94"/>
      <c r="IRE128" s="94"/>
      <c r="IRF128" s="94"/>
      <c r="IRG128" s="94"/>
      <c r="IRH128" s="94"/>
      <c r="IRI128" s="94"/>
      <c r="IRJ128" s="94"/>
      <c r="IRK128" s="94"/>
      <c r="IRL128" s="94"/>
      <c r="IRM128" s="94"/>
      <c r="IRN128" s="94"/>
      <c r="IRO128" s="94"/>
      <c r="IRP128" s="94"/>
      <c r="IRQ128" s="94"/>
      <c r="IRR128" s="94"/>
      <c r="IRS128" s="94"/>
      <c r="IRT128" s="94"/>
      <c r="IRU128" s="94"/>
      <c r="IRV128" s="94"/>
      <c r="IRW128" s="94"/>
      <c r="IRX128" s="94"/>
      <c r="IRY128" s="94"/>
      <c r="IRZ128" s="94"/>
      <c r="ISA128" s="94"/>
      <c r="ISB128" s="94"/>
      <c r="ISC128" s="94"/>
      <c r="ISD128" s="94"/>
      <c r="ISE128" s="94"/>
      <c r="ISF128" s="94"/>
      <c r="ISG128" s="94"/>
      <c r="ISH128" s="94"/>
      <c r="ISI128" s="94"/>
      <c r="ISJ128" s="94"/>
      <c r="ISK128" s="94"/>
      <c r="ISL128" s="94"/>
      <c r="ISM128" s="94"/>
      <c r="ISN128" s="94"/>
      <c r="ISO128" s="94"/>
      <c r="ISP128" s="94"/>
      <c r="ISQ128" s="94"/>
      <c r="ISR128" s="94"/>
      <c r="ISS128" s="94"/>
      <c r="IST128" s="94"/>
      <c r="ISU128" s="94"/>
      <c r="ISV128" s="94"/>
      <c r="ISW128" s="94"/>
      <c r="ISX128" s="94"/>
      <c r="ISY128" s="94"/>
      <c r="ISZ128" s="94"/>
      <c r="ITA128" s="94"/>
      <c r="ITB128" s="94"/>
      <c r="ITC128" s="94"/>
      <c r="ITD128" s="94"/>
      <c r="ITE128" s="94"/>
      <c r="ITF128" s="94"/>
      <c r="ITG128" s="94"/>
      <c r="ITH128" s="94"/>
      <c r="ITI128" s="94"/>
      <c r="ITJ128" s="94"/>
      <c r="ITK128" s="94"/>
      <c r="ITL128" s="94"/>
      <c r="ITM128" s="94"/>
      <c r="ITN128" s="94"/>
      <c r="ITO128" s="94"/>
      <c r="ITP128" s="94"/>
      <c r="ITQ128" s="94"/>
      <c r="ITR128" s="94"/>
      <c r="ITS128" s="94"/>
      <c r="ITT128" s="94"/>
      <c r="ITU128" s="94"/>
      <c r="ITV128" s="94"/>
      <c r="ITW128" s="94"/>
      <c r="ITX128" s="94"/>
      <c r="ITY128" s="94"/>
      <c r="ITZ128" s="94"/>
      <c r="IUA128" s="94"/>
      <c r="IUB128" s="94"/>
      <c r="IUC128" s="94"/>
      <c r="IUD128" s="94"/>
      <c r="IUE128" s="94"/>
      <c r="IUF128" s="94"/>
      <c r="IUG128" s="94"/>
      <c r="IUH128" s="94"/>
      <c r="IUI128" s="94"/>
      <c r="IUJ128" s="94"/>
      <c r="IUK128" s="94"/>
      <c r="IUL128" s="94"/>
      <c r="IUM128" s="94"/>
      <c r="IUN128" s="94"/>
      <c r="IUO128" s="94"/>
      <c r="IUP128" s="94"/>
      <c r="IUQ128" s="94"/>
      <c r="IUR128" s="94"/>
      <c r="IUS128" s="94"/>
      <c r="IUT128" s="94"/>
      <c r="IUU128" s="94"/>
      <c r="IUV128" s="94"/>
      <c r="IUW128" s="94"/>
      <c r="IUX128" s="94"/>
      <c r="IUY128" s="94"/>
      <c r="IUZ128" s="94"/>
      <c r="IVA128" s="94"/>
      <c r="IVB128" s="94"/>
      <c r="IVC128" s="94"/>
      <c r="IVD128" s="94"/>
      <c r="IVE128" s="94"/>
      <c r="IVF128" s="94"/>
      <c r="IVG128" s="94"/>
      <c r="IVH128" s="94"/>
      <c r="IVI128" s="94"/>
      <c r="IVJ128" s="94"/>
      <c r="IVK128" s="94"/>
      <c r="IVL128" s="94"/>
      <c r="IVM128" s="94"/>
      <c r="IVN128" s="94"/>
      <c r="IVO128" s="94"/>
      <c r="IVP128" s="94"/>
      <c r="IVQ128" s="94"/>
      <c r="IVR128" s="94"/>
      <c r="IVS128" s="94"/>
      <c r="IVT128" s="94"/>
      <c r="IVU128" s="94"/>
      <c r="IVV128" s="94"/>
      <c r="IVW128" s="94"/>
      <c r="IVX128" s="94"/>
      <c r="IVY128" s="94"/>
      <c r="IVZ128" s="94"/>
      <c r="IWA128" s="94"/>
      <c r="IWB128" s="94"/>
      <c r="IWC128" s="94"/>
      <c r="IWD128" s="94"/>
      <c r="IWE128" s="94"/>
      <c r="IWF128" s="94"/>
      <c r="IWG128" s="94"/>
      <c r="IWH128" s="94"/>
      <c r="IWI128" s="94"/>
      <c r="IWJ128" s="94"/>
      <c r="IWK128" s="94"/>
      <c r="IWL128" s="94"/>
      <c r="IWM128" s="94"/>
      <c r="IWN128" s="94"/>
      <c r="IWO128" s="94"/>
      <c r="IWP128" s="94"/>
      <c r="IWQ128" s="94"/>
      <c r="IWR128" s="94"/>
      <c r="IWS128" s="94"/>
      <c r="IWT128" s="94"/>
      <c r="IWU128" s="94"/>
      <c r="IWV128" s="94"/>
      <c r="IWW128" s="94"/>
      <c r="IWX128" s="94"/>
      <c r="IWY128" s="94"/>
      <c r="IWZ128" s="94"/>
      <c r="IXA128" s="94"/>
      <c r="IXB128" s="94"/>
      <c r="IXC128" s="94"/>
      <c r="IXD128" s="94"/>
      <c r="IXE128" s="94"/>
      <c r="IXF128" s="94"/>
      <c r="IXG128" s="94"/>
      <c r="IXH128" s="94"/>
      <c r="IXI128" s="94"/>
      <c r="IXJ128" s="94"/>
      <c r="IXK128" s="94"/>
      <c r="IXL128" s="94"/>
      <c r="IXM128" s="94"/>
      <c r="IXN128" s="94"/>
      <c r="IXO128" s="94"/>
      <c r="IXP128" s="94"/>
      <c r="IXQ128" s="94"/>
      <c r="IXR128" s="94"/>
      <c r="IXS128" s="94"/>
      <c r="IXT128" s="94"/>
      <c r="IXU128" s="94"/>
      <c r="IXV128" s="94"/>
      <c r="IXW128" s="94"/>
      <c r="IXX128" s="94"/>
      <c r="IXY128" s="94"/>
      <c r="IXZ128" s="94"/>
      <c r="IYA128" s="94"/>
      <c r="IYB128" s="94"/>
      <c r="IYC128" s="94"/>
      <c r="IYD128" s="94"/>
      <c r="IYE128" s="94"/>
      <c r="IYF128" s="94"/>
      <c r="IYG128" s="94"/>
      <c r="IYH128" s="94"/>
      <c r="IYI128" s="94"/>
      <c r="IYJ128" s="94"/>
      <c r="IYK128" s="94"/>
      <c r="IYL128" s="94"/>
      <c r="IYM128" s="94"/>
      <c r="IYN128" s="94"/>
      <c r="IYO128" s="94"/>
      <c r="IYP128" s="94"/>
      <c r="IYQ128" s="94"/>
      <c r="IYR128" s="94"/>
      <c r="IYS128" s="94"/>
      <c r="IYT128" s="94"/>
      <c r="IYU128" s="94"/>
      <c r="IYV128" s="94"/>
      <c r="IYW128" s="94"/>
      <c r="IYX128" s="94"/>
      <c r="IYY128" s="94"/>
      <c r="IYZ128" s="94"/>
      <c r="IZA128" s="94"/>
      <c r="IZB128" s="94"/>
      <c r="IZC128" s="94"/>
      <c r="IZD128" s="94"/>
      <c r="IZE128" s="94"/>
      <c r="IZF128" s="94"/>
      <c r="IZG128" s="94"/>
      <c r="IZH128" s="94"/>
      <c r="IZI128" s="94"/>
      <c r="IZJ128" s="94"/>
      <c r="IZK128" s="94"/>
      <c r="IZL128" s="94"/>
      <c r="IZM128" s="94"/>
      <c r="IZN128" s="94"/>
      <c r="IZO128" s="94"/>
      <c r="IZP128" s="94"/>
      <c r="IZQ128" s="94"/>
      <c r="IZR128" s="94"/>
      <c r="IZS128" s="94"/>
      <c r="IZT128" s="94"/>
      <c r="IZU128" s="94"/>
      <c r="IZV128" s="94"/>
      <c r="IZW128" s="94"/>
      <c r="IZX128" s="94"/>
      <c r="IZY128" s="94"/>
      <c r="IZZ128" s="94"/>
      <c r="JAA128" s="94"/>
      <c r="JAB128" s="94"/>
      <c r="JAC128" s="94"/>
      <c r="JAD128" s="94"/>
      <c r="JAE128" s="94"/>
      <c r="JAF128" s="94"/>
      <c r="JAG128" s="94"/>
      <c r="JAH128" s="94"/>
      <c r="JAI128" s="94"/>
      <c r="JAJ128" s="94"/>
      <c r="JAK128" s="94"/>
      <c r="JAL128" s="94"/>
      <c r="JAM128" s="94"/>
      <c r="JAN128" s="94"/>
      <c r="JAO128" s="94"/>
      <c r="JAP128" s="94"/>
      <c r="JAQ128" s="94"/>
      <c r="JAR128" s="94"/>
      <c r="JAS128" s="94"/>
      <c r="JAT128" s="94"/>
      <c r="JAU128" s="94"/>
      <c r="JAV128" s="94"/>
      <c r="JAW128" s="94"/>
      <c r="JAX128" s="94"/>
      <c r="JAY128" s="94"/>
      <c r="JAZ128" s="94"/>
      <c r="JBA128" s="94"/>
      <c r="JBB128" s="94"/>
      <c r="JBC128" s="94"/>
      <c r="JBD128" s="94"/>
      <c r="JBE128" s="94"/>
      <c r="JBF128" s="94"/>
      <c r="JBG128" s="94"/>
      <c r="JBH128" s="94"/>
      <c r="JBI128" s="94"/>
      <c r="JBJ128" s="94"/>
      <c r="JBK128" s="94"/>
      <c r="JBL128" s="94"/>
      <c r="JBM128" s="94"/>
      <c r="JBN128" s="94"/>
      <c r="JBO128" s="94"/>
      <c r="JBP128" s="94"/>
      <c r="JBQ128" s="94"/>
      <c r="JBR128" s="94"/>
      <c r="JBS128" s="94"/>
      <c r="JBT128" s="94"/>
      <c r="JBU128" s="94"/>
      <c r="JBV128" s="94"/>
      <c r="JBW128" s="94"/>
      <c r="JBX128" s="94"/>
      <c r="JBY128" s="94"/>
      <c r="JBZ128" s="94"/>
      <c r="JCA128" s="94"/>
      <c r="JCB128" s="94"/>
      <c r="JCC128" s="94"/>
      <c r="JCD128" s="94"/>
      <c r="JCE128" s="94"/>
      <c r="JCF128" s="94"/>
      <c r="JCG128" s="94"/>
      <c r="JCH128" s="94"/>
      <c r="JCI128" s="94"/>
      <c r="JCJ128" s="94"/>
      <c r="JCK128" s="94"/>
      <c r="JCL128" s="94"/>
      <c r="JCM128" s="94"/>
      <c r="JCN128" s="94"/>
      <c r="JCO128" s="94"/>
      <c r="JCP128" s="94"/>
      <c r="JCQ128" s="94"/>
      <c r="JCR128" s="94"/>
      <c r="JCS128" s="94"/>
      <c r="JCT128" s="94"/>
      <c r="JCU128" s="94"/>
      <c r="JCV128" s="94"/>
      <c r="JCW128" s="94"/>
      <c r="JCX128" s="94"/>
      <c r="JCY128" s="94"/>
      <c r="JCZ128" s="94"/>
      <c r="JDA128" s="94"/>
      <c r="JDB128" s="94"/>
      <c r="JDC128" s="94"/>
      <c r="JDD128" s="94"/>
      <c r="JDE128" s="94"/>
      <c r="JDF128" s="94"/>
      <c r="JDG128" s="94"/>
      <c r="JDH128" s="94"/>
      <c r="JDI128" s="94"/>
      <c r="JDJ128" s="94"/>
      <c r="JDK128" s="94"/>
      <c r="JDL128" s="94"/>
      <c r="JDM128" s="94"/>
      <c r="JDN128" s="94"/>
      <c r="JDO128" s="94"/>
      <c r="JDP128" s="94"/>
      <c r="JDQ128" s="94"/>
      <c r="JDR128" s="94"/>
      <c r="JDS128" s="94"/>
      <c r="JDT128" s="94"/>
      <c r="JDU128" s="94"/>
      <c r="JDV128" s="94"/>
      <c r="JDW128" s="94"/>
      <c r="JDX128" s="94"/>
      <c r="JDY128" s="94"/>
      <c r="JDZ128" s="94"/>
      <c r="JEA128" s="94"/>
      <c r="JEB128" s="94"/>
      <c r="JEC128" s="94"/>
      <c r="JED128" s="94"/>
      <c r="JEE128" s="94"/>
      <c r="JEF128" s="94"/>
      <c r="JEG128" s="94"/>
      <c r="JEH128" s="94"/>
      <c r="JEI128" s="94"/>
      <c r="JEJ128" s="94"/>
      <c r="JEK128" s="94"/>
      <c r="JEL128" s="94"/>
      <c r="JEM128" s="94"/>
      <c r="JEN128" s="94"/>
      <c r="JEO128" s="94"/>
      <c r="JEP128" s="94"/>
      <c r="JEQ128" s="94"/>
      <c r="JER128" s="94"/>
      <c r="JES128" s="94"/>
      <c r="JET128" s="94"/>
      <c r="JEU128" s="94"/>
      <c r="JEV128" s="94"/>
      <c r="JEW128" s="94"/>
      <c r="JEX128" s="94"/>
      <c r="JEY128" s="94"/>
      <c r="JEZ128" s="94"/>
      <c r="JFA128" s="94"/>
      <c r="JFB128" s="94"/>
      <c r="JFC128" s="94"/>
      <c r="JFD128" s="94"/>
      <c r="JFE128" s="94"/>
      <c r="JFF128" s="94"/>
      <c r="JFG128" s="94"/>
      <c r="JFH128" s="94"/>
      <c r="JFI128" s="94"/>
      <c r="JFJ128" s="94"/>
      <c r="JFK128" s="94"/>
      <c r="JFL128" s="94"/>
      <c r="JFM128" s="94"/>
      <c r="JFN128" s="94"/>
      <c r="JFO128" s="94"/>
      <c r="JFP128" s="94"/>
      <c r="JFQ128" s="94"/>
      <c r="JFR128" s="94"/>
      <c r="JFS128" s="94"/>
      <c r="JFT128" s="94"/>
      <c r="JFU128" s="94"/>
      <c r="JFV128" s="94"/>
      <c r="JFW128" s="94"/>
      <c r="JFX128" s="94"/>
      <c r="JFY128" s="94"/>
      <c r="JFZ128" s="94"/>
      <c r="JGA128" s="94"/>
      <c r="JGB128" s="94"/>
      <c r="JGC128" s="94"/>
      <c r="JGD128" s="94"/>
      <c r="JGE128" s="94"/>
      <c r="JGF128" s="94"/>
      <c r="JGG128" s="94"/>
      <c r="JGH128" s="94"/>
      <c r="JGI128" s="94"/>
      <c r="JGJ128" s="94"/>
      <c r="JGK128" s="94"/>
      <c r="JGL128" s="94"/>
      <c r="JGM128" s="94"/>
      <c r="JGN128" s="94"/>
      <c r="JGO128" s="94"/>
      <c r="JGP128" s="94"/>
      <c r="JGQ128" s="94"/>
      <c r="JGR128" s="94"/>
      <c r="JGS128" s="94"/>
      <c r="JGT128" s="94"/>
      <c r="JGU128" s="94"/>
      <c r="JGV128" s="94"/>
      <c r="JGW128" s="94"/>
      <c r="JGX128" s="94"/>
      <c r="JGY128" s="94"/>
      <c r="JGZ128" s="94"/>
      <c r="JHA128" s="94"/>
      <c r="JHB128" s="94"/>
      <c r="JHC128" s="94"/>
      <c r="JHD128" s="94"/>
      <c r="JHE128" s="94"/>
      <c r="JHF128" s="94"/>
      <c r="JHG128" s="94"/>
      <c r="JHH128" s="94"/>
      <c r="JHI128" s="94"/>
      <c r="JHJ128" s="94"/>
      <c r="JHK128" s="94"/>
      <c r="JHL128" s="94"/>
      <c r="JHM128" s="94"/>
      <c r="JHN128" s="94"/>
      <c r="JHO128" s="94"/>
      <c r="JHP128" s="94"/>
      <c r="JHQ128" s="94"/>
      <c r="JHR128" s="94"/>
      <c r="JHS128" s="94"/>
      <c r="JHT128" s="94"/>
      <c r="JHU128" s="94"/>
      <c r="JHV128" s="94"/>
      <c r="JHW128" s="94"/>
      <c r="JHX128" s="94"/>
      <c r="JHY128" s="94"/>
      <c r="JHZ128" s="94"/>
      <c r="JIA128" s="94"/>
      <c r="JIB128" s="94"/>
      <c r="JIC128" s="94"/>
      <c r="JID128" s="94"/>
      <c r="JIE128" s="94"/>
      <c r="JIF128" s="94"/>
      <c r="JIG128" s="94"/>
      <c r="JIH128" s="94"/>
      <c r="JII128" s="94"/>
      <c r="JIJ128" s="94"/>
      <c r="JIK128" s="94"/>
      <c r="JIL128" s="94"/>
      <c r="JIM128" s="94"/>
      <c r="JIN128" s="94"/>
      <c r="JIO128" s="94"/>
      <c r="JIP128" s="94"/>
      <c r="JIQ128" s="94"/>
      <c r="JIR128" s="94"/>
      <c r="JIS128" s="94"/>
      <c r="JIT128" s="94"/>
      <c r="JIU128" s="94"/>
      <c r="JIV128" s="94"/>
      <c r="JIW128" s="94"/>
      <c r="JIX128" s="94"/>
      <c r="JIY128" s="94"/>
      <c r="JIZ128" s="94"/>
      <c r="JJA128" s="94"/>
      <c r="JJB128" s="94"/>
      <c r="JJC128" s="94"/>
      <c r="JJD128" s="94"/>
      <c r="JJE128" s="94"/>
      <c r="JJF128" s="94"/>
      <c r="JJG128" s="94"/>
      <c r="JJH128" s="94"/>
      <c r="JJI128" s="94"/>
      <c r="JJJ128" s="94"/>
      <c r="JJK128" s="94"/>
      <c r="JJL128" s="94"/>
      <c r="JJM128" s="94"/>
      <c r="JJN128" s="94"/>
      <c r="JJO128" s="94"/>
      <c r="JJP128" s="94"/>
      <c r="JJQ128" s="94"/>
      <c r="JJR128" s="94"/>
      <c r="JJS128" s="94"/>
      <c r="JJT128" s="94"/>
      <c r="JJU128" s="94"/>
      <c r="JJV128" s="94"/>
      <c r="JJW128" s="94"/>
      <c r="JJX128" s="94"/>
      <c r="JJY128" s="94"/>
      <c r="JJZ128" s="94"/>
      <c r="JKA128" s="94"/>
      <c r="JKB128" s="94"/>
      <c r="JKC128" s="94"/>
      <c r="JKD128" s="94"/>
      <c r="JKE128" s="94"/>
      <c r="JKF128" s="94"/>
      <c r="JKG128" s="94"/>
      <c r="JKH128" s="94"/>
      <c r="JKI128" s="94"/>
      <c r="JKJ128" s="94"/>
      <c r="JKK128" s="94"/>
      <c r="JKL128" s="94"/>
      <c r="JKM128" s="94"/>
      <c r="JKN128" s="94"/>
      <c r="JKO128" s="94"/>
      <c r="JKP128" s="94"/>
      <c r="JKQ128" s="94"/>
      <c r="JKR128" s="94"/>
      <c r="JKS128" s="94"/>
      <c r="JKT128" s="94"/>
      <c r="JKU128" s="94"/>
      <c r="JKV128" s="94"/>
      <c r="JKW128" s="94"/>
      <c r="JKX128" s="94"/>
      <c r="JKY128" s="94"/>
      <c r="JKZ128" s="94"/>
      <c r="JLA128" s="94"/>
      <c r="JLB128" s="94"/>
      <c r="JLC128" s="94"/>
      <c r="JLD128" s="94"/>
      <c r="JLE128" s="94"/>
      <c r="JLF128" s="94"/>
      <c r="JLG128" s="94"/>
      <c r="JLH128" s="94"/>
      <c r="JLI128" s="94"/>
      <c r="JLJ128" s="94"/>
      <c r="JLK128" s="94"/>
      <c r="JLL128" s="94"/>
      <c r="JLM128" s="94"/>
      <c r="JLN128" s="94"/>
      <c r="JLO128" s="94"/>
      <c r="JLP128" s="94"/>
      <c r="JLQ128" s="94"/>
      <c r="JLR128" s="94"/>
      <c r="JLS128" s="94"/>
      <c r="JLT128" s="94"/>
      <c r="JLU128" s="94"/>
      <c r="JLV128" s="94"/>
      <c r="JLW128" s="94"/>
      <c r="JLX128" s="94"/>
      <c r="JLY128" s="94"/>
      <c r="JLZ128" s="94"/>
      <c r="JMA128" s="94"/>
      <c r="JMB128" s="94"/>
      <c r="JMC128" s="94"/>
      <c r="JMD128" s="94"/>
      <c r="JME128" s="94"/>
      <c r="JMF128" s="94"/>
      <c r="JMG128" s="94"/>
      <c r="JMH128" s="94"/>
      <c r="JMI128" s="94"/>
      <c r="JMJ128" s="94"/>
      <c r="JMK128" s="94"/>
      <c r="JML128" s="94"/>
      <c r="JMM128" s="94"/>
      <c r="JMN128" s="94"/>
      <c r="JMO128" s="94"/>
      <c r="JMP128" s="94"/>
      <c r="JMQ128" s="94"/>
      <c r="JMR128" s="94"/>
      <c r="JMS128" s="94"/>
      <c r="JMT128" s="94"/>
      <c r="JMU128" s="94"/>
      <c r="JMV128" s="94"/>
      <c r="JMW128" s="94"/>
      <c r="JMX128" s="94"/>
      <c r="JMY128" s="94"/>
      <c r="JMZ128" s="94"/>
      <c r="JNA128" s="94"/>
      <c r="JNB128" s="94"/>
      <c r="JNC128" s="94"/>
      <c r="JND128" s="94"/>
      <c r="JNE128" s="94"/>
      <c r="JNF128" s="94"/>
      <c r="JNG128" s="94"/>
      <c r="JNH128" s="94"/>
      <c r="JNI128" s="94"/>
      <c r="JNJ128" s="94"/>
      <c r="JNK128" s="94"/>
      <c r="JNL128" s="94"/>
      <c r="JNM128" s="94"/>
      <c r="JNN128" s="94"/>
      <c r="JNO128" s="94"/>
      <c r="JNP128" s="94"/>
      <c r="JNQ128" s="94"/>
      <c r="JNR128" s="94"/>
      <c r="JNS128" s="94"/>
      <c r="JNT128" s="94"/>
      <c r="JNU128" s="94"/>
      <c r="JNV128" s="94"/>
      <c r="JNW128" s="94"/>
      <c r="JNX128" s="94"/>
      <c r="JNY128" s="94"/>
      <c r="JNZ128" s="94"/>
      <c r="JOA128" s="94"/>
      <c r="JOB128" s="94"/>
      <c r="JOC128" s="94"/>
      <c r="JOD128" s="94"/>
      <c r="JOE128" s="94"/>
      <c r="JOF128" s="94"/>
      <c r="JOG128" s="94"/>
      <c r="JOH128" s="94"/>
      <c r="JOI128" s="94"/>
      <c r="JOJ128" s="94"/>
      <c r="JOK128" s="94"/>
      <c r="JOL128" s="94"/>
      <c r="JOM128" s="94"/>
      <c r="JON128" s="94"/>
      <c r="JOO128" s="94"/>
      <c r="JOP128" s="94"/>
      <c r="JOQ128" s="94"/>
      <c r="JOR128" s="94"/>
      <c r="JOS128" s="94"/>
      <c r="JOT128" s="94"/>
      <c r="JOU128" s="94"/>
      <c r="JOV128" s="94"/>
      <c r="JOW128" s="94"/>
      <c r="JOX128" s="94"/>
      <c r="JOY128" s="94"/>
      <c r="JOZ128" s="94"/>
      <c r="JPA128" s="94"/>
      <c r="JPB128" s="94"/>
      <c r="JPC128" s="94"/>
      <c r="JPD128" s="94"/>
      <c r="JPE128" s="94"/>
      <c r="JPF128" s="94"/>
      <c r="JPG128" s="94"/>
      <c r="JPH128" s="94"/>
      <c r="JPI128" s="94"/>
      <c r="JPJ128" s="94"/>
      <c r="JPK128" s="94"/>
      <c r="JPL128" s="94"/>
      <c r="JPM128" s="94"/>
      <c r="JPN128" s="94"/>
      <c r="JPO128" s="94"/>
      <c r="JPP128" s="94"/>
      <c r="JPQ128" s="94"/>
      <c r="JPR128" s="94"/>
      <c r="JPS128" s="94"/>
      <c r="JPT128" s="94"/>
      <c r="JPU128" s="94"/>
      <c r="JPV128" s="94"/>
      <c r="JPW128" s="94"/>
      <c r="JPX128" s="94"/>
      <c r="JPY128" s="94"/>
      <c r="JPZ128" s="94"/>
      <c r="JQA128" s="94"/>
      <c r="JQB128" s="94"/>
      <c r="JQC128" s="94"/>
      <c r="JQD128" s="94"/>
      <c r="JQE128" s="94"/>
      <c r="JQF128" s="94"/>
      <c r="JQG128" s="94"/>
      <c r="JQH128" s="94"/>
      <c r="JQI128" s="94"/>
      <c r="JQJ128" s="94"/>
      <c r="JQK128" s="94"/>
      <c r="JQL128" s="94"/>
      <c r="JQM128" s="94"/>
      <c r="JQN128" s="94"/>
      <c r="JQO128" s="94"/>
      <c r="JQP128" s="94"/>
      <c r="JQQ128" s="94"/>
      <c r="JQR128" s="94"/>
      <c r="JQS128" s="94"/>
      <c r="JQT128" s="94"/>
      <c r="JQU128" s="94"/>
      <c r="JQV128" s="94"/>
      <c r="JQW128" s="94"/>
      <c r="JQX128" s="94"/>
      <c r="JQY128" s="94"/>
      <c r="JQZ128" s="94"/>
      <c r="JRA128" s="94"/>
      <c r="JRB128" s="94"/>
      <c r="JRC128" s="94"/>
      <c r="JRD128" s="94"/>
      <c r="JRE128" s="94"/>
      <c r="JRF128" s="94"/>
      <c r="JRG128" s="94"/>
      <c r="JRH128" s="94"/>
      <c r="JRI128" s="94"/>
      <c r="JRJ128" s="94"/>
      <c r="JRK128" s="94"/>
      <c r="JRL128" s="94"/>
      <c r="JRM128" s="94"/>
      <c r="JRN128" s="94"/>
      <c r="JRO128" s="94"/>
      <c r="JRP128" s="94"/>
      <c r="JRQ128" s="94"/>
      <c r="JRR128" s="94"/>
      <c r="JRS128" s="94"/>
      <c r="JRT128" s="94"/>
      <c r="JRU128" s="94"/>
      <c r="JRV128" s="94"/>
      <c r="JRW128" s="94"/>
      <c r="JRX128" s="94"/>
      <c r="JRY128" s="94"/>
      <c r="JRZ128" s="94"/>
      <c r="JSA128" s="94"/>
      <c r="JSB128" s="94"/>
      <c r="JSC128" s="94"/>
      <c r="JSD128" s="94"/>
      <c r="JSE128" s="94"/>
      <c r="JSF128" s="94"/>
      <c r="JSG128" s="94"/>
      <c r="JSH128" s="94"/>
      <c r="JSI128" s="94"/>
      <c r="JSJ128" s="94"/>
      <c r="JSK128" s="94"/>
      <c r="JSL128" s="94"/>
      <c r="JSM128" s="94"/>
      <c r="JSN128" s="94"/>
      <c r="JSO128" s="94"/>
      <c r="JSP128" s="94"/>
      <c r="JSQ128" s="94"/>
      <c r="JSR128" s="94"/>
      <c r="JSS128" s="94"/>
      <c r="JST128" s="94"/>
      <c r="JSU128" s="94"/>
      <c r="JSV128" s="94"/>
      <c r="JSW128" s="94"/>
      <c r="JSX128" s="94"/>
      <c r="JSY128" s="94"/>
      <c r="JSZ128" s="94"/>
      <c r="JTA128" s="94"/>
      <c r="JTB128" s="94"/>
      <c r="JTC128" s="94"/>
      <c r="JTD128" s="94"/>
      <c r="JTE128" s="94"/>
      <c r="JTF128" s="94"/>
      <c r="JTG128" s="94"/>
      <c r="JTH128" s="94"/>
      <c r="JTI128" s="94"/>
      <c r="JTJ128" s="94"/>
      <c r="JTK128" s="94"/>
      <c r="JTL128" s="94"/>
      <c r="JTM128" s="94"/>
      <c r="JTN128" s="94"/>
      <c r="JTO128" s="94"/>
      <c r="JTP128" s="94"/>
      <c r="JTQ128" s="94"/>
      <c r="JTR128" s="94"/>
      <c r="JTS128" s="94"/>
      <c r="JTT128" s="94"/>
      <c r="JTU128" s="94"/>
      <c r="JTV128" s="94"/>
      <c r="JTW128" s="94"/>
      <c r="JTX128" s="94"/>
      <c r="JTY128" s="94"/>
      <c r="JTZ128" s="94"/>
      <c r="JUA128" s="94"/>
      <c r="JUB128" s="94"/>
      <c r="JUC128" s="94"/>
      <c r="JUD128" s="94"/>
      <c r="JUE128" s="94"/>
      <c r="JUF128" s="94"/>
      <c r="JUG128" s="94"/>
      <c r="JUH128" s="94"/>
      <c r="JUI128" s="94"/>
      <c r="JUJ128" s="94"/>
      <c r="JUK128" s="94"/>
      <c r="JUL128" s="94"/>
      <c r="JUM128" s="94"/>
      <c r="JUN128" s="94"/>
      <c r="JUO128" s="94"/>
      <c r="JUP128" s="94"/>
      <c r="JUQ128" s="94"/>
      <c r="JUR128" s="94"/>
      <c r="JUS128" s="94"/>
      <c r="JUT128" s="94"/>
      <c r="JUU128" s="94"/>
      <c r="JUV128" s="94"/>
      <c r="JUW128" s="94"/>
      <c r="JUX128" s="94"/>
      <c r="JUY128" s="94"/>
      <c r="JUZ128" s="94"/>
      <c r="JVA128" s="94"/>
      <c r="JVB128" s="94"/>
      <c r="JVC128" s="94"/>
      <c r="JVD128" s="94"/>
      <c r="JVE128" s="94"/>
      <c r="JVF128" s="94"/>
      <c r="JVG128" s="94"/>
      <c r="JVH128" s="94"/>
      <c r="JVI128" s="94"/>
      <c r="JVJ128" s="94"/>
      <c r="JVK128" s="94"/>
      <c r="JVL128" s="94"/>
      <c r="JVM128" s="94"/>
      <c r="JVN128" s="94"/>
      <c r="JVO128" s="94"/>
      <c r="JVP128" s="94"/>
      <c r="JVQ128" s="94"/>
      <c r="JVR128" s="94"/>
      <c r="JVS128" s="94"/>
      <c r="JVT128" s="94"/>
      <c r="JVU128" s="94"/>
      <c r="JVV128" s="94"/>
      <c r="JVW128" s="94"/>
      <c r="JVX128" s="94"/>
      <c r="JVY128" s="94"/>
      <c r="JVZ128" s="94"/>
      <c r="JWA128" s="94"/>
      <c r="JWB128" s="94"/>
      <c r="JWC128" s="94"/>
      <c r="JWD128" s="94"/>
      <c r="JWE128" s="94"/>
      <c r="JWF128" s="94"/>
      <c r="JWG128" s="94"/>
      <c r="JWH128" s="94"/>
      <c r="JWI128" s="94"/>
      <c r="JWJ128" s="94"/>
      <c r="JWK128" s="94"/>
      <c r="JWL128" s="94"/>
      <c r="JWM128" s="94"/>
      <c r="JWN128" s="94"/>
      <c r="JWO128" s="94"/>
      <c r="JWP128" s="94"/>
      <c r="JWQ128" s="94"/>
      <c r="JWR128" s="94"/>
      <c r="JWS128" s="94"/>
      <c r="JWT128" s="94"/>
      <c r="JWU128" s="94"/>
      <c r="JWV128" s="94"/>
      <c r="JWW128" s="94"/>
      <c r="JWX128" s="94"/>
      <c r="JWY128" s="94"/>
      <c r="JWZ128" s="94"/>
      <c r="JXA128" s="94"/>
      <c r="JXB128" s="94"/>
      <c r="JXC128" s="94"/>
      <c r="JXD128" s="94"/>
      <c r="JXE128" s="94"/>
      <c r="JXF128" s="94"/>
      <c r="JXG128" s="94"/>
      <c r="JXH128" s="94"/>
      <c r="JXI128" s="94"/>
      <c r="JXJ128" s="94"/>
      <c r="JXK128" s="94"/>
      <c r="JXL128" s="94"/>
      <c r="JXM128" s="94"/>
      <c r="JXN128" s="94"/>
      <c r="JXO128" s="94"/>
      <c r="JXP128" s="94"/>
      <c r="JXQ128" s="94"/>
      <c r="JXR128" s="94"/>
      <c r="JXS128" s="94"/>
      <c r="JXT128" s="94"/>
      <c r="JXU128" s="94"/>
      <c r="JXV128" s="94"/>
      <c r="JXW128" s="94"/>
      <c r="JXX128" s="94"/>
      <c r="JXY128" s="94"/>
      <c r="JXZ128" s="94"/>
      <c r="JYA128" s="94"/>
      <c r="JYB128" s="94"/>
      <c r="JYC128" s="94"/>
      <c r="JYD128" s="94"/>
      <c r="JYE128" s="94"/>
      <c r="JYF128" s="94"/>
      <c r="JYG128" s="94"/>
      <c r="JYH128" s="94"/>
      <c r="JYI128" s="94"/>
      <c r="JYJ128" s="94"/>
      <c r="JYK128" s="94"/>
      <c r="JYL128" s="94"/>
      <c r="JYM128" s="94"/>
      <c r="JYN128" s="94"/>
      <c r="JYO128" s="94"/>
      <c r="JYP128" s="94"/>
      <c r="JYQ128" s="94"/>
      <c r="JYR128" s="94"/>
      <c r="JYS128" s="94"/>
      <c r="JYT128" s="94"/>
      <c r="JYU128" s="94"/>
      <c r="JYV128" s="94"/>
      <c r="JYW128" s="94"/>
      <c r="JYX128" s="94"/>
      <c r="JYY128" s="94"/>
      <c r="JYZ128" s="94"/>
      <c r="JZA128" s="94"/>
      <c r="JZB128" s="94"/>
      <c r="JZC128" s="94"/>
      <c r="JZD128" s="94"/>
      <c r="JZE128" s="94"/>
      <c r="JZF128" s="94"/>
      <c r="JZG128" s="94"/>
      <c r="JZH128" s="94"/>
      <c r="JZI128" s="94"/>
      <c r="JZJ128" s="94"/>
      <c r="JZK128" s="94"/>
      <c r="JZL128" s="94"/>
      <c r="JZM128" s="94"/>
      <c r="JZN128" s="94"/>
      <c r="JZO128" s="94"/>
      <c r="JZP128" s="94"/>
      <c r="JZQ128" s="94"/>
      <c r="JZR128" s="94"/>
      <c r="JZS128" s="94"/>
      <c r="JZT128" s="94"/>
      <c r="JZU128" s="94"/>
      <c r="JZV128" s="94"/>
      <c r="JZW128" s="94"/>
      <c r="JZX128" s="94"/>
      <c r="JZY128" s="94"/>
      <c r="JZZ128" s="94"/>
      <c r="KAA128" s="94"/>
      <c r="KAB128" s="94"/>
      <c r="KAC128" s="94"/>
      <c r="KAD128" s="94"/>
      <c r="KAE128" s="94"/>
      <c r="KAF128" s="94"/>
      <c r="KAG128" s="94"/>
      <c r="KAH128" s="94"/>
      <c r="KAI128" s="94"/>
      <c r="KAJ128" s="94"/>
      <c r="KAK128" s="94"/>
      <c r="KAL128" s="94"/>
      <c r="KAM128" s="94"/>
      <c r="KAN128" s="94"/>
      <c r="KAO128" s="94"/>
      <c r="KAP128" s="94"/>
      <c r="KAQ128" s="94"/>
      <c r="KAR128" s="94"/>
      <c r="KAS128" s="94"/>
      <c r="KAT128" s="94"/>
      <c r="KAU128" s="94"/>
      <c r="KAV128" s="94"/>
      <c r="KAW128" s="94"/>
      <c r="KAX128" s="94"/>
      <c r="KAY128" s="94"/>
      <c r="KAZ128" s="94"/>
      <c r="KBA128" s="94"/>
      <c r="KBB128" s="94"/>
      <c r="KBC128" s="94"/>
      <c r="KBD128" s="94"/>
      <c r="KBE128" s="94"/>
      <c r="KBF128" s="94"/>
      <c r="KBG128" s="94"/>
      <c r="KBH128" s="94"/>
      <c r="KBI128" s="94"/>
      <c r="KBJ128" s="94"/>
      <c r="KBK128" s="94"/>
      <c r="KBL128" s="94"/>
      <c r="KBM128" s="94"/>
      <c r="KBN128" s="94"/>
      <c r="KBO128" s="94"/>
      <c r="KBP128" s="94"/>
      <c r="KBQ128" s="94"/>
      <c r="KBR128" s="94"/>
      <c r="KBS128" s="94"/>
      <c r="KBT128" s="94"/>
      <c r="KBU128" s="94"/>
      <c r="KBV128" s="94"/>
      <c r="KBW128" s="94"/>
      <c r="KBX128" s="94"/>
      <c r="KBY128" s="94"/>
      <c r="KBZ128" s="94"/>
      <c r="KCA128" s="94"/>
      <c r="KCB128" s="94"/>
      <c r="KCC128" s="94"/>
      <c r="KCD128" s="94"/>
      <c r="KCE128" s="94"/>
      <c r="KCF128" s="94"/>
      <c r="KCG128" s="94"/>
      <c r="KCH128" s="94"/>
      <c r="KCI128" s="94"/>
      <c r="KCJ128" s="94"/>
      <c r="KCK128" s="94"/>
      <c r="KCL128" s="94"/>
      <c r="KCM128" s="94"/>
      <c r="KCN128" s="94"/>
      <c r="KCO128" s="94"/>
      <c r="KCP128" s="94"/>
      <c r="KCQ128" s="94"/>
      <c r="KCR128" s="94"/>
      <c r="KCS128" s="94"/>
      <c r="KCT128" s="94"/>
      <c r="KCU128" s="94"/>
      <c r="KCV128" s="94"/>
      <c r="KCW128" s="94"/>
      <c r="KCX128" s="94"/>
      <c r="KCY128" s="94"/>
      <c r="KCZ128" s="94"/>
      <c r="KDA128" s="94"/>
      <c r="KDB128" s="94"/>
      <c r="KDC128" s="94"/>
      <c r="KDD128" s="94"/>
      <c r="KDE128" s="94"/>
      <c r="KDF128" s="94"/>
      <c r="KDG128" s="94"/>
      <c r="KDH128" s="94"/>
      <c r="KDI128" s="94"/>
      <c r="KDJ128" s="94"/>
      <c r="KDK128" s="94"/>
      <c r="KDL128" s="94"/>
      <c r="KDM128" s="94"/>
      <c r="KDN128" s="94"/>
      <c r="KDO128" s="94"/>
      <c r="KDP128" s="94"/>
      <c r="KDQ128" s="94"/>
      <c r="KDR128" s="94"/>
      <c r="KDS128" s="94"/>
      <c r="KDT128" s="94"/>
      <c r="KDU128" s="94"/>
      <c r="KDV128" s="94"/>
      <c r="KDW128" s="94"/>
      <c r="KDX128" s="94"/>
      <c r="KDY128" s="94"/>
      <c r="KDZ128" s="94"/>
      <c r="KEA128" s="94"/>
      <c r="KEB128" s="94"/>
      <c r="KEC128" s="94"/>
      <c r="KED128" s="94"/>
      <c r="KEE128" s="94"/>
      <c r="KEF128" s="94"/>
      <c r="KEG128" s="94"/>
      <c r="KEH128" s="94"/>
      <c r="KEI128" s="94"/>
      <c r="KEJ128" s="94"/>
      <c r="KEK128" s="94"/>
      <c r="KEL128" s="94"/>
      <c r="KEM128" s="94"/>
      <c r="KEN128" s="94"/>
      <c r="KEO128" s="94"/>
      <c r="KEP128" s="94"/>
      <c r="KEQ128" s="94"/>
      <c r="KER128" s="94"/>
      <c r="KES128" s="94"/>
      <c r="KET128" s="94"/>
      <c r="KEU128" s="94"/>
      <c r="KEV128" s="94"/>
      <c r="KEW128" s="94"/>
      <c r="KEX128" s="94"/>
      <c r="KEY128" s="94"/>
      <c r="KEZ128" s="94"/>
      <c r="KFA128" s="94"/>
      <c r="KFB128" s="94"/>
      <c r="KFC128" s="94"/>
      <c r="KFD128" s="94"/>
      <c r="KFE128" s="94"/>
      <c r="KFF128" s="94"/>
      <c r="KFG128" s="94"/>
      <c r="KFH128" s="94"/>
      <c r="KFI128" s="94"/>
      <c r="KFJ128" s="94"/>
      <c r="KFK128" s="94"/>
      <c r="KFL128" s="94"/>
      <c r="KFM128" s="94"/>
      <c r="KFN128" s="94"/>
      <c r="KFO128" s="94"/>
      <c r="KFP128" s="94"/>
      <c r="KFQ128" s="94"/>
      <c r="KFR128" s="94"/>
      <c r="KFS128" s="94"/>
      <c r="KFT128" s="94"/>
      <c r="KFU128" s="94"/>
      <c r="KFV128" s="94"/>
      <c r="KFW128" s="94"/>
      <c r="KFX128" s="94"/>
      <c r="KFY128" s="94"/>
      <c r="KFZ128" s="94"/>
      <c r="KGA128" s="94"/>
      <c r="KGB128" s="94"/>
      <c r="KGC128" s="94"/>
      <c r="KGD128" s="94"/>
      <c r="KGE128" s="94"/>
      <c r="KGF128" s="94"/>
      <c r="KGG128" s="94"/>
      <c r="KGH128" s="94"/>
      <c r="KGI128" s="94"/>
      <c r="KGJ128" s="94"/>
      <c r="KGK128" s="94"/>
      <c r="KGL128" s="94"/>
      <c r="KGM128" s="94"/>
      <c r="KGN128" s="94"/>
      <c r="KGO128" s="94"/>
      <c r="KGP128" s="94"/>
      <c r="KGQ128" s="94"/>
      <c r="KGR128" s="94"/>
      <c r="KGS128" s="94"/>
      <c r="KGT128" s="94"/>
      <c r="KGU128" s="94"/>
      <c r="KGV128" s="94"/>
      <c r="KGW128" s="94"/>
      <c r="KGX128" s="94"/>
      <c r="KGY128" s="94"/>
      <c r="KGZ128" s="94"/>
      <c r="KHA128" s="94"/>
      <c r="KHB128" s="94"/>
      <c r="KHC128" s="94"/>
      <c r="KHD128" s="94"/>
      <c r="KHE128" s="94"/>
      <c r="KHF128" s="94"/>
      <c r="KHG128" s="94"/>
      <c r="KHH128" s="94"/>
      <c r="KHI128" s="94"/>
      <c r="KHJ128" s="94"/>
      <c r="KHK128" s="94"/>
      <c r="KHL128" s="94"/>
      <c r="KHM128" s="94"/>
      <c r="KHN128" s="94"/>
      <c r="KHO128" s="94"/>
      <c r="KHP128" s="94"/>
      <c r="KHQ128" s="94"/>
      <c r="KHR128" s="94"/>
      <c r="KHS128" s="94"/>
      <c r="KHT128" s="94"/>
      <c r="KHU128" s="94"/>
      <c r="KHV128" s="94"/>
      <c r="KHW128" s="94"/>
      <c r="KHX128" s="94"/>
      <c r="KHY128" s="94"/>
      <c r="KHZ128" s="94"/>
      <c r="KIA128" s="94"/>
      <c r="KIB128" s="94"/>
      <c r="KIC128" s="94"/>
      <c r="KID128" s="94"/>
      <c r="KIE128" s="94"/>
      <c r="KIF128" s="94"/>
      <c r="KIG128" s="94"/>
      <c r="KIH128" s="94"/>
      <c r="KII128" s="94"/>
      <c r="KIJ128" s="94"/>
      <c r="KIK128" s="94"/>
      <c r="KIL128" s="94"/>
      <c r="KIM128" s="94"/>
      <c r="KIN128" s="94"/>
      <c r="KIO128" s="94"/>
      <c r="KIP128" s="94"/>
      <c r="KIQ128" s="94"/>
      <c r="KIR128" s="94"/>
      <c r="KIS128" s="94"/>
      <c r="KIT128" s="94"/>
      <c r="KIU128" s="94"/>
      <c r="KIV128" s="94"/>
      <c r="KIW128" s="94"/>
      <c r="KIX128" s="94"/>
      <c r="KIY128" s="94"/>
      <c r="KIZ128" s="94"/>
      <c r="KJA128" s="94"/>
      <c r="KJB128" s="94"/>
      <c r="KJC128" s="94"/>
      <c r="KJD128" s="94"/>
      <c r="KJE128" s="94"/>
      <c r="KJF128" s="94"/>
      <c r="KJG128" s="94"/>
      <c r="KJH128" s="94"/>
      <c r="KJI128" s="94"/>
      <c r="KJJ128" s="94"/>
      <c r="KJK128" s="94"/>
      <c r="KJL128" s="94"/>
      <c r="KJM128" s="94"/>
      <c r="KJN128" s="94"/>
      <c r="KJO128" s="94"/>
      <c r="KJP128" s="94"/>
      <c r="KJQ128" s="94"/>
      <c r="KJR128" s="94"/>
      <c r="KJS128" s="94"/>
      <c r="KJT128" s="94"/>
      <c r="KJU128" s="94"/>
      <c r="KJV128" s="94"/>
      <c r="KJW128" s="94"/>
      <c r="KJX128" s="94"/>
      <c r="KJY128" s="94"/>
      <c r="KJZ128" s="94"/>
      <c r="KKA128" s="94"/>
      <c r="KKB128" s="94"/>
      <c r="KKC128" s="94"/>
      <c r="KKD128" s="94"/>
      <c r="KKE128" s="94"/>
      <c r="KKF128" s="94"/>
      <c r="KKG128" s="94"/>
      <c r="KKH128" s="94"/>
      <c r="KKI128" s="94"/>
      <c r="KKJ128" s="94"/>
      <c r="KKK128" s="94"/>
      <c r="KKL128" s="94"/>
      <c r="KKM128" s="94"/>
      <c r="KKN128" s="94"/>
      <c r="KKO128" s="94"/>
      <c r="KKP128" s="94"/>
      <c r="KKQ128" s="94"/>
      <c r="KKR128" s="94"/>
      <c r="KKS128" s="94"/>
      <c r="KKT128" s="94"/>
      <c r="KKU128" s="94"/>
      <c r="KKV128" s="94"/>
      <c r="KKW128" s="94"/>
      <c r="KKX128" s="94"/>
      <c r="KKY128" s="94"/>
      <c r="KKZ128" s="94"/>
      <c r="KLA128" s="94"/>
      <c r="KLB128" s="94"/>
      <c r="KLC128" s="94"/>
      <c r="KLD128" s="94"/>
      <c r="KLE128" s="94"/>
      <c r="KLF128" s="94"/>
      <c r="KLG128" s="94"/>
      <c r="KLH128" s="94"/>
      <c r="KLI128" s="94"/>
      <c r="KLJ128" s="94"/>
      <c r="KLK128" s="94"/>
      <c r="KLL128" s="94"/>
      <c r="KLM128" s="94"/>
      <c r="KLN128" s="94"/>
      <c r="KLO128" s="94"/>
      <c r="KLP128" s="94"/>
      <c r="KLQ128" s="94"/>
      <c r="KLR128" s="94"/>
      <c r="KLS128" s="94"/>
      <c r="KLT128" s="94"/>
      <c r="KLU128" s="94"/>
      <c r="KLV128" s="94"/>
      <c r="KLW128" s="94"/>
      <c r="KLX128" s="94"/>
      <c r="KLY128" s="94"/>
      <c r="KLZ128" s="94"/>
      <c r="KMA128" s="94"/>
      <c r="KMB128" s="94"/>
      <c r="KMC128" s="94"/>
      <c r="KMD128" s="94"/>
      <c r="KME128" s="94"/>
      <c r="KMF128" s="94"/>
      <c r="KMG128" s="94"/>
      <c r="KMH128" s="94"/>
      <c r="KMI128" s="94"/>
      <c r="KMJ128" s="94"/>
      <c r="KMK128" s="94"/>
      <c r="KML128" s="94"/>
      <c r="KMM128" s="94"/>
      <c r="KMN128" s="94"/>
      <c r="KMO128" s="94"/>
      <c r="KMP128" s="94"/>
      <c r="KMQ128" s="94"/>
      <c r="KMR128" s="94"/>
      <c r="KMS128" s="94"/>
      <c r="KMT128" s="94"/>
      <c r="KMU128" s="94"/>
      <c r="KMV128" s="94"/>
      <c r="KMW128" s="94"/>
      <c r="KMX128" s="94"/>
      <c r="KMY128" s="94"/>
      <c r="KMZ128" s="94"/>
      <c r="KNA128" s="94"/>
      <c r="KNB128" s="94"/>
      <c r="KNC128" s="94"/>
      <c r="KND128" s="94"/>
      <c r="KNE128" s="94"/>
      <c r="KNF128" s="94"/>
      <c r="KNG128" s="94"/>
      <c r="KNH128" s="94"/>
      <c r="KNI128" s="94"/>
      <c r="KNJ128" s="94"/>
      <c r="KNK128" s="94"/>
      <c r="KNL128" s="94"/>
      <c r="KNM128" s="94"/>
      <c r="KNN128" s="94"/>
      <c r="KNO128" s="94"/>
      <c r="KNP128" s="94"/>
      <c r="KNQ128" s="94"/>
      <c r="KNR128" s="94"/>
      <c r="KNS128" s="94"/>
      <c r="KNT128" s="94"/>
      <c r="KNU128" s="94"/>
      <c r="KNV128" s="94"/>
      <c r="KNW128" s="94"/>
      <c r="KNX128" s="94"/>
      <c r="KNY128" s="94"/>
      <c r="KNZ128" s="94"/>
      <c r="KOA128" s="94"/>
      <c r="KOB128" s="94"/>
      <c r="KOC128" s="94"/>
      <c r="KOD128" s="94"/>
      <c r="KOE128" s="94"/>
      <c r="KOF128" s="94"/>
      <c r="KOG128" s="94"/>
      <c r="KOH128" s="94"/>
      <c r="KOI128" s="94"/>
      <c r="KOJ128" s="94"/>
      <c r="KOK128" s="94"/>
      <c r="KOL128" s="94"/>
      <c r="KOM128" s="94"/>
      <c r="KON128" s="94"/>
      <c r="KOO128" s="94"/>
      <c r="KOP128" s="94"/>
      <c r="KOQ128" s="94"/>
      <c r="KOR128" s="94"/>
      <c r="KOS128" s="94"/>
      <c r="KOT128" s="94"/>
      <c r="KOU128" s="94"/>
      <c r="KOV128" s="94"/>
      <c r="KOW128" s="94"/>
      <c r="KOX128" s="94"/>
      <c r="KOY128" s="94"/>
      <c r="KOZ128" s="94"/>
      <c r="KPA128" s="94"/>
      <c r="KPB128" s="94"/>
      <c r="KPC128" s="94"/>
      <c r="KPD128" s="94"/>
      <c r="KPE128" s="94"/>
      <c r="KPF128" s="94"/>
      <c r="KPG128" s="94"/>
      <c r="KPH128" s="94"/>
      <c r="KPI128" s="94"/>
      <c r="KPJ128" s="94"/>
      <c r="KPK128" s="94"/>
      <c r="KPL128" s="94"/>
      <c r="KPM128" s="94"/>
      <c r="KPN128" s="94"/>
      <c r="KPO128" s="94"/>
      <c r="KPP128" s="94"/>
      <c r="KPQ128" s="94"/>
      <c r="KPR128" s="94"/>
      <c r="KPS128" s="94"/>
      <c r="KPT128" s="94"/>
      <c r="KPU128" s="94"/>
      <c r="KPV128" s="94"/>
      <c r="KPW128" s="94"/>
      <c r="KPX128" s="94"/>
      <c r="KPY128" s="94"/>
      <c r="KPZ128" s="94"/>
      <c r="KQA128" s="94"/>
      <c r="KQB128" s="94"/>
      <c r="KQC128" s="94"/>
      <c r="KQD128" s="94"/>
      <c r="KQE128" s="94"/>
      <c r="KQF128" s="94"/>
      <c r="KQG128" s="94"/>
      <c r="KQH128" s="94"/>
      <c r="KQI128" s="94"/>
      <c r="KQJ128" s="94"/>
      <c r="KQK128" s="94"/>
      <c r="KQL128" s="94"/>
      <c r="KQM128" s="94"/>
      <c r="KQN128" s="94"/>
      <c r="KQO128" s="94"/>
      <c r="KQP128" s="94"/>
      <c r="KQQ128" s="94"/>
      <c r="KQR128" s="94"/>
      <c r="KQS128" s="94"/>
      <c r="KQT128" s="94"/>
      <c r="KQU128" s="94"/>
      <c r="KQV128" s="94"/>
      <c r="KQW128" s="94"/>
      <c r="KQX128" s="94"/>
      <c r="KQY128" s="94"/>
      <c r="KQZ128" s="94"/>
      <c r="KRA128" s="94"/>
      <c r="KRB128" s="94"/>
      <c r="KRC128" s="94"/>
      <c r="KRD128" s="94"/>
      <c r="KRE128" s="94"/>
      <c r="KRF128" s="94"/>
      <c r="KRG128" s="94"/>
      <c r="KRH128" s="94"/>
      <c r="KRI128" s="94"/>
      <c r="KRJ128" s="94"/>
      <c r="KRK128" s="94"/>
      <c r="KRL128" s="94"/>
      <c r="KRM128" s="94"/>
      <c r="KRN128" s="94"/>
      <c r="KRO128" s="94"/>
      <c r="KRP128" s="94"/>
      <c r="KRQ128" s="94"/>
      <c r="KRR128" s="94"/>
      <c r="KRS128" s="94"/>
      <c r="KRT128" s="94"/>
      <c r="KRU128" s="94"/>
      <c r="KRV128" s="94"/>
      <c r="KRW128" s="94"/>
      <c r="KRX128" s="94"/>
      <c r="KRY128" s="94"/>
      <c r="KRZ128" s="94"/>
      <c r="KSA128" s="94"/>
      <c r="KSB128" s="94"/>
      <c r="KSC128" s="94"/>
      <c r="KSD128" s="94"/>
      <c r="KSE128" s="94"/>
      <c r="KSF128" s="94"/>
      <c r="KSG128" s="94"/>
      <c r="KSH128" s="94"/>
      <c r="KSI128" s="94"/>
      <c r="KSJ128" s="94"/>
      <c r="KSK128" s="94"/>
      <c r="KSL128" s="94"/>
      <c r="KSM128" s="94"/>
      <c r="KSN128" s="94"/>
      <c r="KSO128" s="94"/>
      <c r="KSP128" s="94"/>
      <c r="KSQ128" s="94"/>
      <c r="KSR128" s="94"/>
      <c r="KSS128" s="94"/>
      <c r="KST128" s="94"/>
      <c r="KSU128" s="94"/>
      <c r="KSV128" s="94"/>
      <c r="KSW128" s="94"/>
      <c r="KSX128" s="94"/>
      <c r="KSY128" s="94"/>
      <c r="KSZ128" s="94"/>
      <c r="KTA128" s="94"/>
      <c r="KTB128" s="94"/>
      <c r="KTC128" s="94"/>
      <c r="KTD128" s="94"/>
      <c r="KTE128" s="94"/>
      <c r="KTF128" s="94"/>
      <c r="KTG128" s="94"/>
      <c r="KTH128" s="94"/>
      <c r="KTI128" s="94"/>
      <c r="KTJ128" s="94"/>
      <c r="KTK128" s="94"/>
      <c r="KTL128" s="94"/>
      <c r="KTM128" s="94"/>
      <c r="KTN128" s="94"/>
      <c r="KTO128" s="94"/>
      <c r="KTP128" s="94"/>
      <c r="KTQ128" s="94"/>
      <c r="KTR128" s="94"/>
      <c r="KTS128" s="94"/>
      <c r="KTT128" s="94"/>
      <c r="KTU128" s="94"/>
      <c r="KTV128" s="94"/>
      <c r="KTW128" s="94"/>
      <c r="KTX128" s="94"/>
      <c r="KTY128" s="94"/>
      <c r="KTZ128" s="94"/>
      <c r="KUA128" s="94"/>
      <c r="KUB128" s="94"/>
      <c r="KUC128" s="94"/>
      <c r="KUD128" s="94"/>
      <c r="KUE128" s="94"/>
      <c r="KUF128" s="94"/>
      <c r="KUG128" s="94"/>
      <c r="KUH128" s="94"/>
      <c r="KUI128" s="94"/>
      <c r="KUJ128" s="94"/>
      <c r="KUK128" s="94"/>
      <c r="KUL128" s="94"/>
      <c r="KUM128" s="94"/>
      <c r="KUN128" s="94"/>
      <c r="KUO128" s="94"/>
      <c r="KUP128" s="94"/>
      <c r="KUQ128" s="94"/>
      <c r="KUR128" s="94"/>
      <c r="KUS128" s="94"/>
      <c r="KUT128" s="94"/>
      <c r="KUU128" s="94"/>
      <c r="KUV128" s="94"/>
      <c r="KUW128" s="94"/>
      <c r="KUX128" s="94"/>
      <c r="KUY128" s="94"/>
      <c r="KUZ128" s="94"/>
      <c r="KVA128" s="94"/>
      <c r="KVB128" s="94"/>
      <c r="KVC128" s="94"/>
      <c r="KVD128" s="94"/>
      <c r="KVE128" s="94"/>
      <c r="KVF128" s="94"/>
      <c r="KVG128" s="94"/>
      <c r="KVH128" s="94"/>
      <c r="KVI128" s="94"/>
      <c r="KVJ128" s="94"/>
      <c r="KVK128" s="94"/>
      <c r="KVL128" s="94"/>
      <c r="KVM128" s="94"/>
      <c r="KVN128" s="94"/>
      <c r="KVO128" s="94"/>
      <c r="KVP128" s="94"/>
      <c r="KVQ128" s="94"/>
      <c r="KVR128" s="94"/>
      <c r="KVS128" s="94"/>
      <c r="KVT128" s="94"/>
      <c r="KVU128" s="94"/>
      <c r="KVV128" s="94"/>
      <c r="KVW128" s="94"/>
      <c r="KVX128" s="94"/>
      <c r="KVY128" s="94"/>
      <c r="KVZ128" s="94"/>
      <c r="KWA128" s="94"/>
      <c r="KWB128" s="94"/>
      <c r="KWC128" s="94"/>
      <c r="KWD128" s="94"/>
      <c r="KWE128" s="94"/>
      <c r="KWF128" s="94"/>
      <c r="KWG128" s="94"/>
      <c r="KWH128" s="94"/>
      <c r="KWI128" s="94"/>
      <c r="KWJ128" s="94"/>
      <c r="KWK128" s="94"/>
      <c r="KWL128" s="94"/>
      <c r="KWM128" s="94"/>
      <c r="KWN128" s="94"/>
      <c r="KWO128" s="94"/>
      <c r="KWP128" s="94"/>
      <c r="KWQ128" s="94"/>
      <c r="KWR128" s="94"/>
      <c r="KWS128" s="94"/>
      <c r="KWT128" s="94"/>
      <c r="KWU128" s="94"/>
      <c r="KWV128" s="94"/>
      <c r="KWW128" s="94"/>
      <c r="KWX128" s="94"/>
      <c r="KWY128" s="94"/>
      <c r="KWZ128" s="94"/>
      <c r="KXA128" s="94"/>
      <c r="KXB128" s="94"/>
      <c r="KXC128" s="94"/>
      <c r="KXD128" s="94"/>
      <c r="KXE128" s="94"/>
      <c r="KXF128" s="94"/>
      <c r="KXG128" s="94"/>
      <c r="KXH128" s="94"/>
      <c r="KXI128" s="94"/>
      <c r="KXJ128" s="94"/>
      <c r="KXK128" s="94"/>
      <c r="KXL128" s="94"/>
      <c r="KXM128" s="94"/>
      <c r="KXN128" s="94"/>
      <c r="KXO128" s="94"/>
      <c r="KXP128" s="94"/>
      <c r="KXQ128" s="94"/>
      <c r="KXR128" s="94"/>
      <c r="KXS128" s="94"/>
      <c r="KXT128" s="94"/>
      <c r="KXU128" s="94"/>
      <c r="KXV128" s="94"/>
      <c r="KXW128" s="94"/>
      <c r="KXX128" s="94"/>
      <c r="KXY128" s="94"/>
      <c r="KXZ128" s="94"/>
      <c r="KYA128" s="94"/>
      <c r="KYB128" s="94"/>
      <c r="KYC128" s="94"/>
      <c r="KYD128" s="94"/>
      <c r="KYE128" s="94"/>
      <c r="KYF128" s="94"/>
      <c r="KYG128" s="94"/>
      <c r="KYH128" s="94"/>
      <c r="KYI128" s="94"/>
      <c r="KYJ128" s="94"/>
      <c r="KYK128" s="94"/>
      <c r="KYL128" s="94"/>
      <c r="KYM128" s="94"/>
      <c r="KYN128" s="94"/>
      <c r="KYO128" s="94"/>
      <c r="KYP128" s="94"/>
      <c r="KYQ128" s="94"/>
      <c r="KYR128" s="94"/>
      <c r="KYS128" s="94"/>
      <c r="KYT128" s="94"/>
      <c r="KYU128" s="94"/>
      <c r="KYV128" s="94"/>
      <c r="KYW128" s="94"/>
      <c r="KYX128" s="94"/>
      <c r="KYY128" s="94"/>
      <c r="KYZ128" s="94"/>
      <c r="KZA128" s="94"/>
      <c r="KZB128" s="94"/>
      <c r="KZC128" s="94"/>
      <c r="KZD128" s="94"/>
      <c r="KZE128" s="94"/>
      <c r="KZF128" s="94"/>
      <c r="KZG128" s="94"/>
      <c r="KZH128" s="94"/>
      <c r="KZI128" s="94"/>
      <c r="KZJ128" s="94"/>
      <c r="KZK128" s="94"/>
      <c r="KZL128" s="94"/>
      <c r="KZM128" s="94"/>
      <c r="KZN128" s="94"/>
      <c r="KZO128" s="94"/>
      <c r="KZP128" s="94"/>
      <c r="KZQ128" s="94"/>
      <c r="KZR128" s="94"/>
      <c r="KZS128" s="94"/>
      <c r="KZT128" s="94"/>
      <c r="KZU128" s="94"/>
      <c r="KZV128" s="94"/>
      <c r="KZW128" s="94"/>
      <c r="KZX128" s="94"/>
      <c r="KZY128" s="94"/>
      <c r="KZZ128" s="94"/>
      <c r="LAA128" s="94"/>
      <c r="LAB128" s="94"/>
      <c r="LAC128" s="94"/>
      <c r="LAD128" s="94"/>
      <c r="LAE128" s="94"/>
      <c r="LAF128" s="94"/>
      <c r="LAG128" s="94"/>
      <c r="LAH128" s="94"/>
      <c r="LAI128" s="94"/>
      <c r="LAJ128" s="94"/>
      <c r="LAK128" s="94"/>
      <c r="LAL128" s="94"/>
      <c r="LAM128" s="94"/>
      <c r="LAN128" s="94"/>
      <c r="LAO128" s="94"/>
      <c r="LAP128" s="94"/>
      <c r="LAQ128" s="94"/>
      <c r="LAR128" s="94"/>
      <c r="LAS128" s="94"/>
      <c r="LAT128" s="94"/>
      <c r="LAU128" s="94"/>
      <c r="LAV128" s="94"/>
      <c r="LAW128" s="94"/>
      <c r="LAX128" s="94"/>
      <c r="LAY128" s="94"/>
      <c r="LAZ128" s="94"/>
      <c r="LBA128" s="94"/>
      <c r="LBB128" s="94"/>
      <c r="LBC128" s="94"/>
      <c r="LBD128" s="94"/>
      <c r="LBE128" s="94"/>
      <c r="LBF128" s="94"/>
      <c r="LBG128" s="94"/>
      <c r="LBH128" s="94"/>
      <c r="LBI128" s="94"/>
      <c r="LBJ128" s="94"/>
      <c r="LBK128" s="94"/>
      <c r="LBL128" s="94"/>
      <c r="LBM128" s="94"/>
      <c r="LBN128" s="94"/>
      <c r="LBO128" s="94"/>
      <c r="LBP128" s="94"/>
      <c r="LBQ128" s="94"/>
      <c r="LBR128" s="94"/>
      <c r="LBS128" s="94"/>
      <c r="LBT128" s="94"/>
      <c r="LBU128" s="94"/>
      <c r="LBV128" s="94"/>
      <c r="LBW128" s="94"/>
      <c r="LBX128" s="94"/>
      <c r="LBY128" s="94"/>
      <c r="LBZ128" s="94"/>
      <c r="LCA128" s="94"/>
      <c r="LCB128" s="94"/>
      <c r="LCC128" s="94"/>
      <c r="LCD128" s="94"/>
      <c r="LCE128" s="94"/>
      <c r="LCF128" s="94"/>
      <c r="LCG128" s="94"/>
      <c r="LCH128" s="94"/>
      <c r="LCI128" s="94"/>
      <c r="LCJ128" s="94"/>
      <c r="LCK128" s="94"/>
      <c r="LCL128" s="94"/>
      <c r="LCM128" s="94"/>
      <c r="LCN128" s="94"/>
      <c r="LCO128" s="94"/>
      <c r="LCP128" s="94"/>
      <c r="LCQ128" s="94"/>
      <c r="LCR128" s="94"/>
      <c r="LCS128" s="94"/>
      <c r="LCT128" s="94"/>
      <c r="LCU128" s="94"/>
      <c r="LCV128" s="94"/>
      <c r="LCW128" s="94"/>
      <c r="LCX128" s="94"/>
      <c r="LCY128" s="94"/>
      <c r="LCZ128" s="94"/>
      <c r="LDA128" s="94"/>
      <c r="LDB128" s="94"/>
      <c r="LDC128" s="94"/>
      <c r="LDD128" s="94"/>
      <c r="LDE128" s="94"/>
      <c r="LDF128" s="94"/>
      <c r="LDG128" s="94"/>
      <c r="LDH128" s="94"/>
      <c r="LDI128" s="94"/>
      <c r="LDJ128" s="94"/>
      <c r="LDK128" s="94"/>
      <c r="LDL128" s="94"/>
      <c r="LDM128" s="94"/>
      <c r="LDN128" s="94"/>
      <c r="LDO128" s="94"/>
      <c r="LDP128" s="94"/>
      <c r="LDQ128" s="94"/>
      <c r="LDR128" s="94"/>
      <c r="LDS128" s="94"/>
      <c r="LDT128" s="94"/>
      <c r="LDU128" s="94"/>
      <c r="LDV128" s="94"/>
      <c r="LDW128" s="94"/>
      <c r="LDX128" s="94"/>
      <c r="LDY128" s="94"/>
      <c r="LDZ128" s="94"/>
      <c r="LEA128" s="94"/>
      <c r="LEB128" s="94"/>
      <c r="LEC128" s="94"/>
      <c r="LED128" s="94"/>
      <c r="LEE128" s="94"/>
      <c r="LEF128" s="94"/>
      <c r="LEG128" s="94"/>
      <c r="LEH128" s="94"/>
      <c r="LEI128" s="94"/>
      <c r="LEJ128" s="94"/>
      <c r="LEK128" s="94"/>
      <c r="LEL128" s="94"/>
      <c r="LEM128" s="94"/>
      <c r="LEN128" s="94"/>
      <c r="LEO128" s="94"/>
      <c r="LEP128" s="94"/>
      <c r="LEQ128" s="94"/>
      <c r="LER128" s="94"/>
      <c r="LES128" s="94"/>
      <c r="LET128" s="94"/>
      <c r="LEU128" s="94"/>
      <c r="LEV128" s="94"/>
      <c r="LEW128" s="94"/>
      <c r="LEX128" s="94"/>
      <c r="LEY128" s="94"/>
      <c r="LEZ128" s="94"/>
      <c r="LFA128" s="94"/>
      <c r="LFB128" s="94"/>
      <c r="LFC128" s="94"/>
      <c r="LFD128" s="94"/>
      <c r="LFE128" s="94"/>
      <c r="LFF128" s="94"/>
      <c r="LFG128" s="94"/>
      <c r="LFH128" s="94"/>
      <c r="LFI128" s="94"/>
      <c r="LFJ128" s="94"/>
      <c r="LFK128" s="94"/>
      <c r="LFL128" s="94"/>
      <c r="LFM128" s="94"/>
      <c r="LFN128" s="94"/>
      <c r="LFO128" s="94"/>
      <c r="LFP128" s="94"/>
      <c r="LFQ128" s="94"/>
      <c r="LFR128" s="94"/>
      <c r="LFS128" s="94"/>
      <c r="LFT128" s="94"/>
      <c r="LFU128" s="94"/>
      <c r="LFV128" s="94"/>
      <c r="LFW128" s="94"/>
      <c r="LFX128" s="94"/>
      <c r="LFY128" s="94"/>
      <c r="LFZ128" s="94"/>
      <c r="LGA128" s="94"/>
      <c r="LGB128" s="94"/>
      <c r="LGC128" s="94"/>
      <c r="LGD128" s="94"/>
      <c r="LGE128" s="94"/>
      <c r="LGF128" s="94"/>
      <c r="LGG128" s="94"/>
      <c r="LGH128" s="94"/>
      <c r="LGI128" s="94"/>
      <c r="LGJ128" s="94"/>
      <c r="LGK128" s="94"/>
      <c r="LGL128" s="94"/>
      <c r="LGM128" s="94"/>
      <c r="LGN128" s="94"/>
      <c r="LGO128" s="94"/>
      <c r="LGP128" s="94"/>
      <c r="LGQ128" s="94"/>
      <c r="LGR128" s="94"/>
      <c r="LGS128" s="94"/>
      <c r="LGT128" s="94"/>
      <c r="LGU128" s="94"/>
      <c r="LGV128" s="94"/>
      <c r="LGW128" s="94"/>
      <c r="LGX128" s="94"/>
      <c r="LGY128" s="94"/>
      <c r="LGZ128" s="94"/>
      <c r="LHA128" s="94"/>
      <c r="LHB128" s="94"/>
      <c r="LHC128" s="94"/>
      <c r="LHD128" s="94"/>
      <c r="LHE128" s="94"/>
      <c r="LHF128" s="94"/>
      <c r="LHG128" s="94"/>
      <c r="LHH128" s="94"/>
      <c r="LHI128" s="94"/>
      <c r="LHJ128" s="94"/>
      <c r="LHK128" s="94"/>
      <c r="LHL128" s="94"/>
      <c r="LHM128" s="94"/>
      <c r="LHN128" s="94"/>
      <c r="LHO128" s="94"/>
      <c r="LHP128" s="94"/>
      <c r="LHQ128" s="94"/>
      <c r="LHR128" s="94"/>
      <c r="LHS128" s="94"/>
      <c r="LHT128" s="94"/>
      <c r="LHU128" s="94"/>
      <c r="LHV128" s="94"/>
      <c r="LHW128" s="94"/>
      <c r="LHX128" s="94"/>
      <c r="LHY128" s="94"/>
      <c r="LHZ128" s="94"/>
      <c r="LIA128" s="94"/>
      <c r="LIB128" s="94"/>
      <c r="LIC128" s="94"/>
      <c r="LID128" s="94"/>
      <c r="LIE128" s="94"/>
      <c r="LIF128" s="94"/>
      <c r="LIG128" s="94"/>
      <c r="LIH128" s="94"/>
      <c r="LII128" s="94"/>
      <c r="LIJ128" s="94"/>
      <c r="LIK128" s="94"/>
      <c r="LIL128" s="94"/>
      <c r="LIM128" s="94"/>
      <c r="LIN128" s="94"/>
      <c r="LIO128" s="94"/>
      <c r="LIP128" s="94"/>
      <c r="LIQ128" s="94"/>
      <c r="LIR128" s="94"/>
      <c r="LIS128" s="94"/>
      <c r="LIT128" s="94"/>
      <c r="LIU128" s="94"/>
      <c r="LIV128" s="94"/>
      <c r="LIW128" s="94"/>
      <c r="LIX128" s="94"/>
      <c r="LIY128" s="94"/>
      <c r="LIZ128" s="94"/>
      <c r="LJA128" s="94"/>
      <c r="LJB128" s="94"/>
      <c r="LJC128" s="94"/>
      <c r="LJD128" s="94"/>
      <c r="LJE128" s="94"/>
      <c r="LJF128" s="94"/>
      <c r="LJG128" s="94"/>
      <c r="LJH128" s="94"/>
      <c r="LJI128" s="94"/>
      <c r="LJJ128" s="94"/>
      <c r="LJK128" s="94"/>
      <c r="LJL128" s="94"/>
      <c r="LJM128" s="94"/>
      <c r="LJN128" s="94"/>
      <c r="LJO128" s="94"/>
      <c r="LJP128" s="94"/>
      <c r="LJQ128" s="94"/>
      <c r="LJR128" s="94"/>
      <c r="LJS128" s="94"/>
      <c r="LJT128" s="94"/>
      <c r="LJU128" s="94"/>
      <c r="LJV128" s="94"/>
      <c r="LJW128" s="94"/>
      <c r="LJX128" s="94"/>
      <c r="LJY128" s="94"/>
      <c r="LJZ128" s="94"/>
      <c r="LKA128" s="94"/>
      <c r="LKB128" s="94"/>
      <c r="LKC128" s="94"/>
      <c r="LKD128" s="94"/>
      <c r="LKE128" s="94"/>
      <c r="LKF128" s="94"/>
      <c r="LKG128" s="94"/>
      <c r="LKH128" s="94"/>
      <c r="LKI128" s="94"/>
      <c r="LKJ128" s="94"/>
      <c r="LKK128" s="94"/>
      <c r="LKL128" s="94"/>
      <c r="LKM128" s="94"/>
      <c r="LKN128" s="94"/>
      <c r="LKO128" s="94"/>
      <c r="LKP128" s="94"/>
      <c r="LKQ128" s="94"/>
      <c r="LKR128" s="94"/>
      <c r="LKS128" s="94"/>
      <c r="LKT128" s="94"/>
      <c r="LKU128" s="94"/>
      <c r="LKV128" s="94"/>
      <c r="LKW128" s="94"/>
      <c r="LKX128" s="94"/>
      <c r="LKY128" s="94"/>
      <c r="LKZ128" s="94"/>
      <c r="LLA128" s="94"/>
      <c r="LLB128" s="94"/>
      <c r="LLC128" s="94"/>
      <c r="LLD128" s="94"/>
      <c r="LLE128" s="94"/>
      <c r="LLF128" s="94"/>
      <c r="LLG128" s="94"/>
      <c r="LLH128" s="94"/>
      <c r="LLI128" s="94"/>
      <c r="LLJ128" s="94"/>
      <c r="LLK128" s="94"/>
      <c r="LLL128" s="94"/>
      <c r="LLM128" s="94"/>
      <c r="LLN128" s="94"/>
      <c r="LLO128" s="94"/>
      <c r="LLP128" s="94"/>
      <c r="LLQ128" s="94"/>
      <c r="LLR128" s="94"/>
      <c r="LLS128" s="94"/>
      <c r="LLT128" s="94"/>
      <c r="LLU128" s="94"/>
      <c r="LLV128" s="94"/>
      <c r="LLW128" s="94"/>
      <c r="LLX128" s="94"/>
      <c r="LLY128" s="94"/>
      <c r="LLZ128" s="94"/>
      <c r="LMA128" s="94"/>
      <c r="LMB128" s="94"/>
      <c r="LMC128" s="94"/>
      <c r="LMD128" s="94"/>
      <c r="LME128" s="94"/>
      <c r="LMF128" s="94"/>
      <c r="LMG128" s="94"/>
      <c r="LMH128" s="94"/>
      <c r="LMI128" s="94"/>
      <c r="LMJ128" s="94"/>
      <c r="LMK128" s="94"/>
      <c r="LML128" s="94"/>
      <c r="LMM128" s="94"/>
      <c r="LMN128" s="94"/>
      <c r="LMO128" s="94"/>
      <c r="LMP128" s="94"/>
      <c r="LMQ128" s="94"/>
      <c r="LMR128" s="94"/>
      <c r="LMS128" s="94"/>
      <c r="LMT128" s="94"/>
      <c r="LMU128" s="94"/>
      <c r="LMV128" s="94"/>
      <c r="LMW128" s="94"/>
      <c r="LMX128" s="94"/>
      <c r="LMY128" s="94"/>
      <c r="LMZ128" s="94"/>
      <c r="LNA128" s="94"/>
      <c r="LNB128" s="94"/>
      <c r="LNC128" s="94"/>
      <c r="LND128" s="94"/>
      <c r="LNE128" s="94"/>
      <c r="LNF128" s="94"/>
      <c r="LNG128" s="94"/>
      <c r="LNH128" s="94"/>
      <c r="LNI128" s="94"/>
      <c r="LNJ128" s="94"/>
      <c r="LNK128" s="94"/>
      <c r="LNL128" s="94"/>
      <c r="LNM128" s="94"/>
      <c r="LNN128" s="94"/>
      <c r="LNO128" s="94"/>
      <c r="LNP128" s="94"/>
      <c r="LNQ128" s="94"/>
      <c r="LNR128" s="94"/>
      <c r="LNS128" s="94"/>
      <c r="LNT128" s="94"/>
      <c r="LNU128" s="94"/>
      <c r="LNV128" s="94"/>
      <c r="LNW128" s="94"/>
      <c r="LNX128" s="94"/>
      <c r="LNY128" s="94"/>
      <c r="LNZ128" s="94"/>
      <c r="LOA128" s="94"/>
      <c r="LOB128" s="94"/>
      <c r="LOC128" s="94"/>
      <c r="LOD128" s="94"/>
      <c r="LOE128" s="94"/>
      <c r="LOF128" s="94"/>
      <c r="LOG128" s="94"/>
      <c r="LOH128" s="94"/>
      <c r="LOI128" s="94"/>
      <c r="LOJ128" s="94"/>
      <c r="LOK128" s="94"/>
      <c r="LOL128" s="94"/>
      <c r="LOM128" s="94"/>
      <c r="LON128" s="94"/>
      <c r="LOO128" s="94"/>
      <c r="LOP128" s="94"/>
      <c r="LOQ128" s="94"/>
      <c r="LOR128" s="94"/>
      <c r="LOS128" s="94"/>
      <c r="LOT128" s="94"/>
      <c r="LOU128" s="94"/>
      <c r="LOV128" s="94"/>
      <c r="LOW128" s="94"/>
      <c r="LOX128" s="94"/>
      <c r="LOY128" s="94"/>
      <c r="LOZ128" s="94"/>
      <c r="LPA128" s="94"/>
      <c r="LPB128" s="94"/>
      <c r="LPC128" s="94"/>
      <c r="LPD128" s="94"/>
      <c r="LPE128" s="94"/>
      <c r="LPF128" s="94"/>
      <c r="LPG128" s="94"/>
      <c r="LPH128" s="94"/>
      <c r="LPI128" s="94"/>
      <c r="LPJ128" s="94"/>
      <c r="LPK128" s="94"/>
      <c r="LPL128" s="94"/>
      <c r="LPM128" s="94"/>
      <c r="LPN128" s="94"/>
      <c r="LPO128" s="94"/>
      <c r="LPP128" s="94"/>
      <c r="LPQ128" s="94"/>
      <c r="LPR128" s="94"/>
      <c r="LPS128" s="94"/>
      <c r="LPT128" s="94"/>
      <c r="LPU128" s="94"/>
      <c r="LPV128" s="94"/>
      <c r="LPW128" s="94"/>
      <c r="LPX128" s="94"/>
      <c r="LPY128" s="94"/>
      <c r="LPZ128" s="94"/>
      <c r="LQA128" s="94"/>
      <c r="LQB128" s="94"/>
      <c r="LQC128" s="94"/>
      <c r="LQD128" s="94"/>
      <c r="LQE128" s="94"/>
      <c r="LQF128" s="94"/>
      <c r="LQG128" s="94"/>
      <c r="LQH128" s="94"/>
      <c r="LQI128" s="94"/>
      <c r="LQJ128" s="94"/>
      <c r="LQK128" s="94"/>
      <c r="LQL128" s="94"/>
      <c r="LQM128" s="94"/>
      <c r="LQN128" s="94"/>
      <c r="LQO128" s="94"/>
      <c r="LQP128" s="94"/>
      <c r="LQQ128" s="94"/>
      <c r="LQR128" s="94"/>
      <c r="LQS128" s="94"/>
      <c r="LQT128" s="94"/>
      <c r="LQU128" s="94"/>
      <c r="LQV128" s="94"/>
      <c r="LQW128" s="94"/>
      <c r="LQX128" s="94"/>
      <c r="LQY128" s="94"/>
      <c r="LQZ128" s="94"/>
      <c r="LRA128" s="94"/>
      <c r="LRB128" s="94"/>
      <c r="LRC128" s="94"/>
      <c r="LRD128" s="94"/>
      <c r="LRE128" s="94"/>
      <c r="LRF128" s="94"/>
      <c r="LRG128" s="94"/>
      <c r="LRH128" s="94"/>
      <c r="LRI128" s="94"/>
      <c r="LRJ128" s="94"/>
      <c r="LRK128" s="94"/>
      <c r="LRL128" s="94"/>
      <c r="LRM128" s="94"/>
      <c r="LRN128" s="94"/>
      <c r="LRO128" s="94"/>
      <c r="LRP128" s="94"/>
      <c r="LRQ128" s="94"/>
      <c r="LRR128" s="94"/>
      <c r="LRS128" s="94"/>
      <c r="LRT128" s="94"/>
      <c r="LRU128" s="94"/>
      <c r="LRV128" s="94"/>
      <c r="LRW128" s="94"/>
      <c r="LRX128" s="94"/>
      <c r="LRY128" s="94"/>
      <c r="LRZ128" s="94"/>
      <c r="LSA128" s="94"/>
      <c r="LSB128" s="94"/>
      <c r="LSC128" s="94"/>
      <c r="LSD128" s="94"/>
      <c r="LSE128" s="94"/>
      <c r="LSF128" s="94"/>
      <c r="LSG128" s="94"/>
      <c r="LSH128" s="94"/>
      <c r="LSI128" s="94"/>
      <c r="LSJ128" s="94"/>
      <c r="LSK128" s="94"/>
      <c r="LSL128" s="94"/>
      <c r="LSM128" s="94"/>
      <c r="LSN128" s="94"/>
      <c r="LSO128" s="94"/>
      <c r="LSP128" s="94"/>
      <c r="LSQ128" s="94"/>
      <c r="LSR128" s="94"/>
      <c r="LSS128" s="94"/>
      <c r="LST128" s="94"/>
      <c r="LSU128" s="94"/>
      <c r="LSV128" s="94"/>
      <c r="LSW128" s="94"/>
      <c r="LSX128" s="94"/>
      <c r="LSY128" s="94"/>
      <c r="LSZ128" s="94"/>
      <c r="LTA128" s="94"/>
      <c r="LTB128" s="94"/>
      <c r="LTC128" s="94"/>
      <c r="LTD128" s="94"/>
      <c r="LTE128" s="94"/>
      <c r="LTF128" s="94"/>
      <c r="LTG128" s="94"/>
      <c r="LTH128" s="94"/>
      <c r="LTI128" s="94"/>
      <c r="LTJ128" s="94"/>
      <c r="LTK128" s="94"/>
      <c r="LTL128" s="94"/>
      <c r="LTM128" s="94"/>
      <c r="LTN128" s="94"/>
      <c r="LTO128" s="94"/>
      <c r="LTP128" s="94"/>
      <c r="LTQ128" s="94"/>
      <c r="LTR128" s="94"/>
      <c r="LTS128" s="94"/>
      <c r="LTT128" s="94"/>
      <c r="LTU128" s="94"/>
      <c r="LTV128" s="94"/>
      <c r="LTW128" s="94"/>
      <c r="LTX128" s="94"/>
      <c r="LTY128" s="94"/>
      <c r="LTZ128" s="94"/>
      <c r="LUA128" s="94"/>
      <c r="LUB128" s="94"/>
      <c r="LUC128" s="94"/>
      <c r="LUD128" s="94"/>
      <c r="LUE128" s="94"/>
      <c r="LUF128" s="94"/>
      <c r="LUG128" s="94"/>
      <c r="LUH128" s="94"/>
      <c r="LUI128" s="94"/>
      <c r="LUJ128" s="94"/>
      <c r="LUK128" s="94"/>
      <c r="LUL128" s="94"/>
      <c r="LUM128" s="94"/>
      <c r="LUN128" s="94"/>
      <c r="LUO128" s="94"/>
      <c r="LUP128" s="94"/>
      <c r="LUQ128" s="94"/>
      <c r="LUR128" s="94"/>
      <c r="LUS128" s="94"/>
      <c r="LUT128" s="94"/>
      <c r="LUU128" s="94"/>
      <c r="LUV128" s="94"/>
      <c r="LUW128" s="94"/>
      <c r="LUX128" s="94"/>
      <c r="LUY128" s="94"/>
      <c r="LUZ128" s="94"/>
      <c r="LVA128" s="94"/>
      <c r="LVB128" s="94"/>
      <c r="LVC128" s="94"/>
      <c r="LVD128" s="94"/>
      <c r="LVE128" s="94"/>
      <c r="LVF128" s="94"/>
      <c r="LVG128" s="94"/>
      <c r="LVH128" s="94"/>
      <c r="LVI128" s="94"/>
      <c r="LVJ128" s="94"/>
      <c r="LVK128" s="94"/>
      <c r="LVL128" s="94"/>
      <c r="LVM128" s="94"/>
      <c r="LVN128" s="94"/>
      <c r="LVO128" s="94"/>
      <c r="LVP128" s="94"/>
      <c r="LVQ128" s="94"/>
      <c r="LVR128" s="94"/>
      <c r="LVS128" s="94"/>
      <c r="LVT128" s="94"/>
      <c r="LVU128" s="94"/>
      <c r="LVV128" s="94"/>
      <c r="LVW128" s="94"/>
      <c r="LVX128" s="94"/>
      <c r="LVY128" s="94"/>
      <c r="LVZ128" s="94"/>
      <c r="LWA128" s="94"/>
      <c r="LWB128" s="94"/>
      <c r="LWC128" s="94"/>
      <c r="LWD128" s="94"/>
      <c r="LWE128" s="94"/>
      <c r="LWF128" s="94"/>
      <c r="LWG128" s="94"/>
      <c r="LWH128" s="94"/>
      <c r="LWI128" s="94"/>
      <c r="LWJ128" s="94"/>
      <c r="LWK128" s="94"/>
      <c r="LWL128" s="94"/>
      <c r="LWM128" s="94"/>
      <c r="LWN128" s="94"/>
      <c r="LWO128" s="94"/>
      <c r="LWP128" s="94"/>
      <c r="LWQ128" s="94"/>
      <c r="LWR128" s="94"/>
      <c r="LWS128" s="94"/>
      <c r="LWT128" s="94"/>
      <c r="LWU128" s="94"/>
      <c r="LWV128" s="94"/>
      <c r="LWW128" s="94"/>
      <c r="LWX128" s="94"/>
      <c r="LWY128" s="94"/>
      <c r="LWZ128" s="94"/>
      <c r="LXA128" s="94"/>
      <c r="LXB128" s="94"/>
      <c r="LXC128" s="94"/>
      <c r="LXD128" s="94"/>
      <c r="LXE128" s="94"/>
      <c r="LXF128" s="94"/>
      <c r="LXG128" s="94"/>
      <c r="LXH128" s="94"/>
      <c r="LXI128" s="94"/>
      <c r="LXJ128" s="94"/>
      <c r="LXK128" s="94"/>
      <c r="LXL128" s="94"/>
      <c r="LXM128" s="94"/>
      <c r="LXN128" s="94"/>
      <c r="LXO128" s="94"/>
      <c r="LXP128" s="94"/>
      <c r="LXQ128" s="94"/>
      <c r="LXR128" s="94"/>
      <c r="LXS128" s="94"/>
      <c r="LXT128" s="94"/>
      <c r="LXU128" s="94"/>
      <c r="LXV128" s="94"/>
      <c r="LXW128" s="94"/>
      <c r="LXX128" s="94"/>
      <c r="LXY128" s="94"/>
      <c r="LXZ128" s="94"/>
      <c r="LYA128" s="94"/>
      <c r="LYB128" s="94"/>
      <c r="LYC128" s="94"/>
      <c r="LYD128" s="94"/>
      <c r="LYE128" s="94"/>
      <c r="LYF128" s="94"/>
      <c r="LYG128" s="94"/>
      <c r="LYH128" s="94"/>
      <c r="LYI128" s="94"/>
      <c r="LYJ128" s="94"/>
      <c r="LYK128" s="94"/>
      <c r="LYL128" s="94"/>
      <c r="LYM128" s="94"/>
      <c r="LYN128" s="94"/>
      <c r="LYO128" s="94"/>
      <c r="LYP128" s="94"/>
      <c r="LYQ128" s="94"/>
      <c r="LYR128" s="94"/>
      <c r="LYS128" s="94"/>
      <c r="LYT128" s="94"/>
      <c r="LYU128" s="94"/>
      <c r="LYV128" s="94"/>
      <c r="LYW128" s="94"/>
      <c r="LYX128" s="94"/>
      <c r="LYY128" s="94"/>
      <c r="LYZ128" s="94"/>
      <c r="LZA128" s="94"/>
      <c r="LZB128" s="94"/>
      <c r="LZC128" s="94"/>
      <c r="LZD128" s="94"/>
      <c r="LZE128" s="94"/>
      <c r="LZF128" s="94"/>
      <c r="LZG128" s="94"/>
      <c r="LZH128" s="94"/>
      <c r="LZI128" s="94"/>
      <c r="LZJ128" s="94"/>
      <c r="LZK128" s="94"/>
      <c r="LZL128" s="94"/>
      <c r="LZM128" s="94"/>
      <c r="LZN128" s="94"/>
      <c r="LZO128" s="94"/>
      <c r="LZP128" s="94"/>
      <c r="LZQ128" s="94"/>
      <c r="LZR128" s="94"/>
      <c r="LZS128" s="94"/>
      <c r="LZT128" s="94"/>
      <c r="LZU128" s="94"/>
      <c r="LZV128" s="94"/>
      <c r="LZW128" s="94"/>
      <c r="LZX128" s="94"/>
      <c r="LZY128" s="94"/>
      <c r="LZZ128" s="94"/>
      <c r="MAA128" s="94"/>
      <c r="MAB128" s="94"/>
      <c r="MAC128" s="94"/>
      <c r="MAD128" s="94"/>
      <c r="MAE128" s="94"/>
      <c r="MAF128" s="94"/>
      <c r="MAG128" s="94"/>
      <c r="MAH128" s="94"/>
      <c r="MAI128" s="94"/>
      <c r="MAJ128" s="94"/>
      <c r="MAK128" s="94"/>
      <c r="MAL128" s="94"/>
      <c r="MAM128" s="94"/>
      <c r="MAN128" s="94"/>
      <c r="MAO128" s="94"/>
      <c r="MAP128" s="94"/>
      <c r="MAQ128" s="94"/>
      <c r="MAR128" s="94"/>
      <c r="MAS128" s="94"/>
      <c r="MAT128" s="94"/>
      <c r="MAU128" s="94"/>
      <c r="MAV128" s="94"/>
      <c r="MAW128" s="94"/>
      <c r="MAX128" s="94"/>
      <c r="MAY128" s="94"/>
      <c r="MAZ128" s="94"/>
      <c r="MBA128" s="94"/>
      <c r="MBB128" s="94"/>
      <c r="MBC128" s="94"/>
      <c r="MBD128" s="94"/>
      <c r="MBE128" s="94"/>
      <c r="MBF128" s="94"/>
      <c r="MBG128" s="94"/>
      <c r="MBH128" s="94"/>
      <c r="MBI128" s="94"/>
      <c r="MBJ128" s="94"/>
      <c r="MBK128" s="94"/>
      <c r="MBL128" s="94"/>
      <c r="MBM128" s="94"/>
      <c r="MBN128" s="94"/>
      <c r="MBO128" s="94"/>
      <c r="MBP128" s="94"/>
      <c r="MBQ128" s="94"/>
      <c r="MBR128" s="94"/>
      <c r="MBS128" s="94"/>
      <c r="MBT128" s="94"/>
      <c r="MBU128" s="94"/>
      <c r="MBV128" s="94"/>
      <c r="MBW128" s="94"/>
      <c r="MBX128" s="94"/>
      <c r="MBY128" s="94"/>
      <c r="MBZ128" s="94"/>
      <c r="MCA128" s="94"/>
      <c r="MCB128" s="94"/>
      <c r="MCC128" s="94"/>
      <c r="MCD128" s="94"/>
      <c r="MCE128" s="94"/>
      <c r="MCF128" s="94"/>
      <c r="MCG128" s="94"/>
      <c r="MCH128" s="94"/>
      <c r="MCI128" s="94"/>
      <c r="MCJ128" s="94"/>
      <c r="MCK128" s="94"/>
      <c r="MCL128" s="94"/>
      <c r="MCM128" s="94"/>
      <c r="MCN128" s="94"/>
      <c r="MCO128" s="94"/>
      <c r="MCP128" s="94"/>
      <c r="MCQ128" s="94"/>
      <c r="MCR128" s="94"/>
      <c r="MCS128" s="94"/>
      <c r="MCT128" s="94"/>
      <c r="MCU128" s="94"/>
      <c r="MCV128" s="94"/>
      <c r="MCW128" s="94"/>
      <c r="MCX128" s="94"/>
      <c r="MCY128" s="94"/>
      <c r="MCZ128" s="94"/>
      <c r="MDA128" s="94"/>
      <c r="MDB128" s="94"/>
      <c r="MDC128" s="94"/>
      <c r="MDD128" s="94"/>
      <c r="MDE128" s="94"/>
      <c r="MDF128" s="94"/>
      <c r="MDG128" s="94"/>
      <c r="MDH128" s="94"/>
      <c r="MDI128" s="94"/>
      <c r="MDJ128" s="94"/>
      <c r="MDK128" s="94"/>
      <c r="MDL128" s="94"/>
      <c r="MDM128" s="94"/>
      <c r="MDN128" s="94"/>
      <c r="MDO128" s="94"/>
      <c r="MDP128" s="94"/>
      <c r="MDQ128" s="94"/>
      <c r="MDR128" s="94"/>
      <c r="MDS128" s="94"/>
      <c r="MDT128" s="94"/>
      <c r="MDU128" s="94"/>
      <c r="MDV128" s="94"/>
      <c r="MDW128" s="94"/>
      <c r="MDX128" s="94"/>
      <c r="MDY128" s="94"/>
      <c r="MDZ128" s="94"/>
      <c r="MEA128" s="94"/>
      <c r="MEB128" s="94"/>
      <c r="MEC128" s="94"/>
      <c r="MED128" s="94"/>
      <c r="MEE128" s="94"/>
      <c r="MEF128" s="94"/>
      <c r="MEG128" s="94"/>
      <c r="MEH128" s="94"/>
      <c r="MEI128" s="94"/>
      <c r="MEJ128" s="94"/>
      <c r="MEK128" s="94"/>
      <c r="MEL128" s="94"/>
      <c r="MEM128" s="94"/>
      <c r="MEN128" s="94"/>
      <c r="MEO128" s="94"/>
      <c r="MEP128" s="94"/>
      <c r="MEQ128" s="94"/>
      <c r="MER128" s="94"/>
      <c r="MES128" s="94"/>
      <c r="MET128" s="94"/>
      <c r="MEU128" s="94"/>
      <c r="MEV128" s="94"/>
      <c r="MEW128" s="94"/>
      <c r="MEX128" s="94"/>
      <c r="MEY128" s="94"/>
      <c r="MEZ128" s="94"/>
      <c r="MFA128" s="94"/>
      <c r="MFB128" s="94"/>
      <c r="MFC128" s="94"/>
      <c r="MFD128" s="94"/>
      <c r="MFE128" s="94"/>
      <c r="MFF128" s="94"/>
      <c r="MFG128" s="94"/>
      <c r="MFH128" s="94"/>
      <c r="MFI128" s="94"/>
      <c r="MFJ128" s="94"/>
      <c r="MFK128" s="94"/>
      <c r="MFL128" s="94"/>
      <c r="MFM128" s="94"/>
      <c r="MFN128" s="94"/>
      <c r="MFO128" s="94"/>
      <c r="MFP128" s="94"/>
      <c r="MFQ128" s="94"/>
      <c r="MFR128" s="94"/>
      <c r="MFS128" s="94"/>
      <c r="MFT128" s="94"/>
      <c r="MFU128" s="94"/>
      <c r="MFV128" s="94"/>
      <c r="MFW128" s="94"/>
      <c r="MFX128" s="94"/>
      <c r="MFY128" s="94"/>
      <c r="MFZ128" s="94"/>
      <c r="MGA128" s="94"/>
      <c r="MGB128" s="94"/>
      <c r="MGC128" s="94"/>
      <c r="MGD128" s="94"/>
      <c r="MGE128" s="94"/>
      <c r="MGF128" s="94"/>
      <c r="MGG128" s="94"/>
      <c r="MGH128" s="94"/>
      <c r="MGI128" s="94"/>
      <c r="MGJ128" s="94"/>
      <c r="MGK128" s="94"/>
      <c r="MGL128" s="94"/>
      <c r="MGM128" s="94"/>
      <c r="MGN128" s="94"/>
      <c r="MGO128" s="94"/>
      <c r="MGP128" s="94"/>
      <c r="MGQ128" s="94"/>
      <c r="MGR128" s="94"/>
      <c r="MGS128" s="94"/>
      <c r="MGT128" s="94"/>
      <c r="MGU128" s="94"/>
      <c r="MGV128" s="94"/>
      <c r="MGW128" s="94"/>
      <c r="MGX128" s="94"/>
      <c r="MGY128" s="94"/>
      <c r="MGZ128" s="94"/>
      <c r="MHA128" s="94"/>
      <c r="MHB128" s="94"/>
      <c r="MHC128" s="94"/>
      <c r="MHD128" s="94"/>
      <c r="MHE128" s="94"/>
      <c r="MHF128" s="94"/>
      <c r="MHG128" s="94"/>
      <c r="MHH128" s="94"/>
      <c r="MHI128" s="94"/>
      <c r="MHJ128" s="94"/>
      <c r="MHK128" s="94"/>
      <c r="MHL128" s="94"/>
      <c r="MHM128" s="94"/>
      <c r="MHN128" s="94"/>
      <c r="MHO128" s="94"/>
      <c r="MHP128" s="94"/>
      <c r="MHQ128" s="94"/>
      <c r="MHR128" s="94"/>
      <c r="MHS128" s="94"/>
      <c r="MHT128" s="94"/>
      <c r="MHU128" s="94"/>
      <c r="MHV128" s="94"/>
      <c r="MHW128" s="94"/>
      <c r="MHX128" s="94"/>
      <c r="MHY128" s="94"/>
      <c r="MHZ128" s="94"/>
      <c r="MIA128" s="94"/>
      <c r="MIB128" s="94"/>
      <c r="MIC128" s="94"/>
      <c r="MID128" s="94"/>
      <c r="MIE128" s="94"/>
      <c r="MIF128" s="94"/>
      <c r="MIG128" s="94"/>
      <c r="MIH128" s="94"/>
      <c r="MII128" s="94"/>
      <c r="MIJ128" s="94"/>
      <c r="MIK128" s="94"/>
      <c r="MIL128" s="94"/>
      <c r="MIM128" s="94"/>
      <c r="MIN128" s="94"/>
      <c r="MIO128" s="94"/>
      <c r="MIP128" s="94"/>
      <c r="MIQ128" s="94"/>
      <c r="MIR128" s="94"/>
      <c r="MIS128" s="94"/>
      <c r="MIT128" s="94"/>
      <c r="MIU128" s="94"/>
      <c r="MIV128" s="94"/>
      <c r="MIW128" s="94"/>
      <c r="MIX128" s="94"/>
      <c r="MIY128" s="94"/>
      <c r="MIZ128" s="94"/>
      <c r="MJA128" s="94"/>
      <c r="MJB128" s="94"/>
      <c r="MJC128" s="94"/>
      <c r="MJD128" s="94"/>
      <c r="MJE128" s="94"/>
      <c r="MJF128" s="94"/>
      <c r="MJG128" s="94"/>
      <c r="MJH128" s="94"/>
      <c r="MJI128" s="94"/>
      <c r="MJJ128" s="94"/>
      <c r="MJK128" s="94"/>
      <c r="MJL128" s="94"/>
      <c r="MJM128" s="94"/>
      <c r="MJN128" s="94"/>
      <c r="MJO128" s="94"/>
      <c r="MJP128" s="94"/>
      <c r="MJQ128" s="94"/>
      <c r="MJR128" s="94"/>
      <c r="MJS128" s="94"/>
      <c r="MJT128" s="94"/>
      <c r="MJU128" s="94"/>
      <c r="MJV128" s="94"/>
      <c r="MJW128" s="94"/>
      <c r="MJX128" s="94"/>
      <c r="MJY128" s="94"/>
      <c r="MJZ128" s="94"/>
      <c r="MKA128" s="94"/>
      <c r="MKB128" s="94"/>
      <c r="MKC128" s="94"/>
      <c r="MKD128" s="94"/>
      <c r="MKE128" s="94"/>
      <c r="MKF128" s="94"/>
      <c r="MKG128" s="94"/>
      <c r="MKH128" s="94"/>
      <c r="MKI128" s="94"/>
      <c r="MKJ128" s="94"/>
      <c r="MKK128" s="94"/>
      <c r="MKL128" s="94"/>
      <c r="MKM128" s="94"/>
      <c r="MKN128" s="94"/>
      <c r="MKO128" s="94"/>
      <c r="MKP128" s="94"/>
      <c r="MKQ128" s="94"/>
      <c r="MKR128" s="94"/>
      <c r="MKS128" s="94"/>
      <c r="MKT128" s="94"/>
      <c r="MKU128" s="94"/>
      <c r="MKV128" s="94"/>
      <c r="MKW128" s="94"/>
      <c r="MKX128" s="94"/>
      <c r="MKY128" s="94"/>
      <c r="MKZ128" s="94"/>
      <c r="MLA128" s="94"/>
      <c r="MLB128" s="94"/>
      <c r="MLC128" s="94"/>
      <c r="MLD128" s="94"/>
      <c r="MLE128" s="94"/>
      <c r="MLF128" s="94"/>
      <c r="MLG128" s="94"/>
      <c r="MLH128" s="94"/>
      <c r="MLI128" s="94"/>
      <c r="MLJ128" s="94"/>
      <c r="MLK128" s="94"/>
      <c r="MLL128" s="94"/>
      <c r="MLM128" s="94"/>
      <c r="MLN128" s="94"/>
      <c r="MLO128" s="94"/>
      <c r="MLP128" s="94"/>
      <c r="MLQ128" s="94"/>
      <c r="MLR128" s="94"/>
      <c r="MLS128" s="94"/>
      <c r="MLT128" s="94"/>
      <c r="MLU128" s="94"/>
      <c r="MLV128" s="94"/>
      <c r="MLW128" s="94"/>
      <c r="MLX128" s="94"/>
      <c r="MLY128" s="94"/>
      <c r="MLZ128" s="94"/>
      <c r="MMA128" s="94"/>
      <c r="MMB128" s="94"/>
      <c r="MMC128" s="94"/>
      <c r="MMD128" s="94"/>
      <c r="MME128" s="94"/>
      <c r="MMF128" s="94"/>
      <c r="MMG128" s="94"/>
      <c r="MMH128" s="94"/>
      <c r="MMI128" s="94"/>
      <c r="MMJ128" s="94"/>
      <c r="MMK128" s="94"/>
      <c r="MML128" s="94"/>
      <c r="MMM128" s="94"/>
      <c r="MMN128" s="94"/>
      <c r="MMO128" s="94"/>
      <c r="MMP128" s="94"/>
      <c r="MMQ128" s="94"/>
      <c r="MMR128" s="94"/>
      <c r="MMS128" s="94"/>
      <c r="MMT128" s="94"/>
      <c r="MMU128" s="94"/>
      <c r="MMV128" s="94"/>
      <c r="MMW128" s="94"/>
      <c r="MMX128" s="94"/>
      <c r="MMY128" s="94"/>
      <c r="MMZ128" s="94"/>
      <c r="MNA128" s="94"/>
      <c r="MNB128" s="94"/>
      <c r="MNC128" s="94"/>
      <c r="MND128" s="94"/>
      <c r="MNE128" s="94"/>
      <c r="MNF128" s="94"/>
      <c r="MNG128" s="94"/>
      <c r="MNH128" s="94"/>
      <c r="MNI128" s="94"/>
      <c r="MNJ128" s="94"/>
      <c r="MNK128" s="94"/>
      <c r="MNL128" s="94"/>
      <c r="MNM128" s="94"/>
      <c r="MNN128" s="94"/>
      <c r="MNO128" s="94"/>
      <c r="MNP128" s="94"/>
      <c r="MNQ128" s="94"/>
      <c r="MNR128" s="94"/>
      <c r="MNS128" s="94"/>
      <c r="MNT128" s="94"/>
      <c r="MNU128" s="94"/>
      <c r="MNV128" s="94"/>
      <c r="MNW128" s="94"/>
      <c r="MNX128" s="94"/>
      <c r="MNY128" s="94"/>
      <c r="MNZ128" s="94"/>
      <c r="MOA128" s="94"/>
      <c r="MOB128" s="94"/>
      <c r="MOC128" s="94"/>
      <c r="MOD128" s="94"/>
      <c r="MOE128" s="94"/>
      <c r="MOF128" s="94"/>
      <c r="MOG128" s="94"/>
      <c r="MOH128" s="94"/>
      <c r="MOI128" s="94"/>
      <c r="MOJ128" s="94"/>
      <c r="MOK128" s="94"/>
      <c r="MOL128" s="94"/>
      <c r="MOM128" s="94"/>
      <c r="MON128" s="94"/>
      <c r="MOO128" s="94"/>
      <c r="MOP128" s="94"/>
      <c r="MOQ128" s="94"/>
      <c r="MOR128" s="94"/>
      <c r="MOS128" s="94"/>
      <c r="MOT128" s="94"/>
      <c r="MOU128" s="94"/>
      <c r="MOV128" s="94"/>
      <c r="MOW128" s="94"/>
      <c r="MOX128" s="94"/>
      <c r="MOY128" s="94"/>
      <c r="MOZ128" s="94"/>
      <c r="MPA128" s="94"/>
      <c r="MPB128" s="94"/>
      <c r="MPC128" s="94"/>
      <c r="MPD128" s="94"/>
      <c r="MPE128" s="94"/>
      <c r="MPF128" s="94"/>
      <c r="MPG128" s="94"/>
      <c r="MPH128" s="94"/>
      <c r="MPI128" s="94"/>
      <c r="MPJ128" s="94"/>
      <c r="MPK128" s="94"/>
      <c r="MPL128" s="94"/>
      <c r="MPM128" s="94"/>
      <c r="MPN128" s="94"/>
      <c r="MPO128" s="94"/>
      <c r="MPP128" s="94"/>
      <c r="MPQ128" s="94"/>
      <c r="MPR128" s="94"/>
      <c r="MPS128" s="94"/>
      <c r="MPT128" s="94"/>
      <c r="MPU128" s="94"/>
      <c r="MPV128" s="94"/>
      <c r="MPW128" s="94"/>
      <c r="MPX128" s="94"/>
      <c r="MPY128" s="94"/>
      <c r="MPZ128" s="94"/>
      <c r="MQA128" s="94"/>
      <c r="MQB128" s="94"/>
      <c r="MQC128" s="94"/>
      <c r="MQD128" s="94"/>
      <c r="MQE128" s="94"/>
      <c r="MQF128" s="94"/>
      <c r="MQG128" s="94"/>
      <c r="MQH128" s="94"/>
      <c r="MQI128" s="94"/>
      <c r="MQJ128" s="94"/>
      <c r="MQK128" s="94"/>
      <c r="MQL128" s="94"/>
      <c r="MQM128" s="94"/>
      <c r="MQN128" s="94"/>
      <c r="MQO128" s="94"/>
      <c r="MQP128" s="94"/>
      <c r="MQQ128" s="94"/>
      <c r="MQR128" s="94"/>
      <c r="MQS128" s="94"/>
      <c r="MQT128" s="94"/>
      <c r="MQU128" s="94"/>
      <c r="MQV128" s="94"/>
      <c r="MQW128" s="94"/>
      <c r="MQX128" s="94"/>
      <c r="MQY128" s="94"/>
      <c r="MQZ128" s="94"/>
      <c r="MRA128" s="94"/>
      <c r="MRB128" s="94"/>
      <c r="MRC128" s="94"/>
      <c r="MRD128" s="94"/>
      <c r="MRE128" s="94"/>
      <c r="MRF128" s="94"/>
      <c r="MRG128" s="94"/>
      <c r="MRH128" s="94"/>
      <c r="MRI128" s="94"/>
      <c r="MRJ128" s="94"/>
      <c r="MRK128" s="94"/>
      <c r="MRL128" s="94"/>
      <c r="MRM128" s="94"/>
      <c r="MRN128" s="94"/>
      <c r="MRO128" s="94"/>
      <c r="MRP128" s="94"/>
      <c r="MRQ128" s="94"/>
      <c r="MRR128" s="94"/>
      <c r="MRS128" s="94"/>
      <c r="MRT128" s="94"/>
      <c r="MRU128" s="94"/>
      <c r="MRV128" s="94"/>
      <c r="MRW128" s="94"/>
      <c r="MRX128" s="94"/>
      <c r="MRY128" s="94"/>
      <c r="MRZ128" s="94"/>
      <c r="MSA128" s="94"/>
      <c r="MSB128" s="94"/>
      <c r="MSC128" s="94"/>
      <c r="MSD128" s="94"/>
      <c r="MSE128" s="94"/>
      <c r="MSF128" s="94"/>
      <c r="MSG128" s="94"/>
      <c r="MSH128" s="94"/>
      <c r="MSI128" s="94"/>
      <c r="MSJ128" s="94"/>
      <c r="MSK128" s="94"/>
      <c r="MSL128" s="94"/>
      <c r="MSM128" s="94"/>
      <c r="MSN128" s="94"/>
      <c r="MSO128" s="94"/>
      <c r="MSP128" s="94"/>
      <c r="MSQ128" s="94"/>
      <c r="MSR128" s="94"/>
      <c r="MSS128" s="94"/>
      <c r="MST128" s="94"/>
      <c r="MSU128" s="94"/>
      <c r="MSV128" s="94"/>
      <c r="MSW128" s="94"/>
      <c r="MSX128" s="94"/>
      <c r="MSY128" s="94"/>
      <c r="MSZ128" s="94"/>
      <c r="MTA128" s="94"/>
      <c r="MTB128" s="94"/>
      <c r="MTC128" s="94"/>
      <c r="MTD128" s="94"/>
      <c r="MTE128" s="94"/>
      <c r="MTF128" s="94"/>
      <c r="MTG128" s="94"/>
      <c r="MTH128" s="94"/>
      <c r="MTI128" s="94"/>
      <c r="MTJ128" s="94"/>
      <c r="MTK128" s="94"/>
      <c r="MTL128" s="94"/>
      <c r="MTM128" s="94"/>
      <c r="MTN128" s="94"/>
      <c r="MTO128" s="94"/>
      <c r="MTP128" s="94"/>
      <c r="MTQ128" s="94"/>
      <c r="MTR128" s="94"/>
      <c r="MTS128" s="94"/>
      <c r="MTT128" s="94"/>
      <c r="MTU128" s="94"/>
      <c r="MTV128" s="94"/>
      <c r="MTW128" s="94"/>
      <c r="MTX128" s="94"/>
      <c r="MTY128" s="94"/>
      <c r="MTZ128" s="94"/>
      <c r="MUA128" s="94"/>
      <c r="MUB128" s="94"/>
      <c r="MUC128" s="94"/>
      <c r="MUD128" s="94"/>
      <c r="MUE128" s="94"/>
      <c r="MUF128" s="94"/>
      <c r="MUG128" s="94"/>
      <c r="MUH128" s="94"/>
      <c r="MUI128" s="94"/>
      <c r="MUJ128" s="94"/>
      <c r="MUK128" s="94"/>
      <c r="MUL128" s="94"/>
      <c r="MUM128" s="94"/>
      <c r="MUN128" s="94"/>
      <c r="MUO128" s="94"/>
      <c r="MUP128" s="94"/>
      <c r="MUQ128" s="94"/>
      <c r="MUR128" s="94"/>
      <c r="MUS128" s="94"/>
      <c r="MUT128" s="94"/>
      <c r="MUU128" s="94"/>
      <c r="MUV128" s="94"/>
      <c r="MUW128" s="94"/>
      <c r="MUX128" s="94"/>
      <c r="MUY128" s="94"/>
      <c r="MUZ128" s="94"/>
      <c r="MVA128" s="94"/>
      <c r="MVB128" s="94"/>
      <c r="MVC128" s="94"/>
      <c r="MVD128" s="94"/>
      <c r="MVE128" s="94"/>
      <c r="MVF128" s="94"/>
      <c r="MVG128" s="94"/>
      <c r="MVH128" s="94"/>
      <c r="MVI128" s="94"/>
      <c r="MVJ128" s="94"/>
      <c r="MVK128" s="94"/>
      <c r="MVL128" s="94"/>
      <c r="MVM128" s="94"/>
      <c r="MVN128" s="94"/>
      <c r="MVO128" s="94"/>
      <c r="MVP128" s="94"/>
      <c r="MVQ128" s="94"/>
      <c r="MVR128" s="94"/>
      <c r="MVS128" s="94"/>
      <c r="MVT128" s="94"/>
      <c r="MVU128" s="94"/>
      <c r="MVV128" s="94"/>
      <c r="MVW128" s="94"/>
      <c r="MVX128" s="94"/>
      <c r="MVY128" s="94"/>
      <c r="MVZ128" s="94"/>
      <c r="MWA128" s="94"/>
      <c r="MWB128" s="94"/>
      <c r="MWC128" s="94"/>
      <c r="MWD128" s="94"/>
      <c r="MWE128" s="94"/>
      <c r="MWF128" s="94"/>
      <c r="MWG128" s="94"/>
      <c r="MWH128" s="94"/>
      <c r="MWI128" s="94"/>
      <c r="MWJ128" s="94"/>
      <c r="MWK128" s="94"/>
      <c r="MWL128" s="94"/>
      <c r="MWM128" s="94"/>
      <c r="MWN128" s="94"/>
      <c r="MWO128" s="94"/>
      <c r="MWP128" s="94"/>
      <c r="MWQ128" s="94"/>
      <c r="MWR128" s="94"/>
      <c r="MWS128" s="94"/>
      <c r="MWT128" s="94"/>
      <c r="MWU128" s="94"/>
      <c r="MWV128" s="94"/>
      <c r="MWW128" s="94"/>
      <c r="MWX128" s="94"/>
      <c r="MWY128" s="94"/>
      <c r="MWZ128" s="94"/>
      <c r="MXA128" s="94"/>
      <c r="MXB128" s="94"/>
      <c r="MXC128" s="94"/>
      <c r="MXD128" s="94"/>
      <c r="MXE128" s="94"/>
      <c r="MXF128" s="94"/>
      <c r="MXG128" s="94"/>
      <c r="MXH128" s="94"/>
      <c r="MXI128" s="94"/>
      <c r="MXJ128" s="94"/>
      <c r="MXK128" s="94"/>
      <c r="MXL128" s="94"/>
      <c r="MXM128" s="94"/>
      <c r="MXN128" s="94"/>
      <c r="MXO128" s="94"/>
      <c r="MXP128" s="94"/>
      <c r="MXQ128" s="94"/>
      <c r="MXR128" s="94"/>
      <c r="MXS128" s="94"/>
      <c r="MXT128" s="94"/>
      <c r="MXU128" s="94"/>
      <c r="MXV128" s="94"/>
      <c r="MXW128" s="94"/>
      <c r="MXX128" s="94"/>
      <c r="MXY128" s="94"/>
      <c r="MXZ128" s="94"/>
      <c r="MYA128" s="94"/>
      <c r="MYB128" s="94"/>
      <c r="MYC128" s="94"/>
      <c r="MYD128" s="94"/>
      <c r="MYE128" s="94"/>
      <c r="MYF128" s="94"/>
      <c r="MYG128" s="94"/>
      <c r="MYH128" s="94"/>
      <c r="MYI128" s="94"/>
      <c r="MYJ128" s="94"/>
      <c r="MYK128" s="94"/>
      <c r="MYL128" s="94"/>
      <c r="MYM128" s="94"/>
      <c r="MYN128" s="94"/>
      <c r="MYO128" s="94"/>
      <c r="MYP128" s="94"/>
      <c r="MYQ128" s="94"/>
      <c r="MYR128" s="94"/>
      <c r="MYS128" s="94"/>
      <c r="MYT128" s="94"/>
      <c r="MYU128" s="94"/>
      <c r="MYV128" s="94"/>
      <c r="MYW128" s="94"/>
      <c r="MYX128" s="94"/>
      <c r="MYY128" s="94"/>
      <c r="MYZ128" s="94"/>
      <c r="MZA128" s="94"/>
      <c r="MZB128" s="94"/>
      <c r="MZC128" s="94"/>
      <c r="MZD128" s="94"/>
      <c r="MZE128" s="94"/>
      <c r="MZF128" s="94"/>
      <c r="MZG128" s="94"/>
      <c r="MZH128" s="94"/>
      <c r="MZI128" s="94"/>
      <c r="MZJ128" s="94"/>
      <c r="MZK128" s="94"/>
      <c r="MZL128" s="94"/>
      <c r="MZM128" s="94"/>
      <c r="MZN128" s="94"/>
      <c r="MZO128" s="94"/>
      <c r="MZP128" s="94"/>
      <c r="MZQ128" s="94"/>
      <c r="MZR128" s="94"/>
      <c r="MZS128" s="94"/>
      <c r="MZT128" s="94"/>
      <c r="MZU128" s="94"/>
      <c r="MZV128" s="94"/>
      <c r="MZW128" s="94"/>
      <c r="MZX128" s="94"/>
      <c r="MZY128" s="94"/>
      <c r="MZZ128" s="94"/>
      <c r="NAA128" s="94"/>
      <c r="NAB128" s="94"/>
      <c r="NAC128" s="94"/>
      <c r="NAD128" s="94"/>
      <c r="NAE128" s="94"/>
      <c r="NAF128" s="94"/>
      <c r="NAG128" s="94"/>
      <c r="NAH128" s="94"/>
      <c r="NAI128" s="94"/>
      <c r="NAJ128" s="94"/>
      <c r="NAK128" s="94"/>
      <c r="NAL128" s="94"/>
      <c r="NAM128" s="94"/>
      <c r="NAN128" s="94"/>
      <c r="NAO128" s="94"/>
      <c r="NAP128" s="94"/>
      <c r="NAQ128" s="94"/>
      <c r="NAR128" s="94"/>
      <c r="NAS128" s="94"/>
      <c r="NAT128" s="94"/>
      <c r="NAU128" s="94"/>
      <c r="NAV128" s="94"/>
      <c r="NAW128" s="94"/>
      <c r="NAX128" s="94"/>
      <c r="NAY128" s="94"/>
      <c r="NAZ128" s="94"/>
      <c r="NBA128" s="94"/>
      <c r="NBB128" s="94"/>
      <c r="NBC128" s="94"/>
      <c r="NBD128" s="94"/>
      <c r="NBE128" s="94"/>
      <c r="NBF128" s="94"/>
      <c r="NBG128" s="94"/>
      <c r="NBH128" s="94"/>
      <c r="NBI128" s="94"/>
      <c r="NBJ128" s="94"/>
      <c r="NBK128" s="94"/>
      <c r="NBL128" s="94"/>
      <c r="NBM128" s="94"/>
      <c r="NBN128" s="94"/>
      <c r="NBO128" s="94"/>
      <c r="NBP128" s="94"/>
      <c r="NBQ128" s="94"/>
      <c r="NBR128" s="94"/>
      <c r="NBS128" s="94"/>
      <c r="NBT128" s="94"/>
      <c r="NBU128" s="94"/>
      <c r="NBV128" s="94"/>
      <c r="NBW128" s="94"/>
      <c r="NBX128" s="94"/>
      <c r="NBY128" s="94"/>
      <c r="NBZ128" s="94"/>
      <c r="NCA128" s="94"/>
      <c r="NCB128" s="94"/>
      <c r="NCC128" s="94"/>
      <c r="NCD128" s="94"/>
      <c r="NCE128" s="94"/>
      <c r="NCF128" s="94"/>
      <c r="NCG128" s="94"/>
      <c r="NCH128" s="94"/>
      <c r="NCI128" s="94"/>
      <c r="NCJ128" s="94"/>
      <c r="NCK128" s="94"/>
      <c r="NCL128" s="94"/>
      <c r="NCM128" s="94"/>
      <c r="NCN128" s="94"/>
      <c r="NCO128" s="94"/>
      <c r="NCP128" s="94"/>
      <c r="NCQ128" s="94"/>
      <c r="NCR128" s="94"/>
      <c r="NCS128" s="94"/>
      <c r="NCT128" s="94"/>
      <c r="NCU128" s="94"/>
      <c r="NCV128" s="94"/>
      <c r="NCW128" s="94"/>
      <c r="NCX128" s="94"/>
      <c r="NCY128" s="94"/>
      <c r="NCZ128" s="94"/>
      <c r="NDA128" s="94"/>
      <c r="NDB128" s="94"/>
      <c r="NDC128" s="94"/>
      <c r="NDD128" s="94"/>
      <c r="NDE128" s="94"/>
      <c r="NDF128" s="94"/>
      <c r="NDG128" s="94"/>
      <c r="NDH128" s="94"/>
      <c r="NDI128" s="94"/>
      <c r="NDJ128" s="94"/>
      <c r="NDK128" s="94"/>
      <c r="NDL128" s="94"/>
      <c r="NDM128" s="94"/>
      <c r="NDN128" s="94"/>
      <c r="NDO128" s="94"/>
      <c r="NDP128" s="94"/>
      <c r="NDQ128" s="94"/>
      <c r="NDR128" s="94"/>
      <c r="NDS128" s="94"/>
      <c r="NDT128" s="94"/>
      <c r="NDU128" s="94"/>
      <c r="NDV128" s="94"/>
      <c r="NDW128" s="94"/>
      <c r="NDX128" s="94"/>
      <c r="NDY128" s="94"/>
      <c r="NDZ128" s="94"/>
      <c r="NEA128" s="94"/>
      <c r="NEB128" s="94"/>
      <c r="NEC128" s="94"/>
      <c r="NED128" s="94"/>
      <c r="NEE128" s="94"/>
      <c r="NEF128" s="94"/>
      <c r="NEG128" s="94"/>
      <c r="NEH128" s="94"/>
      <c r="NEI128" s="94"/>
      <c r="NEJ128" s="94"/>
      <c r="NEK128" s="94"/>
      <c r="NEL128" s="94"/>
      <c r="NEM128" s="94"/>
      <c r="NEN128" s="94"/>
      <c r="NEO128" s="94"/>
      <c r="NEP128" s="94"/>
      <c r="NEQ128" s="94"/>
      <c r="NER128" s="94"/>
      <c r="NES128" s="94"/>
      <c r="NET128" s="94"/>
      <c r="NEU128" s="94"/>
      <c r="NEV128" s="94"/>
      <c r="NEW128" s="94"/>
      <c r="NEX128" s="94"/>
      <c r="NEY128" s="94"/>
      <c r="NEZ128" s="94"/>
      <c r="NFA128" s="94"/>
      <c r="NFB128" s="94"/>
      <c r="NFC128" s="94"/>
      <c r="NFD128" s="94"/>
      <c r="NFE128" s="94"/>
      <c r="NFF128" s="94"/>
      <c r="NFG128" s="94"/>
      <c r="NFH128" s="94"/>
      <c r="NFI128" s="94"/>
      <c r="NFJ128" s="94"/>
      <c r="NFK128" s="94"/>
      <c r="NFL128" s="94"/>
      <c r="NFM128" s="94"/>
      <c r="NFN128" s="94"/>
      <c r="NFO128" s="94"/>
      <c r="NFP128" s="94"/>
      <c r="NFQ128" s="94"/>
      <c r="NFR128" s="94"/>
      <c r="NFS128" s="94"/>
      <c r="NFT128" s="94"/>
      <c r="NFU128" s="94"/>
      <c r="NFV128" s="94"/>
      <c r="NFW128" s="94"/>
      <c r="NFX128" s="94"/>
      <c r="NFY128" s="94"/>
      <c r="NFZ128" s="94"/>
      <c r="NGA128" s="94"/>
      <c r="NGB128" s="94"/>
      <c r="NGC128" s="94"/>
      <c r="NGD128" s="94"/>
      <c r="NGE128" s="94"/>
      <c r="NGF128" s="94"/>
      <c r="NGG128" s="94"/>
      <c r="NGH128" s="94"/>
      <c r="NGI128" s="94"/>
      <c r="NGJ128" s="94"/>
      <c r="NGK128" s="94"/>
      <c r="NGL128" s="94"/>
      <c r="NGM128" s="94"/>
      <c r="NGN128" s="94"/>
      <c r="NGO128" s="94"/>
      <c r="NGP128" s="94"/>
      <c r="NGQ128" s="94"/>
      <c r="NGR128" s="94"/>
      <c r="NGS128" s="94"/>
      <c r="NGT128" s="94"/>
      <c r="NGU128" s="94"/>
      <c r="NGV128" s="94"/>
      <c r="NGW128" s="94"/>
      <c r="NGX128" s="94"/>
      <c r="NGY128" s="94"/>
      <c r="NGZ128" s="94"/>
      <c r="NHA128" s="94"/>
      <c r="NHB128" s="94"/>
      <c r="NHC128" s="94"/>
      <c r="NHD128" s="94"/>
      <c r="NHE128" s="94"/>
      <c r="NHF128" s="94"/>
      <c r="NHG128" s="94"/>
      <c r="NHH128" s="94"/>
      <c r="NHI128" s="94"/>
      <c r="NHJ128" s="94"/>
      <c r="NHK128" s="94"/>
      <c r="NHL128" s="94"/>
      <c r="NHM128" s="94"/>
      <c r="NHN128" s="94"/>
      <c r="NHO128" s="94"/>
      <c r="NHP128" s="94"/>
      <c r="NHQ128" s="94"/>
      <c r="NHR128" s="94"/>
      <c r="NHS128" s="94"/>
      <c r="NHT128" s="94"/>
      <c r="NHU128" s="94"/>
      <c r="NHV128" s="94"/>
      <c r="NHW128" s="94"/>
      <c r="NHX128" s="94"/>
      <c r="NHY128" s="94"/>
      <c r="NHZ128" s="94"/>
      <c r="NIA128" s="94"/>
      <c r="NIB128" s="94"/>
      <c r="NIC128" s="94"/>
      <c r="NID128" s="94"/>
      <c r="NIE128" s="94"/>
      <c r="NIF128" s="94"/>
      <c r="NIG128" s="94"/>
      <c r="NIH128" s="94"/>
      <c r="NII128" s="94"/>
      <c r="NIJ128" s="94"/>
      <c r="NIK128" s="94"/>
      <c r="NIL128" s="94"/>
      <c r="NIM128" s="94"/>
      <c r="NIN128" s="94"/>
      <c r="NIO128" s="94"/>
      <c r="NIP128" s="94"/>
      <c r="NIQ128" s="94"/>
      <c r="NIR128" s="94"/>
      <c r="NIS128" s="94"/>
      <c r="NIT128" s="94"/>
      <c r="NIU128" s="94"/>
      <c r="NIV128" s="94"/>
      <c r="NIW128" s="94"/>
      <c r="NIX128" s="94"/>
      <c r="NIY128" s="94"/>
      <c r="NIZ128" s="94"/>
      <c r="NJA128" s="94"/>
      <c r="NJB128" s="94"/>
      <c r="NJC128" s="94"/>
      <c r="NJD128" s="94"/>
      <c r="NJE128" s="94"/>
      <c r="NJF128" s="94"/>
      <c r="NJG128" s="94"/>
      <c r="NJH128" s="94"/>
      <c r="NJI128" s="94"/>
      <c r="NJJ128" s="94"/>
      <c r="NJK128" s="94"/>
      <c r="NJL128" s="94"/>
      <c r="NJM128" s="94"/>
      <c r="NJN128" s="94"/>
      <c r="NJO128" s="94"/>
      <c r="NJP128" s="94"/>
      <c r="NJQ128" s="94"/>
      <c r="NJR128" s="94"/>
      <c r="NJS128" s="94"/>
      <c r="NJT128" s="94"/>
      <c r="NJU128" s="94"/>
      <c r="NJV128" s="94"/>
      <c r="NJW128" s="94"/>
      <c r="NJX128" s="94"/>
      <c r="NJY128" s="94"/>
      <c r="NJZ128" s="94"/>
      <c r="NKA128" s="94"/>
      <c r="NKB128" s="94"/>
      <c r="NKC128" s="94"/>
      <c r="NKD128" s="94"/>
      <c r="NKE128" s="94"/>
      <c r="NKF128" s="94"/>
      <c r="NKG128" s="94"/>
      <c r="NKH128" s="94"/>
      <c r="NKI128" s="94"/>
      <c r="NKJ128" s="94"/>
      <c r="NKK128" s="94"/>
      <c r="NKL128" s="94"/>
      <c r="NKM128" s="94"/>
      <c r="NKN128" s="94"/>
      <c r="NKO128" s="94"/>
      <c r="NKP128" s="94"/>
      <c r="NKQ128" s="94"/>
      <c r="NKR128" s="94"/>
      <c r="NKS128" s="94"/>
      <c r="NKT128" s="94"/>
      <c r="NKU128" s="94"/>
      <c r="NKV128" s="94"/>
      <c r="NKW128" s="94"/>
      <c r="NKX128" s="94"/>
      <c r="NKY128" s="94"/>
      <c r="NKZ128" s="94"/>
      <c r="NLA128" s="94"/>
      <c r="NLB128" s="94"/>
      <c r="NLC128" s="94"/>
      <c r="NLD128" s="94"/>
      <c r="NLE128" s="94"/>
      <c r="NLF128" s="94"/>
      <c r="NLG128" s="94"/>
      <c r="NLH128" s="94"/>
      <c r="NLI128" s="94"/>
      <c r="NLJ128" s="94"/>
      <c r="NLK128" s="94"/>
      <c r="NLL128" s="94"/>
      <c r="NLM128" s="94"/>
      <c r="NLN128" s="94"/>
      <c r="NLO128" s="94"/>
      <c r="NLP128" s="94"/>
      <c r="NLQ128" s="94"/>
      <c r="NLR128" s="94"/>
      <c r="NLS128" s="94"/>
      <c r="NLT128" s="94"/>
      <c r="NLU128" s="94"/>
      <c r="NLV128" s="94"/>
      <c r="NLW128" s="94"/>
      <c r="NLX128" s="94"/>
      <c r="NLY128" s="94"/>
      <c r="NLZ128" s="94"/>
      <c r="NMA128" s="94"/>
      <c r="NMB128" s="94"/>
      <c r="NMC128" s="94"/>
      <c r="NMD128" s="94"/>
      <c r="NME128" s="94"/>
      <c r="NMF128" s="94"/>
      <c r="NMG128" s="94"/>
      <c r="NMH128" s="94"/>
      <c r="NMI128" s="94"/>
      <c r="NMJ128" s="94"/>
      <c r="NMK128" s="94"/>
      <c r="NML128" s="94"/>
      <c r="NMM128" s="94"/>
      <c r="NMN128" s="94"/>
      <c r="NMO128" s="94"/>
      <c r="NMP128" s="94"/>
      <c r="NMQ128" s="94"/>
      <c r="NMR128" s="94"/>
      <c r="NMS128" s="94"/>
      <c r="NMT128" s="94"/>
      <c r="NMU128" s="94"/>
      <c r="NMV128" s="94"/>
      <c r="NMW128" s="94"/>
      <c r="NMX128" s="94"/>
      <c r="NMY128" s="94"/>
      <c r="NMZ128" s="94"/>
      <c r="NNA128" s="94"/>
      <c r="NNB128" s="94"/>
      <c r="NNC128" s="94"/>
      <c r="NND128" s="94"/>
      <c r="NNE128" s="94"/>
      <c r="NNF128" s="94"/>
      <c r="NNG128" s="94"/>
      <c r="NNH128" s="94"/>
      <c r="NNI128" s="94"/>
      <c r="NNJ128" s="94"/>
      <c r="NNK128" s="94"/>
      <c r="NNL128" s="94"/>
      <c r="NNM128" s="94"/>
      <c r="NNN128" s="94"/>
      <c r="NNO128" s="94"/>
      <c r="NNP128" s="94"/>
      <c r="NNQ128" s="94"/>
      <c r="NNR128" s="94"/>
      <c r="NNS128" s="94"/>
      <c r="NNT128" s="94"/>
      <c r="NNU128" s="94"/>
      <c r="NNV128" s="94"/>
      <c r="NNW128" s="94"/>
      <c r="NNX128" s="94"/>
      <c r="NNY128" s="94"/>
      <c r="NNZ128" s="94"/>
      <c r="NOA128" s="94"/>
      <c r="NOB128" s="94"/>
      <c r="NOC128" s="94"/>
      <c r="NOD128" s="94"/>
      <c r="NOE128" s="94"/>
      <c r="NOF128" s="94"/>
      <c r="NOG128" s="94"/>
      <c r="NOH128" s="94"/>
      <c r="NOI128" s="94"/>
      <c r="NOJ128" s="94"/>
      <c r="NOK128" s="94"/>
      <c r="NOL128" s="94"/>
      <c r="NOM128" s="94"/>
      <c r="NON128" s="94"/>
      <c r="NOO128" s="94"/>
      <c r="NOP128" s="94"/>
      <c r="NOQ128" s="94"/>
      <c r="NOR128" s="94"/>
      <c r="NOS128" s="94"/>
      <c r="NOT128" s="94"/>
      <c r="NOU128" s="94"/>
      <c r="NOV128" s="94"/>
      <c r="NOW128" s="94"/>
      <c r="NOX128" s="94"/>
      <c r="NOY128" s="94"/>
      <c r="NOZ128" s="94"/>
      <c r="NPA128" s="94"/>
      <c r="NPB128" s="94"/>
      <c r="NPC128" s="94"/>
      <c r="NPD128" s="94"/>
      <c r="NPE128" s="94"/>
      <c r="NPF128" s="94"/>
      <c r="NPG128" s="94"/>
      <c r="NPH128" s="94"/>
      <c r="NPI128" s="94"/>
      <c r="NPJ128" s="94"/>
      <c r="NPK128" s="94"/>
      <c r="NPL128" s="94"/>
      <c r="NPM128" s="94"/>
      <c r="NPN128" s="94"/>
      <c r="NPO128" s="94"/>
      <c r="NPP128" s="94"/>
      <c r="NPQ128" s="94"/>
      <c r="NPR128" s="94"/>
      <c r="NPS128" s="94"/>
      <c r="NPT128" s="94"/>
      <c r="NPU128" s="94"/>
      <c r="NPV128" s="94"/>
      <c r="NPW128" s="94"/>
      <c r="NPX128" s="94"/>
      <c r="NPY128" s="94"/>
      <c r="NPZ128" s="94"/>
      <c r="NQA128" s="94"/>
      <c r="NQB128" s="94"/>
      <c r="NQC128" s="94"/>
      <c r="NQD128" s="94"/>
      <c r="NQE128" s="94"/>
      <c r="NQF128" s="94"/>
      <c r="NQG128" s="94"/>
      <c r="NQH128" s="94"/>
      <c r="NQI128" s="94"/>
      <c r="NQJ128" s="94"/>
      <c r="NQK128" s="94"/>
      <c r="NQL128" s="94"/>
      <c r="NQM128" s="94"/>
      <c r="NQN128" s="94"/>
      <c r="NQO128" s="94"/>
      <c r="NQP128" s="94"/>
      <c r="NQQ128" s="94"/>
      <c r="NQR128" s="94"/>
      <c r="NQS128" s="94"/>
      <c r="NQT128" s="94"/>
      <c r="NQU128" s="94"/>
      <c r="NQV128" s="94"/>
      <c r="NQW128" s="94"/>
      <c r="NQX128" s="94"/>
      <c r="NQY128" s="94"/>
      <c r="NQZ128" s="94"/>
      <c r="NRA128" s="94"/>
      <c r="NRB128" s="94"/>
      <c r="NRC128" s="94"/>
      <c r="NRD128" s="94"/>
      <c r="NRE128" s="94"/>
      <c r="NRF128" s="94"/>
      <c r="NRG128" s="94"/>
      <c r="NRH128" s="94"/>
      <c r="NRI128" s="94"/>
      <c r="NRJ128" s="94"/>
      <c r="NRK128" s="94"/>
      <c r="NRL128" s="94"/>
      <c r="NRM128" s="94"/>
      <c r="NRN128" s="94"/>
      <c r="NRO128" s="94"/>
      <c r="NRP128" s="94"/>
      <c r="NRQ128" s="94"/>
      <c r="NRR128" s="94"/>
      <c r="NRS128" s="94"/>
      <c r="NRT128" s="94"/>
      <c r="NRU128" s="94"/>
      <c r="NRV128" s="94"/>
      <c r="NRW128" s="94"/>
      <c r="NRX128" s="94"/>
      <c r="NRY128" s="94"/>
      <c r="NRZ128" s="94"/>
      <c r="NSA128" s="94"/>
      <c r="NSB128" s="94"/>
      <c r="NSC128" s="94"/>
      <c r="NSD128" s="94"/>
      <c r="NSE128" s="94"/>
      <c r="NSF128" s="94"/>
      <c r="NSG128" s="94"/>
      <c r="NSH128" s="94"/>
      <c r="NSI128" s="94"/>
      <c r="NSJ128" s="94"/>
      <c r="NSK128" s="94"/>
      <c r="NSL128" s="94"/>
      <c r="NSM128" s="94"/>
      <c r="NSN128" s="94"/>
      <c r="NSO128" s="94"/>
      <c r="NSP128" s="94"/>
      <c r="NSQ128" s="94"/>
      <c r="NSR128" s="94"/>
      <c r="NSS128" s="94"/>
      <c r="NST128" s="94"/>
      <c r="NSU128" s="94"/>
      <c r="NSV128" s="94"/>
      <c r="NSW128" s="94"/>
      <c r="NSX128" s="94"/>
      <c r="NSY128" s="94"/>
      <c r="NSZ128" s="94"/>
      <c r="NTA128" s="94"/>
      <c r="NTB128" s="94"/>
      <c r="NTC128" s="94"/>
      <c r="NTD128" s="94"/>
      <c r="NTE128" s="94"/>
      <c r="NTF128" s="94"/>
      <c r="NTG128" s="94"/>
      <c r="NTH128" s="94"/>
      <c r="NTI128" s="94"/>
      <c r="NTJ128" s="94"/>
      <c r="NTK128" s="94"/>
      <c r="NTL128" s="94"/>
      <c r="NTM128" s="94"/>
      <c r="NTN128" s="94"/>
      <c r="NTO128" s="94"/>
      <c r="NTP128" s="94"/>
      <c r="NTQ128" s="94"/>
      <c r="NTR128" s="94"/>
      <c r="NTS128" s="94"/>
      <c r="NTT128" s="94"/>
      <c r="NTU128" s="94"/>
      <c r="NTV128" s="94"/>
      <c r="NTW128" s="94"/>
      <c r="NTX128" s="94"/>
      <c r="NTY128" s="94"/>
      <c r="NTZ128" s="94"/>
      <c r="NUA128" s="94"/>
      <c r="NUB128" s="94"/>
      <c r="NUC128" s="94"/>
      <c r="NUD128" s="94"/>
      <c r="NUE128" s="94"/>
      <c r="NUF128" s="94"/>
      <c r="NUG128" s="94"/>
      <c r="NUH128" s="94"/>
      <c r="NUI128" s="94"/>
      <c r="NUJ128" s="94"/>
      <c r="NUK128" s="94"/>
      <c r="NUL128" s="94"/>
      <c r="NUM128" s="94"/>
      <c r="NUN128" s="94"/>
      <c r="NUO128" s="94"/>
      <c r="NUP128" s="94"/>
      <c r="NUQ128" s="94"/>
      <c r="NUR128" s="94"/>
      <c r="NUS128" s="94"/>
      <c r="NUT128" s="94"/>
      <c r="NUU128" s="94"/>
      <c r="NUV128" s="94"/>
      <c r="NUW128" s="94"/>
      <c r="NUX128" s="94"/>
      <c r="NUY128" s="94"/>
      <c r="NUZ128" s="94"/>
      <c r="NVA128" s="94"/>
      <c r="NVB128" s="94"/>
      <c r="NVC128" s="94"/>
      <c r="NVD128" s="94"/>
      <c r="NVE128" s="94"/>
      <c r="NVF128" s="94"/>
      <c r="NVG128" s="94"/>
      <c r="NVH128" s="94"/>
      <c r="NVI128" s="94"/>
      <c r="NVJ128" s="94"/>
      <c r="NVK128" s="94"/>
      <c r="NVL128" s="94"/>
      <c r="NVM128" s="94"/>
      <c r="NVN128" s="94"/>
      <c r="NVO128" s="94"/>
      <c r="NVP128" s="94"/>
      <c r="NVQ128" s="94"/>
      <c r="NVR128" s="94"/>
      <c r="NVS128" s="94"/>
      <c r="NVT128" s="94"/>
      <c r="NVU128" s="94"/>
      <c r="NVV128" s="94"/>
      <c r="NVW128" s="94"/>
      <c r="NVX128" s="94"/>
      <c r="NVY128" s="94"/>
      <c r="NVZ128" s="94"/>
      <c r="NWA128" s="94"/>
      <c r="NWB128" s="94"/>
      <c r="NWC128" s="94"/>
      <c r="NWD128" s="94"/>
      <c r="NWE128" s="94"/>
      <c r="NWF128" s="94"/>
      <c r="NWG128" s="94"/>
      <c r="NWH128" s="94"/>
      <c r="NWI128" s="94"/>
      <c r="NWJ128" s="94"/>
      <c r="NWK128" s="94"/>
      <c r="NWL128" s="94"/>
      <c r="NWM128" s="94"/>
      <c r="NWN128" s="94"/>
      <c r="NWO128" s="94"/>
      <c r="NWP128" s="94"/>
      <c r="NWQ128" s="94"/>
      <c r="NWR128" s="94"/>
      <c r="NWS128" s="94"/>
      <c r="NWT128" s="94"/>
      <c r="NWU128" s="94"/>
      <c r="NWV128" s="94"/>
      <c r="NWW128" s="94"/>
      <c r="NWX128" s="94"/>
      <c r="NWY128" s="94"/>
      <c r="NWZ128" s="94"/>
      <c r="NXA128" s="94"/>
      <c r="NXB128" s="94"/>
      <c r="NXC128" s="94"/>
      <c r="NXD128" s="94"/>
      <c r="NXE128" s="94"/>
      <c r="NXF128" s="94"/>
      <c r="NXG128" s="94"/>
      <c r="NXH128" s="94"/>
      <c r="NXI128" s="94"/>
      <c r="NXJ128" s="94"/>
      <c r="NXK128" s="94"/>
      <c r="NXL128" s="94"/>
      <c r="NXM128" s="94"/>
      <c r="NXN128" s="94"/>
      <c r="NXO128" s="94"/>
      <c r="NXP128" s="94"/>
      <c r="NXQ128" s="94"/>
      <c r="NXR128" s="94"/>
      <c r="NXS128" s="94"/>
      <c r="NXT128" s="94"/>
      <c r="NXU128" s="94"/>
      <c r="NXV128" s="94"/>
      <c r="NXW128" s="94"/>
      <c r="NXX128" s="94"/>
      <c r="NXY128" s="94"/>
      <c r="NXZ128" s="94"/>
      <c r="NYA128" s="94"/>
      <c r="NYB128" s="94"/>
      <c r="NYC128" s="94"/>
      <c r="NYD128" s="94"/>
      <c r="NYE128" s="94"/>
      <c r="NYF128" s="94"/>
      <c r="NYG128" s="94"/>
      <c r="NYH128" s="94"/>
      <c r="NYI128" s="94"/>
      <c r="NYJ128" s="94"/>
      <c r="NYK128" s="94"/>
      <c r="NYL128" s="94"/>
      <c r="NYM128" s="94"/>
      <c r="NYN128" s="94"/>
      <c r="NYO128" s="94"/>
      <c r="NYP128" s="94"/>
      <c r="NYQ128" s="94"/>
      <c r="NYR128" s="94"/>
      <c r="NYS128" s="94"/>
      <c r="NYT128" s="94"/>
      <c r="NYU128" s="94"/>
      <c r="NYV128" s="94"/>
      <c r="NYW128" s="94"/>
      <c r="NYX128" s="94"/>
      <c r="NYY128" s="94"/>
      <c r="NYZ128" s="94"/>
      <c r="NZA128" s="94"/>
      <c r="NZB128" s="94"/>
      <c r="NZC128" s="94"/>
      <c r="NZD128" s="94"/>
      <c r="NZE128" s="94"/>
      <c r="NZF128" s="94"/>
      <c r="NZG128" s="94"/>
      <c r="NZH128" s="94"/>
      <c r="NZI128" s="94"/>
      <c r="NZJ128" s="94"/>
      <c r="NZK128" s="94"/>
      <c r="NZL128" s="94"/>
      <c r="NZM128" s="94"/>
      <c r="NZN128" s="94"/>
      <c r="NZO128" s="94"/>
      <c r="NZP128" s="94"/>
      <c r="NZQ128" s="94"/>
      <c r="NZR128" s="94"/>
      <c r="NZS128" s="94"/>
      <c r="NZT128" s="94"/>
      <c r="NZU128" s="94"/>
      <c r="NZV128" s="94"/>
      <c r="NZW128" s="94"/>
      <c r="NZX128" s="94"/>
      <c r="NZY128" s="94"/>
      <c r="NZZ128" s="94"/>
      <c r="OAA128" s="94"/>
      <c r="OAB128" s="94"/>
      <c r="OAC128" s="94"/>
      <c r="OAD128" s="94"/>
      <c r="OAE128" s="94"/>
      <c r="OAF128" s="94"/>
      <c r="OAG128" s="94"/>
      <c r="OAH128" s="94"/>
      <c r="OAI128" s="94"/>
      <c r="OAJ128" s="94"/>
      <c r="OAK128" s="94"/>
      <c r="OAL128" s="94"/>
      <c r="OAM128" s="94"/>
      <c r="OAN128" s="94"/>
      <c r="OAO128" s="94"/>
      <c r="OAP128" s="94"/>
      <c r="OAQ128" s="94"/>
      <c r="OAR128" s="94"/>
      <c r="OAS128" s="94"/>
      <c r="OAT128" s="94"/>
      <c r="OAU128" s="94"/>
      <c r="OAV128" s="94"/>
      <c r="OAW128" s="94"/>
      <c r="OAX128" s="94"/>
      <c r="OAY128" s="94"/>
      <c r="OAZ128" s="94"/>
      <c r="OBA128" s="94"/>
      <c r="OBB128" s="94"/>
      <c r="OBC128" s="94"/>
      <c r="OBD128" s="94"/>
      <c r="OBE128" s="94"/>
      <c r="OBF128" s="94"/>
      <c r="OBG128" s="94"/>
      <c r="OBH128" s="94"/>
      <c r="OBI128" s="94"/>
      <c r="OBJ128" s="94"/>
      <c r="OBK128" s="94"/>
      <c r="OBL128" s="94"/>
      <c r="OBM128" s="94"/>
      <c r="OBN128" s="94"/>
      <c r="OBO128" s="94"/>
      <c r="OBP128" s="94"/>
      <c r="OBQ128" s="94"/>
      <c r="OBR128" s="94"/>
      <c r="OBS128" s="94"/>
      <c r="OBT128" s="94"/>
      <c r="OBU128" s="94"/>
      <c r="OBV128" s="94"/>
      <c r="OBW128" s="94"/>
      <c r="OBX128" s="94"/>
      <c r="OBY128" s="94"/>
      <c r="OBZ128" s="94"/>
      <c r="OCA128" s="94"/>
      <c r="OCB128" s="94"/>
      <c r="OCC128" s="94"/>
      <c r="OCD128" s="94"/>
      <c r="OCE128" s="94"/>
      <c r="OCF128" s="94"/>
      <c r="OCG128" s="94"/>
      <c r="OCH128" s="94"/>
      <c r="OCI128" s="94"/>
      <c r="OCJ128" s="94"/>
      <c r="OCK128" s="94"/>
      <c r="OCL128" s="94"/>
      <c r="OCM128" s="94"/>
      <c r="OCN128" s="94"/>
      <c r="OCO128" s="94"/>
      <c r="OCP128" s="94"/>
      <c r="OCQ128" s="94"/>
      <c r="OCR128" s="94"/>
      <c r="OCS128" s="94"/>
      <c r="OCT128" s="94"/>
      <c r="OCU128" s="94"/>
      <c r="OCV128" s="94"/>
      <c r="OCW128" s="94"/>
      <c r="OCX128" s="94"/>
      <c r="OCY128" s="94"/>
      <c r="OCZ128" s="94"/>
      <c r="ODA128" s="94"/>
      <c r="ODB128" s="94"/>
      <c r="ODC128" s="94"/>
      <c r="ODD128" s="94"/>
      <c r="ODE128" s="94"/>
      <c r="ODF128" s="94"/>
      <c r="ODG128" s="94"/>
      <c r="ODH128" s="94"/>
      <c r="ODI128" s="94"/>
      <c r="ODJ128" s="94"/>
      <c r="ODK128" s="94"/>
      <c r="ODL128" s="94"/>
      <c r="ODM128" s="94"/>
      <c r="ODN128" s="94"/>
      <c r="ODO128" s="94"/>
      <c r="ODP128" s="94"/>
      <c r="ODQ128" s="94"/>
      <c r="ODR128" s="94"/>
      <c r="ODS128" s="94"/>
      <c r="ODT128" s="94"/>
      <c r="ODU128" s="94"/>
      <c r="ODV128" s="94"/>
      <c r="ODW128" s="94"/>
      <c r="ODX128" s="94"/>
      <c r="ODY128" s="94"/>
      <c r="ODZ128" s="94"/>
      <c r="OEA128" s="94"/>
      <c r="OEB128" s="94"/>
      <c r="OEC128" s="94"/>
      <c r="OED128" s="94"/>
      <c r="OEE128" s="94"/>
      <c r="OEF128" s="94"/>
      <c r="OEG128" s="94"/>
      <c r="OEH128" s="94"/>
      <c r="OEI128" s="94"/>
      <c r="OEJ128" s="94"/>
      <c r="OEK128" s="94"/>
      <c r="OEL128" s="94"/>
      <c r="OEM128" s="94"/>
      <c r="OEN128" s="94"/>
      <c r="OEO128" s="94"/>
      <c r="OEP128" s="94"/>
      <c r="OEQ128" s="94"/>
      <c r="OER128" s="94"/>
      <c r="OES128" s="94"/>
      <c r="OET128" s="94"/>
      <c r="OEU128" s="94"/>
      <c r="OEV128" s="94"/>
      <c r="OEW128" s="94"/>
      <c r="OEX128" s="94"/>
      <c r="OEY128" s="94"/>
      <c r="OEZ128" s="94"/>
      <c r="OFA128" s="94"/>
      <c r="OFB128" s="94"/>
      <c r="OFC128" s="94"/>
      <c r="OFD128" s="94"/>
      <c r="OFE128" s="94"/>
      <c r="OFF128" s="94"/>
      <c r="OFG128" s="94"/>
      <c r="OFH128" s="94"/>
      <c r="OFI128" s="94"/>
      <c r="OFJ128" s="94"/>
      <c r="OFK128" s="94"/>
      <c r="OFL128" s="94"/>
      <c r="OFM128" s="94"/>
      <c r="OFN128" s="94"/>
      <c r="OFO128" s="94"/>
      <c r="OFP128" s="94"/>
      <c r="OFQ128" s="94"/>
      <c r="OFR128" s="94"/>
      <c r="OFS128" s="94"/>
      <c r="OFT128" s="94"/>
      <c r="OFU128" s="94"/>
      <c r="OFV128" s="94"/>
      <c r="OFW128" s="94"/>
      <c r="OFX128" s="94"/>
      <c r="OFY128" s="94"/>
      <c r="OFZ128" s="94"/>
      <c r="OGA128" s="94"/>
      <c r="OGB128" s="94"/>
      <c r="OGC128" s="94"/>
      <c r="OGD128" s="94"/>
      <c r="OGE128" s="94"/>
      <c r="OGF128" s="94"/>
      <c r="OGG128" s="94"/>
      <c r="OGH128" s="94"/>
      <c r="OGI128" s="94"/>
      <c r="OGJ128" s="94"/>
      <c r="OGK128" s="94"/>
      <c r="OGL128" s="94"/>
      <c r="OGM128" s="94"/>
      <c r="OGN128" s="94"/>
      <c r="OGO128" s="94"/>
      <c r="OGP128" s="94"/>
      <c r="OGQ128" s="94"/>
      <c r="OGR128" s="94"/>
      <c r="OGS128" s="94"/>
      <c r="OGT128" s="94"/>
      <c r="OGU128" s="94"/>
      <c r="OGV128" s="94"/>
      <c r="OGW128" s="94"/>
      <c r="OGX128" s="94"/>
      <c r="OGY128" s="94"/>
      <c r="OGZ128" s="94"/>
      <c r="OHA128" s="94"/>
      <c r="OHB128" s="94"/>
      <c r="OHC128" s="94"/>
      <c r="OHD128" s="94"/>
      <c r="OHE128" s="94"/>
      <c r="OHF128" s="94"/>
      <c r="OHG128" s="94"/>
      <c r="OHH128" s="94"/>
      <c r="OHI128" s="94"/>
      <c r="OHJ128" s="94"/>
      <c r="OHK128" s="94"/>
      <c r="OHL128" s="94"/>
      <c r="OHM128" s="94"/>
      <c r="OHN128" s="94"/>
      <c r="OHO128" s="94"/>
      <c r="OHP128" s="94"/>
      <c r="OHQ128" s="94"/>
      <c r="OHR128" s="94"/>
      <c r="OHS128" s="94"/>
      <c r="OHT128" s="94"/>
      <c r="OHU128" s="94"/>
      <c r="OHV128" s="94"/>
      <c r="OHW128" s="94"/>
      <c r="OHX128" s="94"/>
      <c r="OHY128" s="94"/>
      <c r="OHZ128" s="94"/>
      <c r="OIA128" s="94"/>
      <c r="OIB128" s="94"/>
      <c r="OIC128" s="94"/>
      <c r="OID128" s="94"/>
      <c r="OIE128" s="94"/>
      <c r="OIF128" s="94"/>
      <c r="OIG128" s="94"/>
      <c r="OIH128" s="94"/>
      <c r="OII128" s="94"/>
      <c r="OIJ128" s="94"/>
      <c r="OIK128" s="94"/>
      <c r="OIL128" s="94"/>
      <c r="OIM128" s="94"/>
      <c r="OIN128" s="94"/>
      <c r="OIO128" s="94"/>
      <c r="OIP128" s="94"/>
      <c r="OIQ128" s="94"/>
      <c r="OIR128" s="94"/>
      <c r="OIS128" s="94"/>
      <c r="OIT128" s="94"/>
      <c r="OIU128" s="94"/>
      <c r="OIV128" s="94"/>
      <c r="OIW128" s="94"/>
      <c r="OIX128" s="94"/>
      <c r="OIY128" s="94"/>
      <c r="OIZ128" s="94"/>
      <c r="OJA128" s="94"/>
      <c r="OJB128" s="94"/>
      <c r="OJC128" s="94"/>
      <c r="OJD128" s="94"/>
      <c r="OJE128" s="94"/>
      <c r="OJF128" s="94"/>
      <c r="OJG128" s="94"/>
      <c r="OJH128" s="94"/>
      <c r="OJI128" s="94"/>
      <c r="OJJ128" s="94"/>
      <c r="OJK128" s="94"/>
      <c r="OJL128" s="94"/>
      <c r="OJM128" s="94"/>
      <c r="OJN128" s="94"/>
      <c r="OJO128" s="94"/>
      <c r="OJP128" s="94"/>
      <c r="OJQ128" s="94"/>
      <c r="OJR128" s="94"/>
      <c r="OJS128" s="94"/>
      <c r="OJT128" s="94"/>
      <c r="OJU128" s="94"/>
      <c r="OJV128" s="94"/>
      <c r="OJW128" s="94"/>
      <c r="OJX128" s="94"/>
      <c r="OJY128" s="94"/>
      <c r="OJZ128" s="94"/>
      <c r="OKA128" s="94"/>
      <c r="OKB128" s="94"/>
      <c r="OKC128" s="94"/>
      <c r="OKD128" s="94"/>
      <c r="OKE128" s="94"/>
      <c r="OKF128" s="94"/>
      <c r="OKG128" s="94"/>
      <c r="OKH128" s="94"/>
      <c r="OKI128" s="94"/>
      <c r="OKJ128" s="94"/>
      <c r="OKK128" s="94"/>
      <c r="OKL128" s="94"/>
      <c r="OKM128" s="94"/>
      <c r="OKN128" s="94"/>
      <c r="OKO128" s="94"/>
      <c r="OKP128" s="94"/>
      <c r="OKQ128" s="94"/>
      <c r="OKR128" s="94"/>
      <c r="OKS128" s="94"/>
      <c r="OKT128" s="94"/>
      <c r="OKU128" s="94"/>
      <c r="OKV128" s="94"/>
      <c r="OKW128" s="94"/>
      <c r="OKX128" s="94"/>
      <c r="OKY128" s="94"/>
      <c r="OKZ128" s="94"/>
      <c r="OLA128" s="94"/>
      <c r="OLB128" s="94"/>
      <c r="OLC128" s="94"/>
      <c r="OLD128" s="94"/>
      <c r="OLE128" s="94"/>
      <c r="OLF128" s="94"/>
      <c r="OLG128" s="94"/>
      <c r="OLH128" s="94"/>
      <c r="OLI128" s="94"/>
      <c r="OLJ128" s="94"/>
      <c r="OLK128" s="94"/>
      <c r="OLL128" s="94"/>
      <c r="OLM128" s="94"/>
      <c r="OLN128" s="94"/>
      <c r="OLO128" s="94"/>
      <c r="OLP128" s="94"/>
      <c r="OLQ128" s="94"/>
      <c r="OLR128" s="94"/>
      <c r="OLS128" s="94"/>
      <c r="OLT128" s="94"/>
      <c r="OLU128" s="94"/>
      <c r="OLV128" s="94"/>
      <c r="OLW128" s="94"/>
      <c r="OLX128" s="94"/>
      <c r="OLY128" s="94"/>
      <c r="OLZ128" s="94"/>
      <c r="OMA128" s="94"/>
      <c r="OMB128" s="94"/>
      <c r="OMC128" s="94"/>
      <c r="OMD128" s="94"/>
      <c r="OME128" s="94"/>
      <c r="OMF128" s="94"/>
      <c r="OMG128" s="94"/>
      <c r="OMH128" s="94"/>
      <c r="OMI128" s="94"/>
      <c r="OMJ128" s="94"/>
      <c r="OMK128" s="94"/>
      <c r="OML128" s="94"/>
      <c r="OMM128" s="94"/>
      <c r="OMN128" s="94"/>
      <c r="OMO128" s="94"/>
      <c r="OMP128" s="94"/>
      <c r="OMQ128" s="94"/>
      <c r="OMR128" s="94"/>
      <c r="OMS128" s="94"/>
      <c r="OMT128" s="94"/>
      <c r="OMU128" s="94"/>
      <c r="OMV128" s="94"/>
      <c r="OMW128" s="94"/>
      <c r="OMX128" s="94"/>
      <c r="OMY128" s="94"/>
      <c r="OMZ128" s="94"/>
      <c r="ONA128" s="94"/>
      <c r="ONB128" s="94"/>
      <c r="ONC128" s="94"/>
      <c r="OND128" s="94"/>
      <c r="ONE128" s="94"/>
      <c r="ONF128" s="94"/>
      <c r="ONG128" s="94"/>
      <c r="ONH128" s="94"/>
      <c r="ONI128" s="94"/>
      <c r="ONJ128" s="94"/>
      <c r="ONK128" s="94"/>
      <c r="ONL128" s="94"/>
      <c r="ONM128" s="94"/>
      <c r="ONN128" s="94"/>
      <c r="ONO128" s="94"/>
      <c r="ONP128" s="94"/>
      <c r="ONQ128" s="94"/>
      <c r="ONR128" s="94"/>
      <c r="ONS128" s="94"/>
      <c r="ONT128" s="94"/>
      <c r="ONU128" s="94"/>
      <c r="ONV128" s="94"/>
      <c r="ONW128" s="94"/>
      <c r="ONX128" s="94"/>
      <c r="ONY128" s="94"/>
      <c r="ONZ128" s="94"/>
      <c r="OOA128" s="94"/>
      <c r="OOB128" s="94"/>
      <c r="OOC128" s="94"/>
      <c r="OOD128" s="94"/>
      <c r="OOE128" s="94"/>
      <c r="OOF128" s="94"/>
      <c r="OOG128" s="94"/>
      <c r="OOH128" s="94"/>
      <c r="OOI128" s="94"/>
      <c r="OOJ128" s="94"/>
      <c r="OOK128" s="94"/>
      <c r="OOL128" s="94"/>
      <c r="OOM128" s="94"/>
      <c r="OON128" s="94"/>
      <c r="OOO128" s="94"/>
      <c r="OOP128" s="94"/>
      <c r="OOQ128" s="94"/>
      <c r="OOR128" s="94"/>
      <c r="OOS128" s="94"/>
      <c r="OOT128" s="94"/>
      <c r="OOU128" s="94"/>
      <c r="OOV128" s="94"/>
      <c r="OOW128" s="94"/>
      <c r="OOX128" s="94"/>
      <c r="OOY128" s="94"/>
      <c r="OOZ128" s="94"/>
      <c r="OPA128" s="94"/>
      <c r="OPB128" s="94"/>
      <c r="OPC128" s="94"/>
      <c r="OPD128" s="94"/>
      <c r="OPE128" s="94"/>
      <c r="OPF128" s="94"/>
      <c r="OPG128" s="94"/>
      <c r="OPH128" s="94"/>
      <c r="OPI128" s="94"/>
      <c r="OPJ128" s="94"/>
      <c r="OPK128" s="94"/>
      <c r="OPL128" s="94"/>
      <c r="OPM128" s="94"/>
      <c r="OPN128" s="94"/>
      <c r="OPO128" s="94"/>
      <c r="OPP128" s="94"/>
      <c r="OPQ128" s="94"/>
      <c r="OPR128" s="94"/>
      <c r="OPS128" s="94"/>
      <c r="OPT128" s="94"/>
      <c r="OPU128" s="94"/>
      <c r="OPV128" s="94"/>
      <c r="OPW128" s="94"/>
      <c r="OPX128" s="94"/>
      <c r="OPY128" s="94"/>
      <c r="OPZ128" s="94"/>
      <c r="OQA128" s="94"/>
      <c r="OQB128" s="94"/>
      <c r="OQC128" s="94"/>
      <c r="OQD128" s="94"/>
      <c r="OQE128" s="94"/>
      <c r="OQF128" s="94"/>
      <c r="OQG128" s="94"/>
      <c r="OQH128" s="94"/>
      <c r="OQI128" s="94"/>
      <c r="OQJ128" s="94"/>
      <c r="OQK128" s="94"/>
      <c r="OQL128" s="94"/>
      <c r="OQM128" s="94"/>
      <c r="OQN128" s="94"/>
      <c r="OQO128" s="94"/>
      <c r="OQP128" s="94"/>
      <c r="OQQ128" s="94"/>
      <c r="OQR128" s="94"/>
      <c r="OQS128" s="94"/>
      <c r="OQT128" s="94"/>
      <c r="OQU128" s="94"/>
      <c r="OQV128" s="94"/>
      <c r="OQW128" s="94"/>
      <c r="OQX128" s="94"/>
      <c r="OQY128" s="94"/>
      <c r="OQZ128" s="94"/>
      <c r="ORA128" s="94"/>
      <c r="ORB128" s="94"/>
      <c r="ORC128" s="94"/>
      <c r="ORD128" s="94"/>
      <c r="ORE128" s="94"/>
      <c r="ORF128" s="94"/>
      <c r="ORG128" s="94"/>
      <c r="ORH128" s="94"/>
      <c r="ORI128" s="94"/>
      <c r="ORJ128" s="94"/>
      <c r="ORK128" s="94"/>
      <c r="ORL128" s="94"/>
      <c r="ORM128" s="94"/>
      <c r="ORN128" s="94"/>
      <c r="ORO128" s="94"/>
      <c r="ORP128" s="94"/>
      <c r="ORQ128" s="94"/>
      <c r="ORR128" s="94"/>
      <c r="ORS128" s="94"/>
      <c r="ORT128" s="94"/>
      <c r="ORU128" s="94"/>
      <c r="ORV128" s="94"/>
      <c r="ORW128" s="94"/>
      <c r="ORX128" s="94"/>
      <c r="ORY128" s="94"/>
      <c r="ORZ128" s="94"/>
      <c r="OSA128" s="94"/>
      <c r="OSB128" s="94"/>
      <c r="OSC128" s="94"/>
      <c r="OSD128" s="94"/>
      <c r="OSE128" s="94"/>
      <c r="OSF128" s="94"/>
      <c r="OSG128" s="94"/>
      <c r="OSH128" s="94"/>
      <c r="OSI128" s="94"/>
      <c r="OSJ128" s="94"/>
      <c r="OSK128" s="94"/>
      <c r="OSL128" s="94"/>
      <c r="OSM128" s="94"/>
      <c r="OSN128" s="94"/>
      <c r="OSO128" s="94"/>
      <c r="OSP128" s="94"/>
      <c r="OSQ128" s="94"/>
      <c r="OSR128" s="94"/>
      <c r="OSS128" s="94"/>
      <c r="OST128" s="94"/>
      <c r="OSU128" s="94"/>
      <c r="OSV128" s="94"/>
      <c r="OSW128" s="94"/>
      <c r="OSX128" s="94"/>
      <c r="OSY128" s="94"/>
      <c r="OSZ128" s="94"/>
      <c r="OTA128" s="94"/>
      <c r="OTB128" s="94"/>
      <c r="OTC128" s="94"/>
      <c r="OTD128" s="94"/>
      <c r="OTE128" s="94"/>
      <c r="OTF128" s="94"/>
      <c r="OTG128" s="94"/>
      <c r="OTH128" s="94"/>
      <c r="OTI128" s="94"/>
      <c r="OTJ128" s="94"/>
      <c r="OTK128" s="94"/>
      <c r="OTL128" s="94"/>
      <c r="OTM128" s="94"/>
      <c r="OTN128" s="94"/>
      <c r="OTO128" s="94"/>
      <c r="OTP128" s="94"/>
      <c r="OTQ128" s="94"/>
      <c r="OTR128" s="94"/>
      <c r="OTS128" s="94"/>
      <c r="OTT128" s="94"/>
      <c r="OTU128" s="94"/>
      <c r="OTV128" s="94"/>
      <c r="OTW128" s="94"/>
      <c r="OTX128" s="94"/>
      <c r="OTY128" s="94"/>
      <c r="OTZ128" s="94"/>
      <c r="OUA128" s="94"/>
      <c r="OUB128" s="94"/>
      <c r="OUC128" s="94"/>
      <c r="OUD128" s="94"/>
      <c r="OUE128" s="94"/>
      <c r="OUF128" s="94"/>
      <c r="OUG128" s="94"/>
      <c r="OUH128" s="94"/>
      <c r="OUI128" s="94"/>
      <c r="OUJ128" s="94"/>
      <c r="OUK128" s="94"/>
      <c r="OUL128" s="94"/>
      <c r="OUM128" s="94"/>
      <c r="OUN128" s="94"/>
      <c r="OUO128" s="94"/>
      <c r="OUP128" s="94"/>
      <c r="OUQ128" s="94"/>
      <c r="OUR128" s="94"/>
      <c r="OUS128" s="94"/>
      <c r="OUT128" s="94"/>
      <c r="OUU128" s="94"/>
      <c r="OUV128" s="94"/>
      <c r="OUW128" s="94"/>
      <c r="OUX128" s="94"/>
      <c r="OUY128" s="94"/>
      <c r="OUZ128" s="94"/>
      <c r="OVA128" s="94"/>
      <c r="OVB128" s="94"/>
      <c r="OVC128" s="94"/>
      <c r="OVD128" s="94"/>
      <c r="OVE128" s="94"/>
      <c r="OVF128" s="94"/>
      <c r="OVG128" s="94"/>
      <c r="OVH128" s="94"/>
      <c r="OVI128" s="94"/>
      <c r="OVJ128" s="94"/>
      <c r="OVK128" s="94"/>
      <c r="OVL128" s="94"/>
      <c r="OVM128" s="94"/>
      <c r="OVN128" s="94"/>
      <c r="OVO128" s="94"/>
      <c r="OVP128" s="94"/>
      <c r="OVQ128" s="94"/>
      <c r="OVR128" s="94"/>
      <c r="OVS128" s="94"/>
      <c r="OVT128" s="94"/>
      <c r="OVU128" s="94"/>
      <c r="OVV128" s="94"/>
      <c r="OVW128" s="94"/>
      <c r="OVX128" s="94"/>
      <c r="OVY128" s="94"/>
      <c r="OVZ128" s="94"/>
      <c r="OWA128" s="94"/>
      <c r="OWB128" s="94"/>
      <c r="OWC128" s="94"/>
      <c r="OWD128" s="94"/>
      <c r="OWE128" s="94"/>
      <c r="OWF128" s="94"/>
      <c r="OWG128" s="94"/>
      <c r="OWH128" s="94"/>
      <c r="OWI128" s="94"/>
      <c r="OWJ128" s="94"/>
      <c r="OWK128" s="94"/>
      <c r="OWL128" s="94"/>
      <c r="OWM128" s="94"/>
      <c r="OWN128" s="94"/>
      <c r="OWO128" s="94"/>
      <c r="OWP128" s="94"/>
      <c r="OWQ128" s="94"/>
      <c r="OWR128" s="94"/>
      <c r="OWS128" s="94"/>
      <c r="OWT128" s="94"/>
      <c r="OWU128" s="94"/>
      <c r="OWV128" s="94"/>
      <c r="OWW128" s="94"/>
      <c r="OWX128" s="94"/>
      <c r="OWY128" s="94"/>
      <c r="OWZ128" s="94"/>
      <c r="OXA128" s="94"/>
      <c r="OXB128" s="94"/>
      <c r="OXC128" s="94"/>
      <c r="OXD128" s="94"/>
      <c r="OXE128" s="94"/>
      <c r="OXF128" s="94"/>
      <c r="OXG128" s="94"/>
      <c r="OXH128" s="94"/>
      <c r="OXI128" s="94"/>
      <c r="OXJ128" s="94"/>
      <c r="OXK128" s="94"/>
      <c r="OXL128" s="94"/>
      <c r="OXM128" s="94"/>
      <c r="OXN128" s="94"/>
      <c r="OXO128" s="94"/>
      <c r="OXP128" s="94"/>
      <c r="OXQ128" s="94"/>
      <c r="OXR128" s="94"/>
      <c r="OXS128" s="94"/>
      <c r="OXT128" s="94"/>
      <c r="OXU128" s="94"/>
      <c r="OXV128" s="94"/>
      <c r="OXW128" s="94"/>
      <c r="OXX128" s="94"/>
      <c r="OXY128" s="94"/>
      <c r="OXZ128" s="94"/>
      <c r="OYA128" s="94"/>
      <c r="OYB128" s="94"/>
      <c r="OYC128" s="94"/>
      <c r="OYD128" s="94"/>
      <c r="OYE128" s="94"/>
      <c r="OYF128" s="94"/>
      <c r="OYG128" s="94"/>
      <c r="OYH128" s="94"/>
      <c r="OYI128" s="94"/>
      <c r="OYJ128" s="94"/>
      <c r="OYK128" s="94"/>
      <c r="OYL128" s="94"/>
      <c r="OYM128" s="94"/>
      <c r="OYN128" s="94"/>
      <c r="OYO128" s="94"/>
      <c r="OYP128" s="94"/>
      <c r="OYQ128" s="94"/>
      <c r="OYR128" s="94"/>
      <c r="OYS128" s="94"/>
      <c r="OYT128" s="94"/>
      <c r="OYU128" s="94"/>
      <c r="OYV128" s="94"/>
      <c r="OYW128" s="94"/>
      <c r="OYX128" s="94"/>
      <c r="OYY128" s="94"/>
      <c r="OYZ128" s="94"/>
      <c r="OZA128" s="94"/>
      <c r="OZB128" s="94"/>
      <c r="OZC128" s="94"/>
      <c r="OZD128" s="94"/>
      <c r="OZE128" s="94"/>
      <c r="OZF128" s="94"/>
      <c r="OZG128" s="94"/>
      <c r="OZH128" s="94"/>
      <c r="OZI128" s="94"/>
      <c r="OZJ128" s="94"/>
      <c r="OZK128" s="94"/>
      <c r="OZL128" s="94"/>
      <c r="OZM128" s="94"/>
      <c r="OZN128" s="94"/>
      <c r="OZO128" s="94"/>
      <c r="OZP128" s="94"/>
      <c r="OZQ128" s="94"/>
      <c r="OZR128" s="94"/>
      <c r="OZS128" s="94"/>
      <c r="OZT128" s="94"/>
      <c r="OZU128" s="94"/>
      <c r="OZV128" s="94"/>
      <c r="OZW128" s="94"/>
      <c r="OZX128" s="94"/>
      <c r="OZY128" s="94"/>
      <c r="OZZ128" s="94"/>
      <c r="PAA128" s="94"/>
      <c r="PAB128" s="94"/>
      <c r="PAC128" s="94"/>
      <c r="PAD128" s="94"/>
      <c r="PAE128" s="94"/>
      <c r="PAF128" s="94"/>
      <c r="PAG128" s="94"/>
      <c r="PAH128" s="94"/>
      <c r="PAI128" s="94"/>
      <c r="PAJ128" s="94"/>
      <c r="PAK128" s="94"/>
      <c r="PAL128" s="94"/>
      <c r="PAM128" s="94"/>
      <c r="PAN128" s="94"/>
      <c r="PAO128" s="94"/>
      <c r="PAP128" s="94"/>
      <c r="PAQ128" s="94"/>
      <c r="PAR128" s="94"/>
      <c r="PAS128" s="94"/>
      <c r="PAT128" s="94"/>
      <c r="PAU128" s="94"/>
      <c r="PAV128" s="94"/>
      <c r="PAW128" s="94"/>
      <c r="PAX128" s="94"/>
      <c r="PAY128" s="94"/>
      <c r="PAZ128" s="94"/>
      <c r="PBA128" s="94"/>
      <c r="PBB128" s="94"/>
      <c r="PBC128" s="94"/>
      <c r="PBD128" s="94"/>
      <c r="PBE128" s="94"/>
      <c r="PBF128" s="94"/>
      <c r="PBG128" s="94"/>
      <c r="PBH128" s="94"/>
      <c r="PBI128" s="94"/>
      <c r="PBJ128" s="94"/>
      <c r="PBK128" s="94"/>
      <c r="PBL128" s="94"/>
      <c r="PBM128" s="94"/>
      <c r="PBN128" s="94"/>
      <c r="PBO128" s="94"/>
      <c r="PBP128" s="94"/>
      <c r="PBQ128" s="94"/>
      <c r="PBR128" s="94"/>
      <c r="PBS128" s="94"/>
      <c r="PBT128" s="94"/>
      <c r="PBU128" s="94"/>
      <c r="PBV128" s="94"/>
      <c r="PBW128" s="94"/>
      <c r="PBX128" s="94"/>
      <c r="PBY128" s="94"/>
      <c r="PBZ128" s="94"/>
      <c r="PCA128" s="94"/>
      <c r="PCB128" s="94"/>
      <c r="PCC128" s="94"/>
      <c r="PCD128" s="94"/>
      <c r="PCE128" s="94"/>
      <c r="PCF128" s="94"/>
      <c r="PCG128" s="94"/>
      <c r="PCH128" s="94"/>
      <c r="PCI128" s="94"/>
      <c r="PCJ128" s="94"/>
      <c r="PCK128" s="94"/>
      <c r="PCL128" s="94"/>
      <c r="PCM128" s="94"/>
      <c r="PCN128" s="94"/>
      <c r="PCO128" s="94"/>
      <c r="PCP128" s="94"/>
      <c r="PCQ128" s="94"/>
      <c r="PCR128" s="94"/>
      <c r="PCS128" s="94"/>
      <c r="PCT128" s="94"/>
      <c r="PCU128" s="94"/>
      <c r="PCV128" s="94"/>
      <c r="PCW128" s="94"/>
      <c r="PCX128" s="94"/>
      <c r="PCY128" s="94"/>
      <c r="PCZ128" s="94"/>
      <c r="PDA128" s="94"/>
      <c r="PDB128" s="94"/>
      <c r="PDC128" s="94"/>
      <c r="PDD128" s="94"/>
      <c r="PDE128" s="94"/>
      <c r="PDF128" s="94"/>
      <c r="PDG128" s="94"/>
      <c r="PDH128" s="94"/>
      <c r="PDI128" s="94"/>
      <c r="PDJ128" s="94"/>
      <c r="PDK128" s="94"/>
      <c r="PDL128" s="94"/>
      <c r="PDM128" s="94"/>
      <c r="PDN128" s="94"/>
      <c r="PDO128" s="94"/>
      <c r="PDP128" s="94"/>
      <c r="PDQ128" s="94"/>
      <c r="PDR128" s="94"/>
      <c r="PDS128" s="94"/>
      <c r="PDT128" s="94"/>
      <c r="PDU128" s="94"/>
      <c r="PDV128" s="94"/>
      <c r="PDW128" s="94"/>
      <c r="PDX128" s="94"/>
      <c r="PDY128" s="94"/>
      <c r="PDZ128" s="94"/>
      <c r="PEA128" s="94"/>
      <c r="PEB128" s="94"/>
      <c r="PEC128" s="94"/>
      <c r="PED128" s="94"/>
      <c r="PEE128" s="94"/>
      <c r="PEF128" s="94"/>
      <c r="PEG128" s="94"/>
      <c r="PEH128" s="94"/>
      <c r="PEI128" s="94"/>
      <c r="PEJ128" s="94"/>
      <c r="PEK128" s="94"/>
      <c r="PEL128" s="94"/>
      <c r="PEM128" s="94"/>
      <c r="PEN128" s="94"/>
      <c r="PEO128" s="94"/>
      <c r="PEP128" s="94"/>
      <c r="PEQ128" s="94"/>
      <c r="PER128" s="94"/>
      <c r="PES128" s="94"/>
      <c r="PET128" s="94"/>
      <c r="PEU128" s="94"/>
      <c r="PEV128" s="94"/>
      <c r="PEW128" s="94"/>
      <c r="PEX128" s="94"/>
      <c r="PEY128" s="94"/>
      <c r="PEZ128" s="94"/>
      <c r="PFA128" s="94"/>
      <c r="PFB128" s="94"/>
      <c r="PFC128" s="94"/>
      <c r="PFD128" s="94"/>
      <c r="PFE128" s="94"/>
      <c r="PFF128" s="94"/>
      <c r="PFG128" s="94"/>
      <c r="PFH128" s="94"/>
      <c r="PFI128" s="94"/>
      <c r="PFJ128" s="94"/>
      <c r="PFK128" s="94"/>
      <c r="PFL128" s="94"/>
      <c r="PFM128" s="94"/>
      <c r="PFN128" s="94"/>
      <c r="PFO128" s="94"/>
      <c r="PFP128" s="94"/>
      <c r="PFQ128" s="94"/>
      <c r="PFR128" s="94"/>
      <c r="PFS128" s="94"/>
      <c r="PFT128" s="94"/>
      <c r="PFU128" s="94"/>
      <c r="PFV128" s="94"/>
      <c r="PFW128" s="94"/>
      <c r="PFX128" s="94"/>
      <c r="PFY128" s="94"/>
      <c r="PFZ128" s="94"/>
      <c r="PGA128" s="94"/>
      <c r="PGB128" s="94"/>
      <c r="PGC128" s="94"/>
      <c r="PGD128" s="94"/>
      <c r="PGE128" s="94"/>
      <c r="PGF128" s="94"/>
      <c r="PGG128" s="94"/>
      <c r="PGH128" s="94"/>
      <c r="PGI128" s="94"/>
      <c r="PGJ128" s="94"/>
      <c r="PGK128" s="94"/>
      <c r="PGL128" s="94"/>
      <c r="PGM128" s="94"/>
      <c r="PGN128" s="94"/>
      <c r="PGO128" s="94"/>
      <c r="PGP128" s="94"/>
      <c r="PGQ128" s="94"/>
      <c r="PGR128" s="94"/>
      <c r="PGS128" s="94"/>
      <c r="PGT128" s="94"/>
      <c r="PGU128" s="94"/>
      <c r="PGV128" s="94"/>
      <c r="PGW128" s="94"/>
      <c r="PGX128" s="94"/>
      <c r="PGY128" s="94"/>
      <c r="PGZ128" s="94"/>
      <c r="PHA128" s="94"/>
      <c r="PHB128" s="94"/>
      <c r="PHC128" s="94"/>
      <c r="PHD128" s="94"/>
      <c r="PHE128" s="94"/>
      <c r="PHF128" s="94"/>
      <c r="PHG128" s="94"/>
      <c r="PHH128" s="94"/>
      <c r="PHI128" s="94"/>
      <c r="PHJ128" s="94"/>
      <c r="PHK128" s="94"/>
      <c r="PHL128" s="94"/>
      <c r="PHM128" s="94"/>
      <c r="PHN128" s="94"/>
      <c r="PHO128" s="94"/>
      <c r="PHP128" s="94"/>
      <c r="PHQ128" s="94"/>
      <c r="PHR128" s="94"/>
      <c r="PHS128" s="94"/>
      <c r="PHT128" s="94"/>
      <c r="PHU128" s="94"/>
      <c r="PHV128" s="94"/>
      <c r="PHW128" s="94"/>
      <c r="PHX128" s="94"/>
      <c r="PHY128" s="94"/>
      <c r="PHZ128" s="94"/>
      <c r="PIA128" s="94"/>
      <c r="PIB128" s="94"/>
      <c r="PIC128" s="94"/>
      <c r="PID128" s="94"/>
      <c r="PIE128" s="94"/>
      <c r="PIF128" s="94"/>
      <c r="PIG128" s="94"/>
      <c r="PIH128" s="94"/>
      <c r="PII128" s="94"/>
      <c r="PIJ128" s="94"/>
      <c r="PIK128" s="94"/>
      <c r="PIL128" s="94"/>
      <c r="PIM128" s="94"/>
      <c r="PIN128" s="94"/>
      <c r="PIO128" s="94"/>
      <c r="PIP128" s="94"/>
      <c r="PIQ128" s="94"/>
      <c r="PIR128" s="94"/>
      <c r="PIS128" s="94"/>
      <c r="PIT128" s="94"/>
      <c r="PIU128" s="94"/>
      <c r="PIV128" s="94"/>
      <c r="PIW128" s="94"/>
      <c r="PIX128" s="94"/>
      <c r="PIY128" s="94"/>
      <c r="PIZ128" s="94"/>
      <c r="PJA128" s="94"/>
      <c r="PJB128" s="94"/>
      <c r="PJC128" s="94"/>
      <c r="PJD128" s="94"/>
      <c r="PJE128" s="94"/>
      <c r="PJF128" s="94"/>
      <c r="PJG128" s="94"/>
      <c r="PJH128" s="94"/>
      <c r="PJI128" s="94"/>
      <c r="PJJ128" s="94"/>
      <c r="PJK128" s="94"/>
      <c r="PJL128" s="94"/>
      <c r="PJM128" s="94"/>
      <c r="PJN128" s="94"/>
      <c r="PJO128" s="94"/>
      <c r="PJP128" s="94"/>
      <c r="PJQ128" s="94"/>
      <c r="PJR128" s="94"/>
      <c r="PJS128" s="94"/>
      <c r="PJT128" s="94"/>
      <c r="PJU128" s="94"/>
      <c r="PJV128" s="94"/>
      <c r="PJW128" s="94"/>
      <c r="PJX128" s="94"/>
      <c r="PJY128" s="94"/>
      <c r="PJZ128" s="94"/>
      <c r="PKA128" s="94"/>
      <c r="PKB128" s="94"/>
      <c r="PKC128" s="94"/>
      <c r="PKD128" s="94"/>
      <c r="PKE128" s="94"/>
      <c r="PKF128" s="94"/>
      <c r="PKG128" s="94"/>
      <c r="PKH128" s="94"/>
      <c r="PKI128" s="94"/>
      <c r="PKJ128" s="94"/>
      <c r="PKK128" s="94"/>
      <c r="PKL128" s="94"/>
      <c r="PKM128" s="94"/>
      <c r="PKN128" s="94"/>
      <c r="PKO128" s="94"/>
      <c r="PKP128" s="94"/>
      <c r="PKQ128" s="94"/>
      <c r="PKR128" s="94"/>
      <c r="PKS128" s="94"/>
      <c r="PKT128" s="94"/>
      <c r="PKU128" s="94"/>
      <c r="PKV128" s="94"/>
      <c r="PKW128" s="94"/>
      <c r="PKX128" s="94"/>
      <c r="PKY128" s="94"/>
      <c r="PKZ128" s="94"/>
      <c r="PLA128" s="94"/>
      <c r="PLB128" s="94"/>
      <c r="PLC128" s="94"/>
      <c r="PLD128" s="94"/>
      <c r="PLE128" s="94"/>
      <c r="PLF128" s="94"/>
      <c r="PLG128" s="94"/>
      <c r="PLH128" s="94"/>
      <c r="PLI128" s="94"/>
      <c r="PLJ128" s="94"/>
      <c r="PLK128" s="94"/>
      <c r="PLL128" s="94"/>
      <c r="PLM128" s="94"/>
      <c r="PLN128" s="94"/>
      <c r="PLO128" s="94"/>
      <c r="PLP128" s="94"/>
      <c r="PLQ128" s="94"/>
      <c r="PLR128" s="94"/>
      <c r="PLS128" s="94"/>
      <c r="PLT128" s="94"/>
      <c r="PLU128" s="94"/>
      <c r="PLV128" s="94"/>
      <c r="PLW128" s="94"/>
      <c r="PLX128" s="94"/>
      <c r="PLY128" s="94"/>
      <c r="PLZ128" s="94"/>
      <c r="PMA128" s="94"/>
      <c r="PMB128" s="94"/>
      <c r="PMC128" s="94"/>
      <c r="PMD128" s="94"/>
      <c r="PME128" s="94"/>
      <c r="PMF128" s="94"/>
      <c r="PMG128" s="94"/>
      <c r="PMH128" s="94"/>
      <c r="PMI128" s="94"/>
      <c r="PMJ128" s="94"/>
      <c r="PMK128" s="94"/>
      <c r="PML128" s="94"/>
      <c r="PMM128" s="94"/>
      <c r="PMN128" s="94"/>
      <c r="PMO128" s="94"/>
      <c r="PMP128" s="94"/>
      <c r="PMQ128" s="94"/>
      <c r="PMR128" s="94"/>
      <c r="PMS128" s="94"/>
      <c r="PMT128" s="94"/>
      <c r="PMU128" s="94"/>
      <c r="PMV128" s="94"/>
      <c r="PMW128" s="94"/>
      <c r="PMX128" s="94"/>
      <c r="PMY128" s="94"/>
      <c r="PMZ128" s="94"/>
      <c r="PNA128" s="94"/>
      <c r="PNB128" s="94"/>
      <c r="PNC128" s="94"/>
      <c r="PND128" s="94"/>
      <c r="PNE128" s="94"/>
      <c r="PNF128" s="94"/>
      <c r="PNG128" s="94"/>
      <c r="PNH128" s="94"/>
      <c r="PNI128" s="94"/>
      <c r="PNJ128" s="94"/>
      <c r="PNK128" s="94"/>
      <c r="PNL128" s="94"/>
      <c r="PNM128" s="94"/>
      <c r="PNN128" s="94"/>
      <c r="PNO128" s="94"/>
      <c r="PNP128" s="94"/>
      <c r="PNQ128" s="94"/>
      <c r="PNR128" s="94"/>
      <c r="PNS128" s="94"/>
      <c r="PNT128" s="94"/>
      <c r="PNU128" s="94"/>
      <c r="PNV128" s="94"/>
      <c r="PNW128" s="94"/>
      <c r="PNX128" s="94"/>
      <c r="PNY128" s="94"/>
      <c r="PNZ128" s="94"/>
      <c r="POA128" s="94"/>
      <c r="POB128" s="94"/>
      <c r="POC128" s="94"/>
      <c r="POD128" s="94"/>
      <c r="POE128" s="94"/>
      <c r="POF128" s="94"/>
      <c r="POG128" s="94"/>
      <c r="POH128" s="94"/>
      <c r="POI128" s="94"/>
      <c r="POJ128" s="94"/>
      <c r="POK128" s="94"/>
      <c r="POL128" s="94"/>
      <c r="POM128" s="94"/>
      <c r="PON128" s="94"/>
      <c r="POO128" s="94"/>
      <c r="POP128" s="94"/>
      <c r="POQ128" s="94"/>
      <c r="POR128" s="94"/>
      <c r="POS128" s="94"/>
      <c r="POT128" s="94"/>
      <c r="POU128" s="94"/>
      <c r="POV128" s="94"/>
      <c r="POW128" s="94"/>
      <c r="POX128" s="94"/>
      <c r="POY128" s="94"/>
      <c r="POZ128" s="94"/>
      <c r="PPA128" s="94"/>
      <c r="PPB128" s="94"/>
      <c r="PPC128" s="94"/>
      <c r="PPD128" s="94"/>
      <c r="PPE128" s="94"/>
      <c r="PPF128" s="94"/>
      <c r="PPG128" s="94"/>
      <c r="PPH128" s="94"/>
      <c r="PPI128" s="94"/>
      <c r="PPJ128" s="94"/>
      <c r="PPK128" s="94"/>
      <c r="PPL128" s="94"/>
      <c r="PPM128" s="94"/>
      <c r="PPN128" s="94"/>
      <c r="PPO128" s="94"/>
      <c r="PPP128" s="94"/>
      <c r="PPQ128" s="94"/>
      <c r="PPR128" s="94"/>
      <c r="PPS128" s="94"/>
      <c r="PPT128" s="94"/>
      <c r="PPU128" s="94"/>
      <c r="PPV128" s="94"/>
      <c r="PPW128" s="94"/>
      <c r="PPX128" s="94"/>
      <c r="PPY128" s="94"/>
      <c r="PPZ128" s="94"/>
      <c r="PQA128" s="94"/>
      <c r="PQB128" s="94"/>
      <c r="PQC128" s="94"/>
      <c r="PQD128" s="94"/>
      <c r="PQE128" s="94"/>
      <c r="PQF128" s="94"/>
      <c r="PQG128" s="94"/>
      <c r="PQH128" s="94"/>
      <c r="PQI128" s="94"/>
      <c r="PQJ128" s="94"/>
      <c r="PQK128" s="94"/>
      <c r="PQL128" s="94"/>
      <c r="PQM128" s="94"/>
      <c r="PQN128" s="94"/>
      <c r="PQO128" s="94"/>
      <c r="PQP128" s="94"/>
      <c r="PQQ128" s="94"/>
      <c r="PQR128" s="94"/>
      <c r="PQS128" s="94"/>
      <c r="PQT128" s="94"/>
      <c r="PQU128" s="94"/>
      <c r="PQV128" s="94"/>
      <c r="PQW128" s="94"/>
      <c r="PQX128" s="94"/>
      <c r="PQY128" s="94"/>
      <c r="PQZ128" s="94"/>
      <c r="PRA128" s="94"/>
      <c r="PRB128" s="94"/>
      <c r="PRC128" s="94"/>
      <c r="PRD128" s="94"/>
      <c r="PRE128" s="94"/>
      <c r="PRF128" s="94"/>
      <c r="PRG128" s="94"/>
      <c r="PRH128" s="94"/>
      <c r="PRI128" s="94"/>
      <c r="PRJ128" s="94"/>
      <c r="PRK128" s="94"/>
      <c r="PRL128" s="94"/>
      <c r="PRM128" s="94"/>
      <c r="PRN128" s="94"/>
      <c r="PRO128" s="94"/>
      <c r="PRP128" s="94"/>
      <c r="PRQ128" s="94"/>
      <c r="PRR128" s="94"/>
      <c r="PRS128" s="94"/>
      <c r="PRT128" s="94"/>
      <c r="PRU128" s="94"/>
      <c r="PRV128" s="94"/>
      <c r="PRW128" s="94"/>
      <c r="PRX128" s="94"/>
      <c r="PRY128" s="94"/>
      <c r="PRZ128" s="94"/>
      <c r="PSA128" s="94"/>
      <c r="PSB128" s="94"/>
      <c r="PSC128" s="94"/>
      <c r="PSD128" s="94"/>
      <c r="PSE128" s="94"/>
      <c r="PSF128" s="94"/>
      <c r="PSG128" s="94"/>
      <c r="PSH128" s="94"/>
      <c r="PSI128" s="94"/>
      <c r="PSJ128" s="94"/>
      <c r="PSK128" s="94"/>
      <c r="PSL128" s="94"/>
      <c r="PSM128" s="94"/>
      <c r="PSN128" s="94"/>
      <c r="PSO128" s="94"/>
      <c r="PSP128" s="94"/>
      <c r="PSQ128" s="94"/>
      <c r="PSR128" s="94"/>
      <c r="PSS128" s="94"/>
      <c r="PST128" s="94"/>
      <c r="PSU128" s="94"/>
      <c r="PSV128" s="94"/>
      <c r="PSW128" s="94"/>
      <c r="PSX128" s="94"/>
      <c r="PSY128" s="94"/>
      <c r="PSZ128" s="94"/>
      <c r="PTA128" s="94"/>
      <c r="PTB128" s="94"/>
      <c r="PTC128" s="94"/>
      <c r="PTD128" s="94"/>
      <c r="PTE128" s="94"/>
      <c r="PTF128" s="94"/>
      <c r="PTG128" s="94"/>
      <c r="PTH128" s="94"/>
      <c r="PTI128" s="94"/>
      <c r="PTJ128" s="94"/>
      <c r="PTK128" s="94"/>
      <c r="PTL128" s="94"/>
      <c r="PTM128" s="94"/>
      <c r="PTN128" s="94"/>
      <c r="PTO128" s="94"/>
      <c r="PTP128" s="94"/>
      <c r="PTQ128" s="94"/>
      <c r="PTR128" s="94"/>
      <c r="PTS128" s="94"/>
      <c r="PTT128" s="94"/>
      <c r="PTU128" s="94"/>
      <c r="PTV128" s="94"/>
      <c r="PTW128" s="94"/>
      <c r="PTX128" s="94"/>
      <c r="PTY128" s="94"/>
      <c r="PTZ128" s="94"/>
      <c r="PUA128" s="94"/>
      <c r="PUB128" s="94"/>
      <c r="PUC128" s="94"/>
      <c r="PUD128" s="94"/>
      <c r="PUE128" s="94"/>
      <c r="PUF128" s="94"/>
      <c r="PUG128" s="94"/>
      <c r="PUH128" s="94"/>
      <c r="PUI128" s="94"/>
      <c r="PUJ128" s="94"/>
      <c r="PUK128" s="94"/>
      <c r="PUL128" s="94"/>
      <c r="PUM128" s="94"/>
      <c r="PUN128" s="94"/>
      <c r="PUO128" s="94"/>
      <c r="PUP128" s="94"/>
      <c r="PUQ128" s="94"/>
      <c r="PUR128" s="94"/>
      <c r="PUS128" s="94"/>
      <c r="PUT128" s="94"/>
      <c r="PUU128" s="94"/>
      <c r="PUV128" s="94"/>
      <c r="PUW128" s="94"/>
      <c r="PUX128" s="94"/>
      <c r="PUY128" s="94"/>
      <c r="PUZ128" s="94"/>
      <c r="PVA128" s="94"/>
      <c r="PVB128" s="94"/>
      <c r="PVC128" s="94"/>
      <c r="PVD128" s="94"/>
      <c r="PVE128" s="94"/>
      <c r="PVF128" s="94"/>
      <c r="PVG128" s="94"/>
      <c r="PVH128" s="94"/>
      <c r="PVI128" s="94"/>
      <c r="PVJ128" s="94"/>
      <c r="PVK128" s="94"/>
      <c r="PVL128" s="94"/>
      <c r="PVM128" s="94"/>
      <c r="PVN128" s="94"/>
      <c r="PVO128" s="94"/>
      <c r="PVP128" s="94"/>
      <c r="PVQ128" s="94"/>
      <c r="PVR128" s="94"/>
      <c r="PVS128" s="94"/>
      <c r="PVT128" s="94"/>
      <c r="PVU128" s="94"/>
      <c r="PVV128" s="94"/>
      <c r="PVW128" s="94"/>
      <c r="PVX128" s="94"/>
      <c r="PVY128" s="94"/>
      <c r="PVZ128" s="94"/>
      <c r="PWA128" s="94"/>
      <c r="PWB128" s="94"/>
      <c r="PWC128" s="94"/>
      <c r="PWD128" s="94"/>
      <c r="PWE128" s="94"/>
      <c r="PWF128" s="94"/>
      <c r="PWG128" s="94"/>
      <c r="PWH128" s="94"/>
      <c r="PWI128" s="94"/>
      <c r="PWJ128" s="94"/>
      <c r="PWK128" s="94"/>
      <c r="PWL128" s="94"/>
      <c r="PWM128" s="94"/>
      <c r="PWN128" s="94"/>
      <c r="PWO128" s="94"/>
      <c r="PWP128" s="94"/>
      <c r="PWQ128" s="94"/>
      <c r="PWR128" s="94"/>
      <c r="PWS128" s="94"/>
      <c r="PWT128" s="94"/>
      <c r="PWU128" s="94"/>
      <c r="PWV128" s="94"/>
      <c r="PWW128" s="94"/>
      <c r="PWX128" s="94"/>
      <c r="PWY128" s="94"/>
      <c r="PWZ128" s="94"/>
      <c r="PXA128" s="94"/>
      <c r="PXB128" s="94"/>
      <c r="PXC128" s="94"/>
      <c r="PXD128" s="94"/>
      <c r="PXE128" s="94"/>
      <c r="PXF128" s="94"/>
      <c r="PXG128" s="94"/>
      <c r="PXH128" s="94"/>
      <c r="PXI128" s="94"/>
      <c r="PXJ128" s="94"/>
      <c r="PXK128" s="94"/>
      <c r="PXL128" s="94"/>
      <c r="PXM128" s="94"/>
      <c r="PXN128" s="94"/>
      <c r="PXO128" s="94"/>
      <c r="PXP128" s="94"/>
      <c r="PXQ128" s="94"/>
      <c r="PXR128" s="94"/>
      <c r="PXS128" s="94"/>
      <c r="PXT128" s="94"/>
      <c r="PXU128" s="94"/>
      <c r="PXV128" s="94"/>
      <c r="PXW128" s="94"/>
      <c r="PXX128" s="94"/>
      <c r="PXY128" s="94"/>
      <c r="PXZ128" s="94"/>
      <c r="PYA128" s="94"/>
      <c r="PYB128" s="94"/>
      <c r="PYC128" s="94"/>
      <c r="PYD128" s="94"/>
      <c r="PYE128" s="94"/>
      <c r="PYF128" s="94"/>
      <c r="PYG128" s="94"/>
      <c r="PYH128" s="94"/>
      <c r="PYI128" s="94"/>
      <c r="PYJ128" s="94"/>
      <c r="PYK128" s="94"/>
      <c r="PYL128" s="94"/>
      <c r="PYM128" s="94"/>
      <c r="PYN128" s="94"/>
      <c r="PYO128" s="94"/>
      <c r="PYP128" s="94"/>
      <c r="PYQ128" s="94"/>
      <c r="PYR128" s="94"/>
      <c r="PYS128" s="94"/>
      <c r="PYT128" s="94"/>
      <c r="PYU128" s="94"/>
      <c r="PYV128" s="94"/>
      <c r="PYW128" s="94"/>
      <c r="PYX128" s="94"/>
      <c r="PYY128" s="94"/>
      <c r="PYZ128" s="94"/>
      <c r="PZA128" s="94"/>
      <c r="PZB128" s="94"/>
      <c r="PZC128" s="94"/>
      <c r="PZD128" s="94"/>
      <c r="PZE128" s="94"/>
      <c r="PZF128" s="94"/>
      <c r="PZG128" s="94"/>
      <c r="PZH128" s="94"/>
      <c r="PZI128" s="94"/>
      <c r="PZJ128" s="94"/>
      <c r="PZK128" s="94"/>
      <c r="PZL128" s="94"/>
      <c r="PZM128" s="94"/>
      <c r="PZN128" s="94"/>
      <c r="PZO128" s="94"/>
      <c r="PZP128" s="94"/>
      <c r="PZQ128" s="94"/>
      <c r="PZR128" s="94"/>
      <c r="PZS128" s="94"/>
      <c r="PZT128" s="94"/>
      <c r="PZU128" s="94"/>
      <c r="PZV128" s="94"/>
      <c r="PZW128" s="94"/>
      <c r="PZX128" s="94"/>
      <c r="PZY128" s="94"/>
      <c r="PZZ128" s="94"/>
      <c r="QAA128" s="94"/>
      <c r="QAB128" s="94"/>
      <c r="QAC128" s="94"/>
      <c r="QAD128" s="94"/>
      <c r="QAE128" s="94"/>
      <c r="QAF128" s="94"/>
      <c r="QAG128" s="94"/>
      <c r="QAH128" s="94"/>
      <c r="QAI128" s="94"/>
      <c r="QAJ128" s="94"/>
      <c r="QAK128" s="94"/>
      <c r="QAL128" s="94"/>
      <c r="QAM128" s="94"/>
      <c r="QAN128" s="94"/>
      <c r="QAO128" s="94"/>
      <c r="QAP128" s="94"/>
      <c r="QAQ128" s="94"/>
      <c r="QAR128" s="94"/>
      <c r="QAS128" s="94"/>
      <c r="QAT128" s="94"/>
      <c r="QAU128" s="94"/>
      <c r="QAV128" s="94"/>
      <c r="QAW128" s="94"/>
      <c r="QAX128" s="94"/>
      <c r="QAY128" s="94"/>
      <c r="QAZ128" s="94"/>
      <c r="QBA128" s="94"/>
      <c r="QBB128" s="94"/>
      <c r="QBC128" s="94"/>
      <c r="QBD128" s="94"/>
      <c r="QBE128" s="94"/>
      <c r="QBF128" s="94"/>
      <c r="QBG128" s="94"/>
      <c r="QBH128" s="94"/>
      <c r="QBI128" s="94"/>
      <c r="QBJ128" s="94"/>
      <c r="QBK128" s="94"/>
      <c r="QBL128" s="94"/>
      <c r="QBM128" s="94"/>
      <c r="QBN128" s="94"/>
      <c r="QBO128" s="94"/>
      <c r="QBP128" s="94"/>
      <c r="QBQ128" s="94"/>
      <c r="QBR128" s="94"/>
      <c r="QBS128" s="94"/>
      <c r="QBT128" s="94"/>
      <c r="QBU128" s="94"/>
      <c r="QBV128" s="94"/>
      <c r="QBW128" s="94"/>
      <c r="QBX128" s="94"/>
      <c r="QBY128" s="94"/>
      <c r="QBZ128" s="94"/>
      <c r="QCA128" s="94"/>
      <c r="QCB128" s="94"/>
      <c r="QCC128" s="94"/>
      <c r="QCD128" s="94"/>
      <c r="QCE128" s="94"/>
      <c r="QCF128" s="94"/>
      <c r="QCG128" s="94"/>
      <c r="QCH128" s="94"/>
      <c r="QCI128" s="94"/>
      <c r="QCJ128" s="94"/>
      <c r="QCK128" s="94"/>
      <c r="QCL128" s="94"/>
      <c r="QCM128" s="94"/>
      <c r="QCN128" s="94"/>
      <c r="QCO128" s="94"/>
      <c r="QCP128" s="94"/>
      <c r="QCQ128" s="94"/>
      <c r="QCR128" s="94"/>
      <c r="QCS128" s="94"/>
      <c r="QCT128" s="94"/>
      <c r="QCU128" s="94"/>
      <c r="QCV128" s="94"/>
      <c r="QCW128" s="94"/>
      <c r="QCX128" s="94"/>
      <c r="QCY128" s="94"/>
      <c r="QCZ128" s="94"/>
      <c r="QDA128" s="94"/>
      <c r="QDB128" s="94"/>
      <c r="QDC128" s="94"/>
      <c r="QDD128" s="94"/>
      <c r="QDE128" s="94"/>
      <c r="QDF128" s="94"/>
      <c r="QDG128" s="94"/>
      <c r="QDH128" s="94"/>
      <c r="QDI128" s="94"/>
      <c r="QDJ128" s="94"/>
      <c r="QDK128" s="94"/>
      <c r="QDL128" s="94"/>
      <c r="QDM128" s="94"/>
      <c r="QDN128" s="94"/>
      <c r="QDO128" s="94"/>
      <c r="QDP128" s="94"/>
      <c r="QDQ128" s="94"/>
      <c r="QDR128" s="94"/>
      <c r="QDS128" s="94"/>
      <c r="QDT128" s="94"/>
      <c r="QDU128" s="94"/>
      <c r="QDV128" s="94"/>
      <c r="QDW128" s="94"/>
      <c r="QDX128" s="94"/>
      <c r="QDY128" s="94"/>
      <c r="QDZ128" s="94"/>
      <c r="QEA128" s="94"/>
      <c r="QEB128" s="94"/>
      <c r="QEC128" s="94"/>
      <c r="QED128" s="94"/>
      <c r="QEE128" s="94"/>
      <c r="QEF128" s="94"/>
      <c r="QEG128" s="94"/>
      <c r="QEH128" s="94"/>
      <c r="QEI128" s="94"/>
      <c r="QEJ128" s="94"/>
      <c r="QEK128" s="94"/>
      <c r="QEL128" s="94"/>
      <c r="QEM128" s="94"/>
      <c r="QEN128" s="94"/>
      <c r="QEO128" s="94"/>
      <c r="QEP128" s="94"/>
      <c r="QEQ128" s="94"/>
      <c r="QER128" s="94"/>
      <c r="QES128" s="94"/>
      <c r="QET128" s="94"/>
      <c r="QEU128" s="94"/>
      <c r="QEV128" s="94"/>
      <c r="QEW128" s="94"/>
      <c r="QEX128" s="94"/>
      <c r="QEY128" s="94"/>
      <c r="QEZ128" s="94"/>
      <c r="QFA128" s="94"/>
      <c r="QFB128" s="94"/>
      <c r="QFC128" s="94"/>
      <c r="QFD128" s="94"/>
      <c r="QFE128" s="94"/>
      <c r="QFF128" s="94"/>
      <c r="QFG128" s="94"/>
      <c r="QFH128" s="94"/>
      <c r="QFI128" s="94"/>
      <c r="QFJ128" s="94"/>
      <c r="QFK128" s="94"/>
      <c r="QFL128" s="94"/>
      <c r="QFM128" s="94"/>
      <c r="QFN128" s="94"/>
      <c r="QFO128" s="94"/>
      <c r="QFP128" s="94"/>
      <c r="QFQ128" s="94"/>
      <c r="QFR128" s="94"/>
      <c r="QFS128" s="94"/>
      <c r="QFT128" s="94"/>
      <c r="QFU128" s="94"/>
      <c r="QFV128" s="94"/>
      <c r="QFW128" s="94"/>
      <c r="QFX128" s="94"/>
      <c r="QFY128" s="94"/>
      <c r="QFZ128" s="94"/>
      <c r="QGA128" s="94"/>
      <c r="QGB128" s="94"/>
      <c r="QGC128" s="94"/>
      <c r="QGD128" s="94"/>
      <c r="QGE128" s="94"/>
      <c r="QGF128" s="94"/>
      <c r="QGG128" s="94"/>
      <c r="QGH128" s="94"/>
      <c r="QGI128" s="94"/>
      <c r="QGJ128" s="94"/>
      <c r="QGK128" s="94"/>
      <c r="QGL128" s="94"/>
      <c r="QGM128" s="94"/>
      <c r="QGN128" s="94"/>
      <c r="QGO128" s="94"/>
      <c r="QGP128" s="94"/>
      <c r="QGQ128" s="94"/>
      <c r="QGR128" s="94"/>
      <c r="QGS128" s="94"/>
      <c r="QGT128" s="94"/>
      <c r="QGU128" s="94"/>
      <c r="QGV128" s="94"/>
      <c r="QGW128" s="94"/>
      <c r="QGX128" s="94"/>
      <c r="QGY128" s="94"/>
      <c r="QGZ128" s="94"/>
      <c r="QHA128" s="94"/>
      <c r="QHB128" s="94"/>
      <c r="QHC128" s="94"/>
      <c r="QHD128" s="94"/>
      <c r="QHE128" s="94"/>
      <c r="QHF128" s="94"/>
      <c r="QHG128" s="94"/>
      <c r="QHH128" s="94"/>
      <c r="QHI128" s="94"/>
      <c r="QHJ128" s="94"/>
      <c r="QHK128" s="94"/>
      <c r="QHL128" s="94"/>
      <c r="QHM128" s="94"/>
      <c r="QHN128" s="94"/>
      <c r="QHO128" s="94"/>
      <c r="QHP128" s="94"/>
      <c r="QHQ128" s="94"/>
      <c r="QHR128" s="94"/>
      <c r="QHS128" s="94"/>
      <c r="QHT128" s="94"/>
      <c r="QHU128" s="94"/>
      <c r="QHV128" s="94"/>
      <c r="QHW128" s="94"/>
      <c r="QHX128" s="94"/>
      <c r="QHY128" s="94"/>
      <c r="QHZ128" s="94"/>
      <c r="QIA128" s="94"/>
      <c r="QIB128" s="94"/>
      <c r="QIC128" s="94"/>
      <c r="QID128" s="94"/>
      <c r="QIE128" s="94"/>
      <c r="QIF128" s="94"/>
      <c r="QIG128" s="94"/>
      <c r="QIH128" s="94"/>
      <c r="QII128" s="94"/>
      <c r="QIJ128" s="94"/>
      <c r="QIK128" s="94"/>
      <c r="QIL128" s="94"/>
      <c r="QIM128" s="94"/>
      <c r="QIN128" s="94"/>
      <c r="QIO128" s="94"/>
      <c r="QIP128" s="94"/>
      <c r="QIQ128" s="94"/>
      <c r="QIR128" s="94"/>
      <c r="QIS128" s="94"/>
      <c r="QIT128" s="94"/>
      <c r="QIU128" s="94"/>
      <c r="QIV128" s="94"/>
      <c r="QIW128" s="94"/>
      <c r="QIX128" s="94"/>
      <c r="QIY128" s="94"/>
      <c r="QIZ128" s="94"/>
      <c r="QJA128" s="94"/>
      <c r="QJB128" s="94"/>
      <c r="QJC128" s="94"/>
      <c r="QJD128" s="94"/>
      <c r="QJE128" s="94"/>
      <c r="QJF128" s="94"/>
      <c r="QJG128" s="94"/>
      <c r="QJH128" s="94"/>
      <c r="QJI128" s="94"/>
      <c r="QJJ128" s="94"/>
      <c r="QJK128" s="94"/>
      <c r="QJL128" s="94"/>
      <c r="QJM128" s="94"/>
      <c r="QJN128" s="94"/>
      <c r="QJO128" s="94"/>
      <c r="QJP128" s="94"/>
      <c r="QJQ128" s="94"/>
      <c r="QJR128" s="94"/>
      <c r="QJS128" s="94"/>
      <c r="QJT128" s="94"/>
      <c r="QJU128" s="94"/>
      <c r="QJV128" s="94"/>
      <c r="QJW128" s="94"/>
      <c r="QJX128" s="94"/>
      <c r="QJY128" s="94"/>
      <c r="QJZ128" s="94"/>
      <c r="QKA128" s="94"/>
      <c r="QKB128" s="94"/>
      <c r="QKC128" s="94"/>
      <c r="QKD128" s="94"/>
      <c r="QKE128" s="94"/>
      <c r="QKF128" s="94"/>
      <c r="QKG128" s="94"/>
      <c r="QKH128" s="94"/>
      <c r="QKI128" s="94"/>
      <c r="QKJ128" s="94"/>
      <c r="QKK128" s="94"/>
      <c r="QKL128" s="94"/>
      <c r="QKM128" s="94"/>
      <c r="QKN128" s="94"/>
      <c r="QKO128" s="94"/>
      <c r="QKP128" s="94"/>
      <c r="QKQ128" s="94"/>
      <c r="QKR128" s="94"/>
      <c r="QKS128" s="94"/>
      <c r="QKT128" s="94"/>
      <c r="QKU128" s="94"/>
      <c r="QKV128" s="94"/>
      <c r="QKW128" s="94"/>
      <c r="QKX128" s="94"/>
      <c r="QKY128" s="94"/>
      <c r="QKZ128" s="94"/>
      <c r="QLA128" s="94"/>
      <c r="QLB128" s="94"/>
      <c r="QLC128" s="94"/>
      <c r="QLD128" s="94"/>
      <c r="QLE128" s="94"/>
      <c r="QLF128" s="94"/>
      <c r="QLG128" s="94"/>
      <c r="QLH128" s="94"/>
      <c r="QLI128" s="94"/>
      <c r="QLJ128" s="94"/>
      <c r="QLK128" s="94"/>
      <c r="QLL128" s="94"/>
      <c r="QLM128" s="94"/>
      <c r="QLN128" s="94"/>
      <c r="QLO128" s="94"/>
      <c r="QLP128" s="94"/>
      <c r="QLQ128" s="94"/>
      <c r="QLR128" s="94"/>
      <c r="QLS128" s="94"/>
      <c r="QLT128" s="94"/>
      <c r="QLU128" s="94"/>
      <c r="QLV128" s="94"/>
      <c r="QLW128" s="94"/>
      <c r="QLX128" s="94"/>
      <c r="QLY128" s="94"/>
      <c r="QLZ128" s="94"/>
      <c r="QMA128" s="94"/>
      <c r="QMB128" s="94"/>
      <c r="QMC128" s="94"/>
      <c r="QMD128" s="94"/>
      <c r="QME128" s="94"/>
      <c r="QMF128" s="94"/>
      <c r="QMG128" s="94"/>
      <c r="QMH128" s="94"/>
      <c r="QMI128" s="94"/>
      <c r="QMJ128" s="94"/>
      <c r="QMK128" s="94"/>
      <c r="QML128" s="94"/>
      <c r="QMM128" s="94"/>
      <c r="QMN128" s="94"/>
      <c r="QMO128" s="94"/>
      <c r="QMP128" s="94"/>
      <c r="QMQ128" s="94"/>
      <c r="QMR128" s="94"/>
      <c r="QMS128" s="94"/>
      <c r="QMT128" s="94"/>
      <c r="QMU128" s="94"/>
      <c r="QMV128" s="94"/>
      <c r="QMW128" s="94"/>
      <c r="QMX128" s="94"/>
      <c r="QMY128" s="94"/>
      <c r="QMZ128" s="94"/>
      <c r="QNA128" s="94"/>
      <c r="QNB128" s="94"/>
      <c r="QNC128" s="94"/>
      <c r="QND128" s="94"/>
      <c r="QNE128" s="94"/>
      <c r="QNF128" s="94"/>
      <c r="QNG128" s="94"/>
      <c r="QNH128" s="94"/>
      <c r="QNI128" s="94"/>
      <c r="QNJ128" s="94"/>
      <c r="QNK128" s="94"/>
      <c r="QNL128" s="94"/>
      <c r="QNM128" s="94"/>
      <c r="QNN128" s="94"/>
      <c r="QNO128" s="94"/>
      <c r="QNP128" s="94"/>
      <c r="QNQ128" s="94"/>
      <c r="QNR128" s="94"/>
      <c r="QNS128" s="94"/>
      <c r="QNT128" s="94"/>
      <c r="QNU128" s="94"/>
      <c r="QNV128" s="94"/>
      <c r="QNW128" s="94"/>
      <c r="QNX128" s="94"/>
      <c r="QNY128" s="94"/>
      <c r="QNZ128" s="94"/>
      <c r="QOA128" s="94"/>
      <c r="QOB128" s="94"/>
      <c r="QOC128" s="94"/>
      <c r="QOD128" s="94"/>
      <c r="QOE128" s="94"/>
      <c r="QOF128" s="94"/>
      <c r="QOG128" s="94"/>
      <c r="QOH128" s="94"/>
      <c r="QOI128" s="94"/>
      <c r="QOJ128" s="94"/>
      <c r="QOK128" s="94"/>
      <c r="QOL128" s="94"/>
      <c r="QOM128" s="94"/>
      <c r="QON128" s="94"/>
      <c r="QOO128" s="94"/>
      <c r="QOP128" s="94"/>
      <c r="QOQ128" s="94"/>
      <c r="QOR128" s="94"/>
      <c r="QOS128" s="94"/>
      <c r="QOT128" s="94"/>
      <c r="QOU128" s="94"/>
      <c r="QOV128" s="94"/>
      <c r="QOW128" s="94"/>
      <c r="QOX128" s="94"/>
      <c r="QOY128" s="94"/>
      <c r="QOZ128" s="94"/>
      <c r="QPA128" s="94"/>
      <c r="QPB128" s="94"/>
      <c r="QPC128" s="94"/>
      <c r="QPD128" s="94"/>
      <c r="QPE128" s="94"/>
      <c r="QPF128" s="94"/>
      <c r="QPG128" s="94"/>
      <c r="QPH128" s="94"/>
      <c r="QPI128" s="94"/>
      <c r="QPJ128" s="94"/>
      <c r="QPK128" s="94"/>
      <c r="QPL128" s="94"/>
      <c r="QPM128" s="94"/>
      <c r="QPN128" s="94"/>
      <c r="QPO128" s="94"/>
      <c r="QPP128" s="94"/>
      <c r="QPQ128" s="94"/>
      <c r="QPR128" s="94"/>
      <c r="QPS128" s="94"/>
      <c r="QPT128" s="94"/>
      <c r="QPU128" s="94"/>
      <c r="QPV128" s="94"/>
      <c r="QPW128" s="94"/>
      <c r="QPX128" s="94"/>
      <c r="QPY128" s="94"/>
      <c r="QPZ128" s="94"/>
      <c r="QQA128" s="94"/>
      <c r="QQB128" s="94"/>
      <c r="QQC128" s="94"/>
      <c r="QQD128" s="94"/>
      <c r="QQE128" s="94"/>
      <c r="QQF128" s="94"/>
      <c r="QQG128" s="94"/>
      <c r="QQH128" s="94"/>
      <c r="QQI128" s="94"/>
      <c r="QQJ128" s="94"/>
      <c r="QQK128" s="94"/>
      <c r="QQL128" s="94"/>
      <c r="QQM128" s="94"/>
      <c r="QQN128" s="94"/>
      <c r="QQO128" s="94"/>
      <c r="QQP128" s="94"/>
      <c r="QQQ128" s="94"/>
      <c r="QQR128" s="94"/>
      <c r="QQS128" s="94"/>
      <c r="QQT128" s="94"/>
      <c r="QQU128" s="94"/>
      <c r="QQV128" s="94"/>
      <c r="QQW128" s="94"/>
      <c r="QQX128" s="94"/>
      <c r="QQY128" s="94"/>
      <c r="QQZ128" s="94"/>
      <c r="QRA128" s="94"/>
      <c r="QRB128" s="94"/>
      <c r="QRC128" s="94"/>
      <c r="QRD128" s="94"/>
      <c r="QRE128" s="94"/>
      <c r="QRF128" s="94"/>
      <c r="QRG128" s="94"/>
      <c r="QRH128" s="94"/>
      <c r="QRI128" s="94"/>
      <c r="QRJ128" s="94"/>
      <c r="QRK128" s="94"/>
      <c r="QRL128" s="94"/>
      <c r="QRM128" s="94"/>
      <c r="QRN128" s="94"/>
      <c r="QRO128" s="94"/>
      <c r="QRP128" s="94"/>
      <c r="QRQ128" s="94"/>
      <c r="QRR128" s="94"/>
      <c r="QRS128" s="94"/>
      <c r="QRT128" s="94"/>
      <c r="QRU128" s="94"/>
      <c r="QRV128" s="94"/>
      <c r="QRW128" s="94"/>
      <c r="QRX128" s="94"/>
      <c r="QRY128" s="94"/>
      <c r="QRZ128" s="94"/>
      <c r="QSA128" s="94"/>
      <c r="QSB128" s="94"/>
      <c r="QSC128" s="94"/>
      <c r="QSD128" s="94"/>
      <c r="QSE128" s="94"/>
      <c r="QSF128" s="94"/>
      <c r="QSG128" s="94"/>
      <c r="QSH128" s="94"/>
      <c r="QSI128" s="94"/>
      <c r="QSJ128" s="94"/>
      <c r="QSK128" s="94"/>
      <c r="QSL128" s="94"/>
      <c r="QSM128" s="94"/>
      <c r="QSN128" s="94"/>
      <c r="QSO128" s="94"/>
      <c r="QSP128" s="94"/>
      <c r="QSQ128" s="94"/>
      <c r="QSR128" s="94"/>
      <c r="QSS128" s="94"/>
      <c r="QST128" s="94"/>
      <c r="QSU128" s="94"/>
      <c r="QSV128" s="94"/>
      <c r="QSW128" s="94"/>
      <c r="QSX128" s="94"/>
      <c r="QSY128" s="94"/>
      <c r="QSZ128" s="94"/>
      <c r="QTA128" s="94"/>
      <c r="QTB128" s="94"/>
      <c r="QTC128" s="94"/>
      <c r="QTD128" s="94"/>
      <c r="QTE128" s="94"/>
      <c r="QTF128" s="94"/>
      <c r="QTG128" s="94"/>
      <c r="QTH128" s="94"/>
      <c r="QTI128" s="94"/>
      <c r="QTJ128" s="94"/>
      <c r="QTK128" s="94"/>
      <c r="QTL128" s="94"/>
      <c r="QTM128" s="94"/>
      <c r="QTN128" s="94"/>
      <c r="QTO128" s="94"/>
      <c r="QTP128" s="94"/>
      <c r="QTQ128" s="94"/>
      <c r="QTR128" s="94"/>
      <c r="QTS128" s="94"/>
      <c r="QTT128" s="94"/>
      <c r="QTU128" s="94"/>
      <c r="QTV128" s="94"/>
      <c r="QTW128" s="94"/>
      <c r="QTX128" s="94"/>
      <c r="QTY128" s="94"/>
      <c r="QTZ128" s="94"/>
      <c r="QUA128" s="94"/>
      <c r="QUB128" s="94"/>
      <c r="QUC128" s="94"/>
      <c r="QUD128" s="94"/>
      <c r="QUE128" s="94"/>
      <c r="QUF128" s="94"/>
      <c r="QUG128" s="94"/>
      <c r="QUH128" s="94"/>
      <c r="QUI128" s="94"/>
      <c r="QUJ128" s="94"/>
      <c r="QUK128" s="94"/>
      <c r="QUL128" s="94"/>
      <c r="QUM128" s="94"/>
      <c r="QUN128" s="94"/>
      <c r="QUO128" s="94"/>
      <c r="QUP128" s="94"/>
      <c r="QUQ128" s="94"/>
      <c r="QUR128" s="94"/>
      <c r="QUS128" s="94"/>
      <c r="QUT128" s="94"/>
      <c r="QUU128" s="94"/>
      <c r="QUV128" s="94"/>
      <c r="QUW128" s="94"/>
      <c r="QUX128" s="94"/>
      <c r="QUY128" s="94"/>
      <c r="QUZ128" s="94"/>
      <c r="QVA128" s="94"/>
      <c r="QVB128" s="94"/>
      <c r="QVC128" s="94"/>
      <c r="QVD128" s="94"/>
      <c r="QVE128" s="94"/>
      <c r="QVF128" s="94"/>
      <c r="QVG128" s="94"/>
      <c r="QVH128" s="94"/>
      <c r="QVI128" s="94"/>
      <c r="QVJ128" s="94"/>
      <c r="QVK128" s="94"/>
      <c r="QVL128" s="94"/>
      <c r="QVM128" s="94"/>
      <c r="QVN128" s="94"/>
      <c r="QVO128" s="94"/>
      <c r="QVP128" s="94"/>
      <c r="QVQ128" s="94"/>
      <c r="QVR128" s="94"/>
      <c r="QVS128" s="94"/>
      <c r="QVT128" s="94"/>
      <c r="QVU128" s="94"/>
      <c r="QVV128" s="94"/>
      <c r="QVW128" s="94"/>
      <c r="QVX128" s="94"/>
      <c r="QVY128" s="94"/>
      <c r="QVZ128" s="94"/>
      <c r="QWA128" s="94"/>
      <c r="QWB128" s="94"/>
      <c r="QWC128" s="94"/>
      <c r="QWD128" s="94"/>
      <c r="QWE128" s="94"/>
      <c r="QWF128" s="94"/>
      <c r="QWG128" s="94"/>
      <c r="QWH128" s="94"/>
      <c r="QWI128" s="94"/>
      <c r="QWJ128" s="94"/>
      <c r="QWK128" s="94"/>
      <c r="QWL128" s="94"/>
      <c r="QWM128" s="94"/>
      <c r="QWN128" s="94"/>
      <c r="QWO128" s="94"/>
      <c r="QWP128" s="94"/>
      <c r="QWQ128" s="94"/>
      <c r="QWR128" s="94"/>
      <c r="QWS128" s="94"/>
      <c r="QWT128" s="94"/>
      <c r="QWU128" s="94"/>
      <c r="QWV128" s="94"/>
      <c r="QWW128" s="94"/>
      <c r="QWX128" s="94"/>
      <c r="QWY128" s="94"/>
      <c r="QWZ128" s="94"/>
      <c r="QXA128" s="94"/>
      <c r="QXB128" s="94"/>
      <c r="QXC128" s="94"/>
      <c r="QXD128" s="94"/>
      <c r="QXE128" s="94"/>
      <c r="QXF128" s="94"/>
      <c r="QXG128" s="94"/>
      <c r="QXH128" s="94"/>
      <c r="QXI128" s="94"/>
      <c r="QXJ128" s="94"/>
      <c r="QXK128" s="94"/>
      <c r="QXL128" s="94"/>
      <c r="QXM128" s="94"/>
      <c r="QXN128" s="94"/>
      <c r="QXO128" s="94"/>
      <c r="QXP128" s="94"/>
      <c r="QXQ128" s="94"/>
      <c r="QXR128" s="94"/>
      <c r="QXS128" s="94"/>
      <c r="QXT128" s="94"/>
      <c r="QXU128" s="94"/>
      <c r="QXV128" s="94"/>
      <c r="QXW128" s="94"/>
      <c r="QXX128" s="94"/>
      <c r="QXY128" s="94"/>
      <c r="QXZ128" s="94"/>
      <c r="QYA128" s="94"/>
      <c r="QYB128" s="94"/>
      <c r="QYC128" s="94"/>
      <c r="QYD128" s="94"/>
      <c r="QYE128" s="94"/>
      <c r="QYF128" s="94"/>
      <c r="QYG128" s="94"/>
      <c r="QYH128" s="94"/>
      <c r="QYI128" s="94"/>
      <c r="QYJ128" s="94"/>
      <c r="QYK128" s="94"/>
      <c r="QYL128" s="94"/>
      <c r="QYM128" s="94"/>
      <c r="QYN128" s="94"/>
      <c r="QYO128" s="94"/>
      <c r="QYP128" s="94"/>
      <c r="QYQ128" s="94"/>
      <c r="QYR128" s="94"/>
      <c r="QYS128" s="94"/>
      <c r="QYT128" s="94"/>
      <c r="QYU128" s="94"/>
      <c r="QYV128" s="94"/>
      <c r="QYW128" s="94"/>
      <c r="QYX128" s="94"/>
      <c r="QYY128" s="94"/>
      <c r="QYZ128" s="94"/>
      <c r="QZA128" s="94"/>
      <c r="QZB128" s="94"/>
      <c r="QZC128" s="94"/>
      <c r="QZD128" s="94"/>
      <c r="QZE128" s="94"/>
      <c r="QZF128" s="94"/>
      <c r="QZG128" s="94"/>
      <c r="QZH128" s="94"/>
      <c r="QZI128" s="94"/>
      <c r="QZJ128" s="94"/>
      <c r="QZK128" s="94"/>
      <c r="QZL128" s="94"/>
      <c r="QZM128" s="94"/>
      <c r="QZN128" s="94"/>
      <c r="QZO128" s="94"/>
      <c r="QZP128" s="94"/>
      <c r="QZQ128" s="94"/>
      <c r="QZR128" s="94"/>
      <c r="QZS128" s="94"/>
      <c r="QZT128" s="94"/>
      <c r="QZU128" s="94"/>
      <c r="QZV128" s="94"/>
      <c r="QZW128" s="94"/>
      <c r="QZX128" s="94"/>
      <c r="QZY128" s="94"/>
      <c r="QZZ128" s="94"/>
      <c r="RAA128" s="94"/>
      <c r="RAB128" s="94"/>
      <c r="RAC128" s="94"/>
      <c r="RAD128" s="94"/>
      <c r="RAE128" s="94"/>
      <c r="RAF128" s="94"/>
      <c r="RAG128" s="94"/>
      <c r="RAH128" s="94"/>
      <c r="RAI128" s="94"/>
      <c r="RAJ128" s="94"/>
      <c r="RAK128" s="94"/>
      <c r="RAL128" s="94"/>
      <c r="RAM128" s="94"/>
      <c r="RAN128" s="94"/>
      <c r="RAO128" s="94"/>
      <c r="RAP128" s="94"/>
      <c r="RAQ128" s="94"/>
      <c r="RAR128" s="94"/>
      <c r="RAS128" s="94"/>
      <c r="RAT128" s="94"/>
      <c r="RAU128" s="94"/>
      <c r="RAV128" s="94"/>
      <c r="RAW128" s="94"/>
      <c r="RAX128" s="94"/>
      <c r="RAY128" s="94"/>
      <c r="RAZ128" s="94"/>
      <c r="RBA128" s="94"/>
      <c r="RBB128" s="94"/>
      <c r="RBC128" s="94"/>
      <c r="RBD128" s="94"/>
      <c r="RBE128" s="94"/>
      <c r="RBF128" s="94"/>
      <c r="RBG128" s="94"/>
      <c r="RBH128" s="94"/>
      <c r="RBI128" s="94"/>
      <c r="RBJ128" s="94"/>
      <c r="RBK128" s="94"/>
      <c r="RBL128" s="94"/>
      <c r="RBM128" s="94"/>
      <c r="RBN128" s="94"/>
      <c r="RBO128" s="94"/>
      <c r="RBP128" s="94"/>
      <c r="RBQ128" s="94"/>
      <c r="RBR128" s="94"/>
      <c r="RBS128" s="94"/>
      <c r="RBT128" s="94"/>
      <c r="RBU128" s="94"/>
      <c r="RBV128" s="94"/>
      <c r="RBW128" s="94"/>
      <c r="RBX128" s="94"/>
      <c r="RBY128" s="94"/>
      <c r="RBZ128" s="94"/>
      <c r="RCA128" s="94"/>
      <c r="RCB128" s="94"/>
      <c r="RCC128" s="94"/>
      <c r="RCD128" s="94"/>
      <c r="RCE128" s="94"/>
      <c r="RCF128" s="94"/>
      <c r="RCG128" s="94"/>
      <c r="RCH128" s="94"/>
      <c r="RCI128" s="94"/>
      <c r="RCJ128" s="94"/>
      <c r="RCK128" s="94"/>
      <c r="RCL128" s="94"/>
      <c r="RCM128" s="94"/>
      <c r="RCN128" s="94"/>
      <c r="RCO128" s="94"/>
      <c r="RCP128" s="94"/>
      <c r="RCQ128" s="94"/>
      <c r="RCR128" s="94"/>
      <c r="RCS128" s="94"/>
      <c r="RCT128" s="94"/>
      <c r="RCU128" s="94"/>
      <c r="RCV128" s="94"/>
      <c r="RCW128" s="94"/>
      <c r="RCX128" s="94"/>
      <c r="RCY128" s="94"/>
      <c r="RCZ128" s="94"/>
      <c r="RDA128" s="94"/>
      <c r="RDB128" s="94"/>
      <c r="RDC128" s="94"/>
      <c r="RDD128" s="94"/>
      <c r="RDE128" s="94"/>
      <c r="RDF128" s="94"/>
      <c r="RDG128" s="94"/>
      <c r="RDH128" s="94"/>
      <c r="RDI128" s="94"/>
      <c r="RDJ128" s="94"/>
      <c r="RDK128" s="94"/>
      <c r="RDL128" s="94"/>
      <c r="RDM128" s="94"/>
      <c r="RDN128" s="94"/>
      <c r="RDO128" s="94"/>
      <c r="RDP128" s="94"/>
      <c r="RDQ128" s="94"/>
      <c r="RDR128" s="94"/>
      <c r="RDS128" s="94"/>
      <c r="RDT128" s="94"/>
      <c r="RDU128" s="94"/>
      <c r="RDV128" s="94"/>
      <c r="RDW128" s="94"/>
      <c r="RDX128" s="94"/>
      <c r="RDY128" s="94"/>
      <c r="RDZ128" s="94"/>
      <c r="REA128" s="94"/>
      <c r="REB128" s="94"/>
      <c r="REC128" s="94"/>
      <c r="RED128" s="94"/>
      <c r="REE128" s="94"/>
      <c r="REF128" s="94"/>
      <c r="REG128" s="94"/>
      <c r="REH128" s="94"/>
      <c r="REI128" s="94"/>
      <c r="REJ128" s="94"/>
      <c r="REK128" s="94"/>
      <c r="REL128" s="94"/>
      <c r="REM128" s="94"/>
      <c r="REN128" s="94"/>
      <c r="REO128" s="94"/>
      <c r="REP128" s="94"/>
      <c r="REQ128" s="94"/>
      <c r="RER128" s="94"/>
      <c r="RES128" s="94"/>
      <c r="RET128" s="94"/>
      <c r="REU128" s="94"/>
      <c r="REV128" s="94"/>
      <c r="REW128" s="94"/>
      <c r="REX128" s="94"/>
      <c r="REY128" s="94"/>
      <c r="REZ128" s="94"/>
      <c r="RFA128" s="94"/>
      <c r="RFB128" s="94"/>
      <c r="RFC128" s="94"/>
      <c r="RFD128" s="94"/>
      <c r="RFE128" s="94"/>
      <c r="RFF128" s="94"/>
      <c r="RFG128" s="94"/>
      <c r="RFH128" s="94"/>
      <c r="RFI128" s="94"/>
      <c r="RFJ128" s="94"/>
      <c r="RFK128" s="94"/>
      <c r="RFL128" s="94"/>
      <c r="RFM128" s="94"/>
      <c r="RFN128" s="94"/>
      <c r="RFO128" s="94"/>
      <c r="RFP128" s="94"/>
      <c r="RFQ128" s="94"/>
      <c r="RFR128" s="94"/>
      <c r="RFS128" s="94"/>
      <c r="RFT128" s="94"/>
      <c r="RFU128" s="94"/>
      <c r="RFV128" s="94"/>
      <c r="RFW128" s="94"/>
      <c r="RFX128" s="94"/>
      <c r="RFY128" s="94"/>
      <c r="RFZ128" s="94"/>
      <c r="RGA128" s="94"/>
      <c r="RGB128" s="94"/>
      <c r="RGC128" s="94"/>
      <c r="RGD128" s="94"/>
      <c r="RGE128" s="94"/>
      <c r="RGF128" s="94"/>
      <c r="RGG128" s="94"/>
      <c r="RGH128" s="94"/>
      <c r="RGI128" s="94"/>
      <c r="RGJ128" s="94"/>
      <c r="RGK128" s="94"/>
      <c r="RGL128" s="94"/>
      <c r="RGM128" s="94"/>
      <c r="RGN128" s="94"/>
      <c r="RGO128" s="94"/>
      <c r="RGP128" s="94"/>
      <c r="RGQ128" s="94"/>
      <c r="RGR128" s="94"/>
      <c r="RGS128" s="94"/>
      <c r="RGT128" s="94"/>
      <c r="RGU128" s="94"/>
      <c r="RGV128" s="94"/>
      <c r="RGW128" s="94"/>
      <c r="RGX128" s="94"/>
      <c r="RGY128" s="94"/>
      <c r="RGZ128" s="94"/>
      <c r="RHA128" s="94"/>
      <c r="RHB128" s="94"/>
      <c r="RHC128" s="94"/>
      <c r="RHD128" s="94"/>
      <c r="RHE128" s="94"/>
      <c r="RHF128" s="94"/>
      <c r="RHG128" s="94"/>
      <c r="RHH128" s="94"/>
      <c r="RHI128" s="94"/>
      <c r="RHJ128" s="94"/>
      <c r="RHK128" s="94"/>
      <c r="RHL128" s="94"/>
      <c r="RHM128" s="94"/>
      <c r="RHN128" s="94"/>
      <c r="RHO128" s="94"/>
      <c r="RHP128" s="94"/>
      <c r="RHQ128" s="94"/>
      <c r="RHR128" s="94"/>
      <c r="RHS128" s="94"/>
      <c r="RHT128" s="94"/>
      <c r="RHU128" s="94"/>
      <c r="RHV128" s="94"/>
      <c r="RHW128" s="94"/>
      <c r="RHX128" s="94"/>
      <c r="RHY128" s="94"/>
      <c r="RHZ128" s="94"/>
      <c r="RIA128" s="94"/>
      <c r="RIB128" s="94"/>
      <c r="RIC128" s="94"/>
      <c r="RID128" s="94"/>
      <c r="RIE128" s="94"/>
      <c r="RIF128" s="94"/>
      <c r="RIG128" s="94"/>
      <c r="RIH128" s="94"/>
      <c r="RII128" s="94"/>
      <c r="RIJ128" s="94"/>
      <c r="RIK128" s="94"/>
      <c r="RIL128" s="94"/>
      <c r="RIM128" s="94"/>
      <c r="RIN128" s="94"/>
      <c r="RIO128" s="94"/>
      <c r="RIP128" s="94"/>
      <c r="RIQ128" s="94"/>
      <c r="RIR128" s="94"/>
      <c r="RIS128" s="94"/>
      <c r="RIT128" s="94"/>
      <c r="RIU128" s="94"/>
      <c r="RIV128" s="94"/>
      <c r="RIW128" s="94"/>
      <c r="RIX128" s="94"/>
      <c r="RIY128" s="94"/>
      <c r="RIZ128" s="94"/>
      <c r="RJA128" s="94"/>
      <c r="RJB128" s="94"/>
      <c r="RJC128" s="94"/>
      <c r="RJD128" s="94"/>
      <c r="RJE128" s="94"/>
      <c r="RJF128" s="94"/>
      <c r="RJG128" s="94"/>
      <c r="RJH128" s="94"/>
      <c r="RJI128" s="94"/>
      <c r="RJJ128" s="94"/>
      <c r="RJK128" s="94"/>
      <c r="RJL128" s="94"/>
      <c r="RJM128" s="94"/>
      <c r="RJN128" s="94"/>
      <c r="RJO128" s="94"/>
      <c r="RJP128" s="94"/>
      <c r="RJQ128" s="94"/>
      <c r="RJR128" s="94"/>
      <c r="RJS128" s="94"/>
      <c r="RJT128" s="94"/>
      <c r="RJU128" s="94"/>
      <c r="RJV128" s="94"/>
      <c r="RJW128" s="94"/>
      <c r="RJX128" s="94"/>
      <c r="RJY128" s="94"/>
      <c r="RJZ128" s="94"/>
      <c r="RKA128" s="94"/>
      <c r="RKB128" s="94"/>
      <c r="RKC128" s="94"/>
      <c r="RKD128" s="94"/>
      <c r="RKE128" s="94"/>
      <c r="RKF128" s="94"/>
      <c r="RKG128" s="94"/>
      <c r="RKH128" s="94"/>
      <c r="RKI128" s="94"/>
      <c r="RKJ128" s="94"/>
      <c r="RKK128" s="94"/>
      <c r="RKL128" s="94"/>
      <c r="RKM128" s="94"/>
      <c r="RKN128" s="94"/>
      <c r="RKO128" s="94"/>
      <c r="RKP128" s="94"/>
      <c r="RKQ128" s="94"/>
      <c r="RKR128" s="94"/>
      <c r="RKS128" s="94"/>
      <c r="RKT128" s="94"/>
      <c r="RKU128" s="94"/>
      <c r="RKV128" s="94"/>
      <c r="RKW128" s="94"/>
      <c r="RKX128" s="94"/>
      <c r="RKY128" s="94"/>
      <c r="RKZ128" s="94"/>
      <c r="RLA128" s="94"/>
      <c r="RLB128" s="94"/>
      <c r="RLC128" s="94"/>
      <c r="RLD128" s="94"/>
      <c r="RLE128" s="94"/>
      <c r="RLF128" s="94"/>
      <c r="RLG128" s="94"/>
      <c r="RLH128" s="94"/>
      <c r="RLI128" s="94"/>
      <c r="RLJ128" s="94"/>
      <c r="RLK128" s="94"/>
      <c r="RLL128" s="94"/>
      <c r="RLM128" s="94"/>
      <c r="RLN128" s="94"/>
      <c r="RLO128" s="94"/>
      <c r="RLP128" s="94"/>
      <c r="RLQ128" s="94"/>
      <c r="RLR128" s="94"/>
      <c r="RLS128" s="94"/>
      <c r="RLT128" s="94"/>
      <c r="RLU128" s="94"/>
      <c r="RLV128" s="94"/>
      <c r="RLW128" s="94"/>
      <c r="RLX128" s="94"/>
      <c r="RLY128" s="94"/>
      <c r="RLZ128" s="94"/>
      <c r="RMA128" s="94"/>
      <c r="RMB128" s="94"/>
      <c r="RMC128" s="94"/>
      <c r="RMD128" s="94"/>
      <c r="RME128" s="94"/>
      <c r="RMF128" s="94"/>
      <c r="RMG128" s="94"/>
      <c r="RMH128" s="94"/>
      <c r="RMI128" s="94"/>
      <c r="RMJ128" s="94"/>
      <c r="RMK128" s="94"/>
      <c r="RML128" s="94"/>
      <c r="RMM128" s="94"/>
      <c r="RMN128" s="94"/>
      <c r="RMO128" s="94"/>
      <c r="RMP128" s="94"/>
      <c r="RMQ128" s="94"/>
      <c r="RMR128" s="94"/>
      <c r="RMS128" s="94"/>
      <c r="RMT128" s="94"/>
      <c r="RMU128" s="94"/>
      <c r="RMV128" s="94"/>
      <c r="RMW128" s="94"/>
      <c r="RMX128" s="94"/>
      <c r="RMY128" s="94"/>
      <c r="RMZ128" s="94"/>
      <c r="RNA128" s="94"/>
      <c r="RNB128" s="94"/>
      <c r="RNC128" s="94"/>
      <c r="RND128" s="94"/>
      <c r="RNE128" s="94"/>
      <c r="RNF128" s="94"/>
      <c r="RNG128" s="94"/>
      <c r="RNH128" s="94"/>
      <c r="RNI128" s="94"/>
      <c r="RNJ128" s="94"/>
      <c r="RNK128" s="94"/>
      <c r="RNL128" s="94"/>
      <c r="RNM128" s="94"/>
      <c r="RNN128" s="94"/>
      <c r="RNO128" s="94"/>
      <c r="RNP128" s="94"/>
      <c r="RNQ128" s="94"/>
      <c r="RNR128" s="94"/>
      <c r="RNS128" s="94"/>
      <c r="RNT128" s="94"/>
      <c r="RNU128" s="94"/>
      <c r="RNV128" s="94"/>
      <c r="RNW128" s="94"/>
      <c r="RNX128" s="94"/>
      <c r="RNY128" s="94"/>
      <c r="RNZ128" s="94"/>
      <c r="ROA128" s="94"/>
      <c r="ROB128" s="94"/>
      <c r="ROC128" s="94"/>
      <c r="ROD128" s="94"/>
      <c r="ROE128" s="94"/>
      <c r="ROF128" s="94"/>
      <c r="ROG128" s="94"/>
      <c r="ROH128" s="94"/>
      <c r="ROI128" s="94"/>
      <c r="ROJ128" s="94"/>
      <c r="ROK128" s="94"/>
      <c r="ROL128" s="94"/>
      <c r="ROM128" s="94"/>
      <c r="RON128" s="94"/>
      <c r="ROO128" s="94"/>
      <c r="ROP128" s="94"/>
      <c r="ROQ128" s="94"/>
      <c r="ROR128" s="94"/>
      <c r="ROS128" s="94"/>
      <c r="ROT128" s="94"/>
      <c r="ROU128" s="94"/>
      <c r="ROV128" s="94"/>
      <c r="ROW128" s="94"/>
      <c r="ROX128" s="94"/>
      <c r="ROY128" s="94"/>
      <c r="ROZ128" s="94"/>
      <c r="RPA128" s="94"/>
      <c r="RPB128" s="94"/>
      <c r="RPC128" s="94"/>
      <c r="RPD128" s="94"/>
      <c r="RPE128" s="94"/>
      <c r="RPF128" s="94"/>
      <c r="RPG128" s="94"/>
      <c r="RPH128" s="94"/>
      <c r="RPI128" s="94"/>
      <c r="RPJ128" s="94"/>
      <c r="RPK128" s="94"/>
      <c r="RPL128" s="94"/>
      <c r="RPM128" s="94"/>
      <c r="RPN128" s="94"/>
      <c r="RPO128" s="94"/>
      <c r="RPP128" s="94"/>
      <c r="RPQ128" s="94"/>
      <c r="RPR128" s="94"/>
      <c r="RPS128" s="94"/>
      <c r="RPT128" s="94"/>
      <c r="RPU128" s="94"/>
      <c r="RPV128" s="94"/>
      <c r="RPW128" s="94"/>
      <c r="RPX128" s="94"/>
      <c r="RPY128" s="94"/>
      <c r="RPZ128" s="94"/>
      <c r="RQA128" s="94"/>
      <c r="RQB128" s="94"/>
      <c r="RQC128" s="94"/>
      <c r="RQD128" s="94"/>
      <c r="RQE128" s="94"/>
      <c r="RQF128" s="94"/>
      <c r="RQG128" s="94"/>
      <c r="RQH128" s="94"/>
      <c r="RQI128" s="94"/>
      <c r="RQJ128" s="94"/>
      <c r="RQK128" s="94"/>
      <c r="RQL128" s="94"/>
      <c r="RQM128" s="94"/>
      <c r="RQN128" s="94"/>
      <c r="RQO128" s="94"/>
      <c r="RQP128" s="94"/>
      <c r="RQQ128" s="94"/>
      <c r="RQR128" s="94"/>
      <c r="RQS128" s="94"/>
      <c r="RQT128" s="94"/>
      <c r="RQU128" s="94"/>
      <c r="RQV128" s="94"/>
      <c r="RQW128" s="94"/>
      <c r="RQX128" s="94"/>
      <c r="RQY128" s="94"/>
      <c r="RQZ128" s="94"/>
      <c r="RRA128" s="94"/>
      <c r="RRB128" s="94"/>
      <c r="RRC128" s="94"/>
      <c r="RRD128" s="94"/>
      <c r="RRE128" s="94"/>
      <c r="RRF128" s="94"/>
      <c r="RRG128" s="94"/>
      <c r="RRH128" s="94"/>
      <c r="RRI128" s="94"/>
      <c r="RRJ128" s="94"/>
      <c r="RRK128" s="94"/>
      <c r="RRL128" s="94"/>
      <c r="RRM128" s="94"/>
      <c r="RRN128" s="94"/>
      <c r="RRO128" s="94"/>
      <c r="RRP128" s="94"/>
      <c r="RRQ128" s="94"/>
      <c r="RRR128" s="94"/>
      <c r="RRS128" s="94"/>
      <c r="RRT128" s="94"/>
      <c r="RRU128" s="94"/>
      <c r="RRV128" s="94"/>
      <c r="RRW128" s="94"/>
      <c r="RRX128" s="94"/>
      <c r="RRY128" s="94"/>
      <c r="RRZ128" s="94"/>
      <c r="RSA128" s="94"/>
      <c r="RSB128" s="94"/>
      <c r="RSC128" s="94"/>
      <c r="RSD128" s="94"/>
      <c r="RSE128" s="94"/>
      <c r="RSF128" s="94"/>
      <c r="RSG128" s="94"/>
      <c r="RSH128" s="94"/>
      <c r="RSI128" s="94"/>
      <c r="RSJ128" s="94"/>
      <c r="RSK128" s="94"/>
      <c r="RSL128" s="94"/>
      <c r="RSM128" s="94"/>
      <c r="RSN128" s="94"/>
      <c r="RSO128" s="94"/>
      <c r="RSP128" s="94"/>
      <c r="RSQ128" s="94"/>
      <c r="RSR128" s="94"/>
      <c r="RSS128" s="94"/>
      <c r="RST128" s="94"/>
      <c r="RSU128" s="94"/>
      <c r="RSV128" s="94"/>
      <c r="RSW128" s="94"/>
      <c r="RSX128" s="94"/>
      <c r="RSY128" s="94"/>
      <c r="RSZ128" s="94"/>
      <c r="RTA128" s="94"/>
      <c r="RTB128" s="94"/>
      <c r="RTC128" s="94"/>
      <c r="RTD128" s="94"/>
      <c r="RTE128" s="94"/>
      <c r="RTF128" s="94"/>
      <c r="RTG128" s="94"/>
      <c r="RTH128" s="94"/>
      <c r="RTI128" s="94"/>
      <c r="RTJ128" s="94"/>
      <c r="RTK128" s="94"/>
      <c r="RTL128" s="94"/>
      <c r="RTM128" s="94"/>
      <c r="RTN128" s="94"/>
      <c r="RTO128" s="94"/>
      <c r="RTP128" s="94"/>
      <c r="RTQ128" s="94"/>
      <c r="RTR128" s="94"/>
      <c r="RTS128" s="94"/>
      <c r="RTT128" s="94"/>
      <c r="RTU128" s="94"/>
      <c r="RTV128" s="94"/>
      <c r="RTW128" s="94"/>
      <c r="RTX128" s="94"/>
      <c r="RTY128" s="94"/>
      <c r="RTZ128" s="94"/>
      <c r="RUA128" s="94"/>
      <c r="RUB128" s="94"/>
      <c r="RUC128" s="94"/>
      <c r="RUD128" s="94"/>
      <c r="RUE128" s="94"/>
      <c r="RUF128" s="94"/>
      <c r="RUG128" s="94"/>
      <c r="RUH128" s="94"/>
      <c r="RUI128" s="94"/>
      <c r="RUJ128" s="94"/>
      <c r="RUK128" s="94"/>
      <c r="RUL128" s="94"/>
      <c r="RUM128" s="94"/>
      <c r="RUN128" s="94"/>
      <c r="RUO128" s="94"/>
      <c r="RUP128" s="94"/>
      <c r="RUQ128" s="94"/>
      <c r="RUR128" s="94"/>
      <c r="RUS128" s="94"/>
      <c r="RUT128" s="94"/>
      <c r="RUU128" s="94"/>
      <c r="RUV128" s="94"/>
      <c r="RUW128" s="94"/>
      <c r="RUX128" s="94"/>
      <c r="RUY128" s="94"/>
      <c r="RUZ128" s="94"/>
      <c r="RVA128" s="94"/>
      <c r="RVB128" s="94"/>
      <c r="RVC128" s="94"/>
      <c r="RVD128" s="94"/>
      <c r="RVE128" s="94"/>
      <c r="RVF128" s="94"/>
      <c r="RVG128" s="94"/>
      <c r="RVH128" s="94"/>
      <c r="RVI128" s="94"/>
      <c r="RVJ128" s="94"/>
      <c r="RVK128" s="94"/>
      <c r="RVL128" s="94"/>
      <c r="RVM128" s="94"/>
      <c r="RVN128" s="94"/>
      <c r="RVO128" s="94"/>
      <c r="RVP128" s="94"/>
      <c r="RVQ128" s="94"/>
      <c r="RVR128" s="94"/>
      <c r="RVS128" s="94"/>
      <c r="RVT128" s="94"/>
      <c r="RVU128" s="94"/>
      <c r="RVV128" s="94"/>
      <c r="RVW128" s="94"/>
      <c r="RVX128" s="94"/>
      <c r="RVY128" s="94"/>
      <c r="RVZ128" s="94"/>
      <c r="RWA128" s="94"/>
      <c r="RWB128" s="94"/>
      <c r="RWC128" s="94"/>
      <c r="RWD128" s="94"/>
      <c r="RWE128" s="94"/>
      <c r="RWF128" s="94"/>
      <c r="RWG128" s="94"/>
      <c r="RWH128" s="94"/>
      <c r="RWI128" s="94"/>
      <c r="RWJ128" s="94"/>
      <c r="RWK128" s="94"/>
      <c r="RWL128" s="94"/>
      <c r="RWM128" s="94"/>
      <c r="RWN128" s="94"/>
      <c r="RWO128" s="94"/>
      <c r="RWP128" s="94"/>
      <c r="RWQ128" s="94"/>
      <c r="RWR128" s="94"/>
      <c r="RWS128" s="94"/>
      <c r="RWT128" s="94"/>
      <c r="RWU128" s="94"/>
      <c r="RWV128" s="94"/>
      <c r="RWW128" s="94"/>
      <c r="RWX128" s="94"/>
      <c r="RWY128" s="94"/>
      <c r="RWZ128" s="94"/>
      <c r="RXA128" s="94"/>
      <c r="RXB128" s="94"/>
      <c r="RXC128" s="94"/>
      <c r="RXD128" s="94"/>
      <c r="RXE128" s="94"/>
      <c r="RXF128" s="94"/>
      <c r="RXG128" s="94"/>
      <c r="RXH128" s="94"/>
      <c r="RXI128" s="94"/>
      <c r="RXJ128" s="94"/>
      <c r="RXK128" s="94"/>
      <c r="RXL128" s="94"/>
      <c r="RXM128" s="94"/>
      <c r="RXN128" s="94"/>
      <c r="RXO128" s="94"/>
      <c r="RXP128" s="94"/>
      <c r="RXQ128" s="94"/>
      <c r="RXR128" s="94"/>
      <c r="RXS128" s="94"/>
      <c r="RXT128" s="94"/>
      <c r="RXU128" s="94"/>
      <c r="RXV128" s="94"/>
      <c r="RXW128" s="94"/>
      <c r="RXX128" s="94"/>
      <c r="RXY128" s="94"/>
      <c r="RXZ128" s="94"/>
      <c r="RYA128" s="94"/>
      <c r="RYB128" s="94"/>
      <c r="RYC128" s="94"/>
      <c r="RYD128" s="94"/>
      <c r="RYE128" s="94"/>
      <c r="RYF128" s="94"/>
      <c r="RYG128" s="94"/>
      <c r="RYH128" s="94"/>
      <c r="RYI128" s="94"/>
      <c r="RYJ128" s="94"/>
      <c r="RYK128" s="94"/>
      <c r="RYL128" s="94"/>
      <c r="RYM128" s="94"/>
      <c r="RYN128" s="94"/>
      <c r="RYO128" s="94"/>
      <c r="RYP128" s="94"/>
      <c r="RYQ128" s="94"/>
      <c r="RYR128" s="94"/>
      <c r="RYS128" s="94"/>
      <c r="RYT128" s="94"/>
      <c r="RYU128" s="94"/>
      <c r="RYV128" s="94"/>
      <c r="RYW128" s="94"/>
      <c r="RYX128" s="94"/>
      <c r="RYY128" s="94"/>
      <c r="RYZ128" s="94"/>
      <c r="RZA128" s="94"/>
      <c r="RZB128" s="94"/>
      <c r="RZC128" s="94"/>
      <c r="RZD128" s="94"/>
      <c r="RZE128" s="94"/>
      <c r="RZF128" s="94"/>
      <c r="RZG128" s="94"/>
      <c r="RZH128" s="94"/>
      <c r="RZI128" s="94"/>
      <c r="RZJ128" s="94"/>
      <c r="RZK128" s="94"/>
      <c r="RZL128" s="94"/>
      <c r="RZM128" s="94"/>
      <c r="RZN128" s="94"/>
      <c r="RZO128" s="94"/>
      <c r="RZP128" s="94"/>
      <c r="RZQ128" s="94"/>
      <c r="RZR128" s="94"/>
      <c r="RZS128" s="94"/>
      <c r="RZT128" s="94"/>
      <c r="RZU128" s="94"/>
      <c r="RZV128" s="94"/>
      <c r="RZW128" s="94"/>
      <c r="RZX128" s="94"/>
      <c r="RZY128" s="94"/>
      <c r="RZZ128" s="94"/>
      <c r="SAA128" s="94"/>
      <c r="SAB128" s="94"/>
      <c r="SAC128" s="94"/>
      <c r="SAD128" s="94"/>
      <c r="SAE128" s="94"/>
      <c r="SAF128" s="94"/>
      <c r="SAG128" s="94"/>
      <c r="SAH128" s="94"/>
      <c r="SAI128" s="94"/>
      <c r="SAJ128" s="94"/>
      <c r="SAK128" s="94"/>
      <c r="SAL128" s="94"/>
      <c r="SAM128" s="94"/>
      <c r="SAN128" s="94"/>
      <c r="SAO128" s="94"/>
      <c r="SAP128" s="94"/>
      <c r="SAQ128" s="94"/>
      <c r="SAR128" s="94"/>
      <c r="SAS128" s="94"/>
      <c r="SAT128" s="94"/>
      <c r="SAU128" s="94"/>
      <c r="SAV128" s="94"/>
      <c r="SAW128" s="94"/>
      <c r="SAX128" s="94"/>
      <c r="SAY128" s="94"/>
      <c r="SAZ128" s="94"/>
      <c r="SBA128" s="94"/>
      <c r="SBB128" s="94"/>
      <c r="SBC128" s="94"/>
      <c r="SBD128" s="94"/>
      <c r="SBE128" s="94"/>
      <c r="SBF128" s="94"/>
      <c r="SBG128" s="94"/>
      <c r="SBH128" s="94"/>
      <c r="SBI128" s="94"/>
      <c r="SBJ128" s="94"/>
      <c r="SBK128" s="94"/>
      <c r="SBL128" s="94"/>
      <c r="SBM128" s="94"/>
      <c r="SBN128" s="94"/>
      <c r="SBO128" s="94"/>
      <c r="SBP128" s="94"/>
      <c r="SBQ128" s="94"/>
      <c r="SBR128" s="94"/>
      <c r="SBS128" s="94"/>
      <c r="SBT128" s="94"/>
      <c r="SBU128" s="94"/>
      <c r="SBV128" s="94"/>
      <c r="SBW128" s="94"/>
      <c r="SBX128" s="94"/>
      <c r="SBY128" s="94"/>
      <c r="SBZ128" s="94"/>
      <c r="SCA128" s="94"/>
      <c r="SCB128" s="94"/>
      <c r="SCC128" s="94"/>
      <c r="SCD128" s="94"/>
      <c r="SCE128" s="94"/>
      <c r="SCF128" s="94"/>
      <c r="SCG128" s="94"/>
      <c r="SCH128" s="94"/>
      <c r="SCI128" s="94"/>
      <c r="SCJ128" s="94"/>
      <c r="SCK128" s="94"/>
      <c r="SCL128" s="94"/>
      <c r="SCM128" s="94"/>
      <c r="SCN128" s="94"/>
      <c r="SCO128" s="94"/>
      <c r="SCP128" s="94"/>
      <c r="SCQ128" s="94"/>
      <c r="SCR128" s="94"/>
      <c r="SCS128" s="94"/>
      <c r="SCT128" s="94"/>
      <c r="SCU128" s="94"/>
      <c r="SCV128" s="94"/>
      <c r="SCW128" s="94"/>
      <c r="SCX128" s="94"/>
      <c r="SCY128" s="94"/>
      <c r="SCZ128" s="94"/>
      <c r="SDA128" s="94"/>
      <c r="SDB128" s="94"/>
      <c r="SDC128" s="94"/>
      <c r="SDD128" s="94"/>
      <c r="SDE128" s="94"/>
      <c r="SDF128" s="94"/>
      <c r="SDG128" s="94"/>
      <c r="SDH128" s="94"/>
      <c r="SDI128" s="94"/>
      <c r="SDJ128" s="94"/>
      <c r="SDK128" s="94"/>
      <c r="SDL128" s="94"/>
      <c r="SDM128" s="94"/>
      <c r="SDN128" s="94"/>
      <c r="SDO128" s="94"/>
      <c r="SDP128" s="94"/>
      <c r="SDQ128" s="94"/>
      <c r="SDR128" s="94"/>
      <c r="SDS128" s="94"/>
      <c r="SDT128" s="94"/>
      <c r="SDU128" s="94"/>
      <c r="SDV128" s="94"/>
      <c r="SDW128" s="94"/>
      <c r="SDX128" s="94"/>
      <c r="SDY128" s="94"/>
      <c r="SDZ128" s="94"/>
      <c r="SEA128" s="94"/>
      <c r="SEB128" s="94"/>
      <c r="SEC128" s="94"/>
      <c r="SED128" s="94"/>
      <c r="SEE128" s="94"/>
      <c r="SEF128" s="94"/>
      <c r="SEG128" s="94"/>
      <c r="SEH128" s="94"/>
      <c r="SEI128" s="94"/>
      <c r="SEJ128" s="94"/>
      <c r="SEK128" s="94"/>
      <c r="SEL128" s="94"/>
      <c r="SEM128" s="94"/>
      <c r="SEN128" s="94"/>
      <c r="SEO128" s="94"/>
      <c r="SEP128" s="94"/>
      <c r="SEQ128" s="94"/>
      <c r="SER128" s="94"/>
      <c r="SES128" s="94"/>
      <c r="SET128" s="94"/>
      <c r="SEU128" s="94"/>
      <c r="SEV128" s="94"/>
      <c r="SEW128" s="94"/>
      <c r="SEX128" s="94"/>
      <c r="SEY128" s="94"/>
      <c r="SEZ128" s="94"/>
      <c r="SFA128" s="94"/>
      <c r="SFB128" s="94"/>
      <c r="SFC128" s="94"/>
      <c r="SFD128" s="94"/>
      <c r="SFE128" s="94"/>
      <c r="SFF128" s="94"/>
      <c r="SFG128" s="94"/>
      <c r="SFH128" s="94"/>
      <c r="SFI128" s="94"/>
      <c r="SFJ128" s="94"/>
      <c r="SFK128" s="94"/>
      <c r="SFL128" s="94"/>
      <c r="SFM128" s="94"/>
      <c r="SFN128" s="94"/>
      <c r="SFO128" s="94"/>
      <c r="SFP128" s="94"/>
      <c r="SFQ128" s="94"/>
      <c r="SFR128" s="94"/>
      <c r="SFS128" s="94"/>
      <c r="SFT128" s="94"/>
      <c r="SFU128" s="94"/>
      <c r="SFV128" s="94"/>
      <c r="SFW128" s="94"/>
      <c r="SFX128" s="94"/>
      <c r="SFY128" s="94"/>
      <c r="SFZ128" s="94"/>
      <c r="SGA128" s="94"/>
      <c r="SGB128" s="94"/>
      <c r="SGC128" s="94"/>
      <c r="SGD128" s="94"/>
      <c r="SGE128" s="94"/>
      <c r="SGF128" s="94"/>
      <c r="SGG128" s="94"/>
      <c r="SGH128" s="94"/>
      <c r="SGI128" s="94"/>
      <c r="SGJ128" s="94"/>
      <c r="SGK128" s="94"/>
      <c r="SGL128" s="94"/>
      <c r="SGM128" s="94"/>
      <c r="SGN128" s="94"/>
      <c r="SGO128" s="94"/>
      <c r="SGP128" s="94"/>
      <c r="SGQ128" s="94"/>
      <c r="SGR128" s="94"/>
      <c r="SGS128" s="94"/>
      <c r="SGT128" s="94"/>
      <c r="SGU128" s="94"/>
      <c r="SGV128" s="94"/>
      <c r="SGW128" s="94"/>
      <c r="SGX128" s="94"/>
      <c r="SGY128" s="94"/>
      <c r="SGZ128" s="94"/>
      <c r="SHA128" s="94"/>
      <c r="SHB128" s="94"/>
      <c r="SHC128" s="94"/>
      <c r="SHD128" s="94"/>
      <c r="SHE128" s="94"/>
      <c r="SHF128" s="94"/>
      <c r="SHG128" s="94"/>
      <c r="SHH128" s="94"/>
      <c r="SHI128" s="94"/>
      <c r="SHJ128" s="94"/>
      <c r="SHK128" s="94"/>
      <c r="SHL128" s="94"/>
      <c r="SHM128" s="94"/>
      <c r="SHN128" s="94"/>
      <c r="SHO128" s="94"/>
      <c r="SHP128" s="94"/>
      <c r="SHQ128" s="94"/>
      <c r="SHR128" s="94"/>
      <c r="SHS128" s="94"/>
      <c r="SHT128" s="94"/>
      <c r="SHU128" s="94"/>
      <c r="SHV128" s="94"/>
      <c r="SHW128" s="94"/>
      <c r="SHX128" s="94"/>
      <c r="SHY128" s="94"/>
      <c r="SHZ128" s="94"/>
      <c r="SIA128" s="94"/>
      <c r="SIB128" s="94"/>
      <c r="SIC128" s="94"/>
      <c r="SID128" s="94"/>
      <c r="SIE128" s="94"/>
      <c r="SIF128" s="94"/>
      <c r="SIG128" s="94"/>
      <c r="SIH128" s="94"/>
      <c r="SII128" s="94"/>
      <c r="SIJ128" s="94"/>
      <c r="SIK128" s="94"/>
      <c r="SIL128" s="94"/>
      <c r="SIM128" s="94"/>
      <c r="SIN128" s="94"/>
      <c r="SIO128" s="94"/>
      <c r="SIP128" s="94"/>
      <c r="SIQ128" s="94"/>
      <c r="SIR128" s="94"/>
      <c r="SIS128" s="94"/>
      <c r="SIT128" s="94"/>
      <c r="SIU128" s="94"/>
      <c r="SIV128" s="94"/>
      <c r="SIW128" s="94"/>
      <c r="SIX128" s="94"/>
      <c r="SIY128" s="94"/>
      <c r="SIZ128" s="94"/>
      <c r="SJA128" s="94"/>
      <c r="SJB128" s="94"/>
      <c r="SJC128" s="94"/>
      <c r="SJD128" s="94"/>
      <c r="SJE128" s="94"/>
      <c r="SJF128" s="94"/>
      <c r="SJG128" s="94"/>
      <c r="SJH128" s="94"/>
      <c r="SJI128" s="94"/>
      <c r="SJJ128" s="94"/>
      <c r="SJK128" s="94"/>
      <c r="SJL128" s="94"/>
      <c r="SJM128" s="94"/>
      <c r="SJN128" s="94"/>
      <c r="SJO128" s="94"/>
      <c r="SJP128" s="94"/>
      <c r="SJQ128" s="94"/>
      <c r="SJR128" s="94"/>
      <c r="SJS128" s="94"/>
      <c r="SJT128" s="94"/>
      <c r="SJU128" s="94"/>
      <c r="SJV128" s="94"/>
      <c r="SJW128" s="94"/>
      <c r="SJX128" s="94"/>
      <c r="SJY128" s="94"/>
      <c r="SJZ128" s="94"/>
      <c r="SKA128" s="94"/>
      <c r="SKB128" s="94"/>
      <c r="SKC128" s="94"/>
      <c r="SKD128" s="94"/>
      <c r="SKE128" s="94"/>
      <c r="SKF128" s="94"/>
      <c r="SKG128" s="94"/>
      <c r="SKH128" s="94"/>
      <c r="SKI128" s="94"/>
      <c r="SKJ128" s="94"/>
      <c r="SKK128" s="94"/>
      <c r="SKL128" s="94"/>
      <c r="SKM128" s="94"/>
      <c r="SKN128" s="94"/>
      <c r="SKO128" s="94"/>
      <c r="SKP128" s="94"/>
      <c r="SKQ128" s="94"/>
      <c r="SKR128" s="94"/>
      <c r="SKS128" s="94"/>
      <c r="SKT128" s="94"/>
      <c r="SKU128" s="94"/>
      <c r="SKV128" s="94"/>
      <c r="SKW128" s="94"/>
      <c r="SKX128" s="94"/>
      <c r="SKY128" s="94"/>
      <c r="SKZ128" s="94"/>
      <c r="SLA128" s="94"/>
      <c r="SLB128" s="94"/>
      <c r="SLC128" s="94"/>
      <c r="SLD128" s="94"/>
      <c r="SLE128" s="94"/>
      <c r="SLF128" s="94"/>
      <c r="SLG128" s="94"/>
      <c r="SLH128" s="94"/>
      <c r="SLI128" s="94"/>
      <c r="SLJ128" s="94"/>
      <c r="SLK128" s="94"/>
      <c r="SLL128" s="94"/>
      <c r="SLM128" s="94"/>
      <c r="SLN128" s="94"/>
      <c r="SLO128" s="94"/>
      <c r="SLP128" s="94"/>
      <c r="SLQ128" s="94"/>
      <c r="SLR128" s="94"/>
      <c r="SLS128" s="94"/>
      <c r="SLT128" s="94"/>
      <c r="SLU128" s="94"/>
      <c r="SLV128" s="94"/>
      <c r="SLW128" s="94"/>
      <c r="SLX128" s="94"/>
      <c r="SLY128" s="94"/>
      <c r="SLZ128" s="94"/>
      <c r="SMA128" s="94"/>
      <c r="SMB128" s="94"/>
      <c r="SMC128" s="94"/>
      <c r="SMD128" s="94"/>
      <c r="SME128" s="94"/>
      <c r="SMF128" s="94"/>
      <c r="SMG128" s="94"/>
      <c r="SMH128" s="94"/>
      <c r="SMI128" s="94"/>
      <c r="SMJ128" s="94"/>
      <c r="SMK128" s="94"/>
      <c r="SML128" s="94"/>
      <c r="SMM128" s="94"/>
      <c r="SMN128" s="94"/>
      <c r="SMO128" s="94"/>
      <c r="SMP128" s="94"/>
      <c r="SMQ128" s="94"/>
      <c r="SMR128" s="94"/>
      <c r="SMS128" s="94"/>
      <c r="SMT128" s="94"/>
      <c r="SMU128" s="94"/>
      <c r="SMV128" s="94"/>
      <c r="SMW128" s="94"/>
      <c r="SMX128" s="94"/>
      <c r="SMY128" s="94"/>
      <c r="SMZ128" s="94"/>
      <c r="SNA128" s="94"/>
      <c r="SNB128" s="94"/>
      <c r="SNC128" s="94"/>
      <c r="SND128" s="94"/>
      <c r="SNE128" s="94"/>
      <c r="SNF128" s="94"/>
      <c r="SNG128" s="94"/>
      <c r="SNH128" s="94"/>
      <c r="SNI128" s="94"/>
      <c r="SNJ128" s="94"/>
      <c r="SNK128" s="94"/>
      <c r="SNL128" s="94"/>
      <c r="SNM128" s="94"/>
      <c r="SNN128" s="94"/>
      <c r="SNO128" s="94"/>
      <c r="SNP128" s="94"/>
      <c r="SNQ128" s="94"/>
      <c r="SNR128" s="94"/>
      <c r="SNS128" s="94"/>
      <c r="SNT128" s="94"/>
      <c r="SNU128" s="94"/>
      <c r="SNV128" s="94"/>
      <c r="SNW128" s="94"/>
      <c r="SNX128" s="94"/>
      <c r="SNY128" s="94"/>
      <c r="SNZ128" s="94"/>
      <c r="SOA128" s="94"/>
      <c r="SOB128" s="94"/>
      <c r="SOC128" s="94"/>
      <c r="SOD128" s="94"/>
      <c r="SOE128" s="94"/>
      <c r="SOF128" s="94"/>
      <c r="SOG128" s="94"/>
      <c r="SOH128" s="94"/>
      <c r="SOI128" s="94"/>
      <c r="SOJ128" s="94"/>
      <c r="SOK128" s="94"/>
      <c r="SOL128" s="94"/>
      <c r="SOM128" s="94"/>
      <c r="SON128" s="94"/>
      <c r="SOO128" s="94"/>
      <c r="SOP128" s="94"/>
      <c r="SOQ128" s="94"/>
      <c r="SOR128" s="94"/>
      <c r="SOS128" s="94"/>
      <c r="SOT128" s="94"/>
      <c r="SOU128" s="94"/>
      <c r="SOV128" s="94"/>
      <c r="SOW128" s="94"/>
      <c r="SOX128" s="94"/>
      <c r="SOY128" s="94"/>
      <c r="SOZ128" s="94"/>
      <c r="SPA128" s="94"/>
      <c r="SPB128" s="94"/>
      <c r="SPC128" s="94"/>
      <c r="SPD128" s="94"/>
      <c r="SPE128" s="94"/>
      <c r="SPF128" s="94"/>
      <c r="SPG128" s="94"/>
      <c r="SPH128" s="94"/>
      <c r="SPI128" s="94"/>
      <c r="SPJ128" s="94"/>
      <c r="SPK128" s="94"/>
      <c r="SPL128" s="94"/>
      <c r="SPM128" s="94"/>
      <c r="SPN128" s="94"/>
      <c r="SPO128" s="94"/>
      <c r="SPP128" s="94"/>
      <c r="SPQ128" s="94"/>
      <c r="SPR128" s="94"/>
      <c r="SPS128" s="94"/>
      <c r="SPT128" s="94"/>
      <c r="SPU128" s="94"/>
      <c r="SPV128" s="94"/>
      <c r="SPW128" s="94"/>
      <c r="SPX128" s="94"/>
      <c r="SPY128" s="94"/>
      <c r="SPZ128" s="94"/>
      <c r="SQA128" s="94"/>
      <c r="SQB128" s="94"/>
      <c r="SQC128" s="94"/>
      <c r="SQD128" s="94"/>
      <c r="SQE128" s="94"/>
      <c r="SQF128" s="94"/>
      <c r="SQG128" s="94"/>
      <c r="SQH128" s="94"/>
      <c r="SQI128" s="94"/>
      <c r="SQJ128" s="94"/>
      <c r="SQK128" s="94"/>
      <c r="SQL128" s="94"/>
      <c r="SQM128" s="94"/>
      <c r="SQN128" s="94"/>
      <c r="SQO128" s="94"/>
      <c r="SQP128" s="94"/>
      <c r="SQQ128" s="94"/>
      <c r="SQR128" s="94"/>
      <c r="SQS128" s="94"/>
      <c r="SQT128" s="94"/>
      <c r="SQU128" s="94"/>
      <c r="SQV128" s="94"/>
      <c r="SQW128" s="94"/>
      <c r="SQX128" s="94"/>
      <c r="SQY128" s="94"/>
      <c r="SQZ128" s="94"/>
      <c r="SRA128" s="94"/>
      <c r="SRB128" s="94"/>
      <c r="SRC128" s="94"/>
      <c r="SRD128" s="94"/>
      <c r="SRE128" s="94"/>
      <c r="SRF128" s="94"/>
      <c r="SRG128" s="94"/>
      <c r="SRH128" s="94"/>
      <c r="SRI128" s="94"/>
      <c r="SRJ128" s="94"/>
      <c r="SRK128" s="94"/>
      <c r="SRL128" s="94"/>
      <c r="SRM128" s="94"/>
      <c r="SRN128" s="94"/>
      <c r="SRO128" s="94"/>
      <c r="SRP128" s="94"/>
      <c r="SRQ128" s="94"/>
      <c r="SRR128" s="94"/>
      <c r="SRS128" s="94"/>
      <c r="SRT128" s="94"/>
      <c r="SRU128" s="94"/>
      <c r="SRV128" s="94"/>
      <c r="SRW128" s="94"/>
      <c r="SRX128" s="94"/>
      <c r="SRY128" s="94"/>
      <c r="SRZ128" s="94"/>
      <c r="SSA128" s="94"/>
      <c r="SSB128" s="94"/>
      <c r="SSC128" s="94"/>
      <c r="SSD128" s="94"/>
      <c r="SSE128" s="94"/>
      <c r="SSF128" s="94"/>
      <c r="SSG128" s="94"/>
      <c r="SSH128" s="94"/>
      <c r="SSI128" s="94"/>
      <c r="SSJ128" s="94"/>
      <c r="SSK128" s="94"/>
      <c r="SSL128" s="94"/>
      <c r="SSM128" s="94"/>
      <c r="SSN128" s="94"/>
      <c r="SSO128" s="94"/>
      <c r="SSP128" s="94"/>
      <c r="SSQ128" s="94"/>
      <c r="SSR128" s="94"/>
      <c r="SSS128" s="94"/>
      <c r="SST128" s="94"/>
      <c r="SSU128" s="94"/>
      <c r="SSV128" s="94"/>
      <c r="SSW128" s="94"/>
      <c r="SSX128" s="94"/>
      <c r="SSY128" s="94"/>
      <c r="SSZ128" s="94"/>
      <c r="STA128" s="94"/>
      <c r="STB128" s="94"/>
      <c r="STC128" s="94"/>
      <c r="STD128" s="94"/>
      <c r="STE128" s="94"/>
      <c r="STF128" s="94"/>
      <c r="STG128" s="94"/>
      <c r="STH128" s="94"/>
      <c r="STI128" s="94"/>
      <c r="STJ128" s="94"/>
      <c r="STK128" s="94"/>
      <c r="STL128" s="94"/>
      <c r="STM128" s="94"/>
      <c r="STN128" s="94"/>
      <c r="STO128" s="94"/>
      <c r="STP128" s="94"/>
      <c r="STQ128" s="94"/>
      <c r="STR128" s="94"/>
      <c r="STS128" s="94"/>
      <c r="STT128" s="94"/>
      <c r="STU128" s="94"/>
      <c r="STV128" s="94"/>
      <c r="STW128" s="94"/>
      <c r="STX128" s="94"/>
      <c r="STY128" s="94"/>
      <c r="STZ128" s="94"/>
      <c r="SUA128" s="94"/>
      <c r="SUB128" s="94"/>
      <c r="SUC128" s="94"/>
      <c r="SUD128" s="94"/>
      <c r="SUE128" s="94"/>
      <c r="SUF128" s="94"/>
      <c r="SUG128" s="94"/>
      <c r="SUH128" s="94"/>
      <c r="SUI128" s="94"/>
      <c r="SUJ128" s="94"/>
      <c r="SUK128" s="94"/>
      <c r="SUL128" s="94"/>
      <c r="SUM128" s="94"/>
      <c r="SUN128" s="94"/>
      <c r="SUO128" s="94"/>
      <c r="SUP128" s="94"/>
      <c r="SUQ128" s="94"/>
      <c r="SUR128" s="94"/>
      <c r="SUS128" s="94"/>
      <c r="SUT128" s="94"/>
      <c r="SUU128" s="94"/>
      <c r="SUV128" s="94"/>
      <c r="SUW128" s="94"/>
      <c r="SUX128" s="94"/>
      <c r="SUY128" s="94"/>
      <c r="SUZ128" s="94"/>
      <c r="SVA128" s="94"/>
      <c r="SVB128" s="94"/>
      <c r="SVC128" s="94"/>
      <c r="SVD128" s="94"/>
      <c r="SVE128" s="94"/>
      <c r="SVF128" s="94"/>
      <c r="SVG128" s="94"/>
      <c r="SVH128" s="94"/>
      <c r="SVI128" s="94"/>
      <c r="SVJ128" s="94"/>
      <c r="SVK128" s="94"/>
      <c r="SVL128" s="94"/>
      <c r="SVM128" s="94"/>
      <c r="SVN128" s="94"/>
      <c r="SVO128" s="94"/>
      <c r="SVP128" s="94"/>
      <c r="SVQ128" s="94"/>
      <c r="SVR128" s="94"/>
      <c r="SVS128" s="94"/>
      <c r="SVT128" s="94"/>
      <c r="SVU128" s="94"/>
      <c r="SVV128" s="94"/>
      <c r="SVW128" s="94"/>
      <c r="SVX128" s="94"/>
      <c r="SVY128" s="94"/>
      <c r="SVZ128" s="94"/>
      <c r="SWA128" s="94"/>
      <c r="SWB128" s="94"/>
      <c r="SWC128" s="94"/>
      <c r="SWD128" s="94"/>
      <c r="SWE128" s="94"/>
      <c r="SWF128" s="94"/>
      <c r="SWG128" s="94"/>
      <c r="SWH128" s="94"/>
      <c r="SWI128" s="94"/>
      <c r="SWJ128" s="94"/>
      <c r="SWK128" s="94"/>
      <c r="SWL128" s="94"/>
      <c r="SWM128" s="94"/>
      <c r="SWN128" s="94"/>
      <c r="SWO128" s="94"/>
      <c r="SWP128" s="94"/>
      <c r="SWQ128" s="94"/>
      <c r="SWR128" s="94"/>
      <c r="SWS128" s="94"/>
      <c r="SWT128" s="94"/>
      <c r="SWU128" s="94"/>
      <c r="SWV128" s="94"/>
      <c r="SWW128" s="94"/>
      <c r="SWX128" s="94"/>
      <c r="SWY128" s="94"/>
      <c r="SWZ128" s="94"/>
      <c r="SXA128" s="94"/>
      <c r="SXB128" s="94"/>
      <c r="SXC128" s="94"/>
      <c r="SXD128" s="94"/>
      <c r="SXE128" s="94"/>
      <c r="SXF128" s="94"/>
      <c r="SXG128" s="94"/>
      <c r="SXH128" s="94"/>
      <c r="SXI128" s="94"/>
      <c r="SXJ128" s="94"/>
      <c r="SXK128" s="94"/>
      <c r="SXL128" s="94"/>
      <c r="SXM128" s="94"/>
      <c r="SXN128" s="94"/>
      <c r="SXO128" s="94"/>
      <c r="SXP128" s="94"/>
      <c r="SXQ128" s="94"/>
      <c r="SXR128" s="94"/>
      <c r="SXS128" s="94"/>
      <c r="SXT128" s="94"/>
      <c r="SXU128" s="94"/>
      <c r="SXV128" s="94"/>
      <c r="SXW128" s="94"/>
      <c r="SXX128" s="94"/>
      <c r="SXY128" s="94"/>
      <c r="SXZ128" s="94"/>
      <c r="SYA128" s="94"/>
      <c r="SYB128" s="94"/>
      <c r="SYC128" s="94"/>
      <c r="SYD128" s="94"/>
      <c r="SYE128" s="94"/>
      <c r="SYF128" s="94"/>
      <c r="SYG128" s="94"/>
      <c r="SYH128" s="94"/>
      <c r="SYI128" s="94"/>
      <c r="SYJ128" s="94"/>
      <c r="SYK128" s="94"/>
      <c r="SYL128" s="94"/>
      <c r="SYM128" s="94"/>
      <c r="SYN128" s="94"/>
      <c r="SYO128" s="94"/>
      <c r="SYP128" s="94"/>
      <c r="SYQ128" s="94"/>
      <c r="SYR128" s="94"/>
      <c r="SYS128" s="94"/>
      <c r="SYT128" s="94"/>
      <c r="SYU128" s="94"/>
      <c r="SYV128" s="94"/>
      <c r="SYW128" s="94"/>
      <c r="SYX128" s="94"/>
      <c r="SYY128" s="94"/>
      <c r="SYZ128" s="94"/>
      <c r="SZA128" s="94"/>
      <c r="SZB128" s="94"/>
      <c r="SZC128" s="94"/>
      <c r="SZD128" s="94"/>
      <c r="SZE128" s="94"/>
      <c r="SZF128" s="94"/>
      <c r="SZG128" s="94"/>
      <c r="SZH128" s="94"/>
      <c r="SZI128" s="94"/>
      <c r="SZJ128" s="94"/>
      <c r="SZK128" s="94"/>
      <c r="SZL128" s="94"/>
      <c r="SZM128" s="94"/>
      <c r="SZN128" s="94"/>
      <c r="SZO128" s="94"/>
      <c r="SZP128" s="94"/>
      <c r="SZQ128" s="94"/>
      <c r="SZR128" s="94"/>
      <c r="SZS128" s="94"/>
      <c r="SZT128" s="94"/>
      <c r="SZU128" s="94"/>
      <c r="SZV128" s="94"/>
      <c r="SZW128" s="94"/>
      <c r="SZX128" s="94"/>
      <c r="SZY128" s="94"/>
      <c r="SZZ128" s="94"/>
      <c r="TAA128" s="94"/>
      <c r="TAB128" s="94"/>
      <c r="TAC128" s="94"/>
      <c r="TAD128" s="94"/>
      <c r="TAE128" s="94"/>
      <c r="TAF128" s="94"/>
      <c r="TAG128" s="94"/>
      <c r="TAH128" s="94"/>
      <c r="TAI128" s="94"/>
      <c r="TAJ128" s="94"/>
      <c r="TAK128" s="94"/>
      <c r="TAL128" s="94"/>
      <c r="TAM128" s="94"/>
      <c r="TAN128" s="94"/>
      <c r="TAO128" s="94"/>
      <c r="TAP128" s="94"/>
      <c r="TAQ128" s="94"/>
      <c r="TAR128" s="94"/>
      <c r="TAS128" s="94"/>
      <c r="TAT128" s="94"/>
      <c r="TAU128" s="94"/>
      <c r="TAV128" s="94"/>
      <c r="TAW128" s="94"/>
      <c r="TAX128" s="94"/>
      <c r="TAY128" s="94"/>
      <c r="TAZ128" s="94"/>
      <c r="TBA128" s="94"/>
      <c r="TBB128" s="94"/>
      <c r="TBC128" s="94"/>
      <c r="TBD128" s="94"/>
      <c r="TBE128" s="94"/>
      <c r="TBF128" s="94"/>
      <c r="TBG128" s="94"/>
      <c r="TBH128" s="94"/>
      <c r="TBI128" s="94"/>
      <c r="TBJ128" s="94"/>
      <c r="TBK128" s="94"/>
      <c r="TBL128" s="94"/>
      <c r="TBM128" s="94"/>
      <c r="TBN128" s="94"/>
      <c r="TBO128" s="94"/>
      <c r="TBP128" s="94"/>
      <c r="TBQ128" s="94"/>
      <c r="TBR128" s="94"/>
      <c r="TBS128" s="94"/>
      <c r="TBT128" s="94"/>
      <c r="TBU128" s="94"/>
      <c r="TBV128" s="94"/>
      <c r="TBW128" s="94"/>
      <c r="TBX128" s="94"/>
      <c r="TBY128" s="94"/>
      <c r="TBZ128" s="94"/>
      <c r="TCA128" s="94"/>
      <c r="TCB128" s="94"/>
      <c r="TCC128" s="94"/>
      <c r="TCD128" s="94"/>
      <c r="TCE128" s="94"/>
      <c r="TCF128" s="94"/>
      <c r="TCG128" s="94"/>
      <c r="TCH128" s="94"/>
      <c r="TCI128" s="94"/>
      <c r="TCJ128" s="94"/>
      <c r="TCK128" s="94"/>
      <c r="TCL128" s="94"/>
      <c r="TCM128" s="94"/>
      <c r="TCN128" s="94"/>
      <c r="TCO128" s="94"/>
      <c r="TCP128" s="94"/>
      <c r="TCQ128" s="94"/>
      <c r="TCR128" s="94"/>
      <c r="TCS128" s="94"/>
      <c r="TCT128" s="94"/>
      <c r="TCU128" s="94"/>
      <c r="TCV128" s="94"/>
      <c r="TCW128" s="94"/>
      <c r="TCX128" s="94"/>
      <c r="TCY128" s="94"/>
      <c r="TCZ128" s="94"/>
      <c r="TDA128" s="94"/>
      <c r="TDB128" s="94"/>
      <c r="TDC128" s="94"/>
      <c r="TDD128" s="94"/>
      <c r="TDE128" s="94"/>
      <c r="TDF128" s="94"/>
      <c r="TDG128" s="94"/>
      <c r="TDH128" s="94"/>
      <c r="TDI128" s="94"/>
      <c r="TDJ128" s="94"/>
      <c r="TDK128" s="94"/>
      <c r="TDL128" s="94"/>
      <c r="TDM128" s="94"/>
      <c r="TDN128" s="94"/>
      <c r="TDO128" s="94"/>
      <c r="TDP128" s="94"/>
      <c r="TDQ128" s="94"/>
      <c r="TDR128" s="94"/>
      <c r="TDS128" s="94"/>
      <c r="TDT128" s="94"/>
      <c r="TDU128" s="94"/>
      <c r="TDV128" s="94"/>
      <c r="TDW128" s="94"/>
      <c r="TDX128" s="94"/>
      <c r="TDY128" s="94"/>
      <c r="TDZ128" s="94"/>
      <c r="TEA128" s="94"/>
      <c r="TEB128" s="94"/>
      <c r="TEC128" s="94"/>
      <c r="TED128" s="94"/>
      <c r="TEE128" s="94"/>
      <c r="TEF128" s="94"/>
      <c r="TEG128" s="94"/>
      <c r="TEH128" s="94"/>
      <c r="TEI128" s="94"/>
      <c r="TEJ128" s="94"/>
      <c r="TEK128" s="94"/>
      <c r="TEL128" s="94"/>
      <c r="TEM128" s="94"/>
      <c r="TEN128" s="94"/>
      <c r="TEO128" s="94"/>
      <c r="TEP128" s="94"/>
      <c r="TEQ128" s="94"/>
      <c r="TER128" s="94"/>
      <c r="TES128" s="94"/>
      <c r="TET128" s="94"/>
      <c r="TEU128" s="94"/>
      <c r="TEV128" s="94"/>
      <c r="TEW128" s="94"/>
      <c r="TEX128" s="94"/>
      <c r="TEY128" s="94"/>
      <c r="TEZ128" s="94"/>
      <c r="TFA128" s="94"/>
      <c r="TFB128" s="94"/>
      <c r="TFC128" s="94"/>
      <c r="TFD128" s="94"/>
      <c r="TFE128" s="94"/>
      <c r="TFF128" s="94"/>
      <c r="TFG128" s="94"/>
      <c r="TFH128" s="94"/>
      <c r="TFI128" s="94"/>
      <c r="TFJ128" s="94"/>
      <c r="TFK128" s="94"/>
      <c r="TFL128" s="94"/>
      <c r="TFM128" s="94"/>
      <c r="TFN128" s="94"/>
      <c r="TFO128" s="94"/>
      <c r="TFP128" s="94"/>
      <c r="TFQ128" s="94"/>
      <c r="TFR128" s="94"/>
      <c r="TFS128" s="94"/>
      <c r="TFT128" s="94"/>
      <c r="TFU128" s="94"/>
      <c r="TFV128" s="94"/>
      <c r="TFW128" s="94"/>
      <c r="TFX128" s="94"/>
      <c r="TFY128" s="94"/>
      <c r="TFZ128" s="94"/>
      <c r="TGA128" s="94"/>
      <c r="TGB128" s="94"/>
      <c r="TGC128" s="94"/>
      <c r="TGD128" s="94"/>
      <c r="TGE128" s="94"/>
      <c r="TGF128" s="94"/>
      <c r="TGG128" s="94"/>
      <c r="TGH128" s="94"/>
      <c r="TGI128" s="94"/>
      <c r="TGJ128" s="94"/>
      <c r="TGK128" s="94"/>
      <c r="TGL128" s="94"/>
      <c r="TGM128" s="94"/>
      <c r="TGN128" s="94"/>
      <c r="TGO128" s="94"/>
      <c r="TGP128" s="94"/>
      <c r="TGQ128" s="94"/>
      <c r="TGR128" s="94"/>
      <c r="TGS128" s="94"/>
      <c r="TGT128" s="94"/>
      <c r="TGU128" s="94"/>
      <c r="TGV128" s="94"/>
      <c r="TGW128" s="94"/>
      <c r="TGX128" s="94"/>
      <c r="TGY128" s="94"/>
      <c r="TGZ128" s="94"/>
      <c r="THA128" s="94"/>
      <c r="THB128" s="94"/>
      <c r="THC128" s="94"/>
      <c r="THD128" s="94"/>
      <c r="THE128" s="94"/>
      <c r="THF128" s="94"/>
      <c r="THG128" s="94"/>
      <c r="THH128" s="94"/>
      <c r="THI128" s="94"/>
      <c r="THJ128" s="94"/>
      <c r="THK128" s="94"/>
      <c r="THL128" s="94"/>
      <c r="THM128" s="94"/>
      <c r="THN128" s="94"/>
      <c r="THO128" s="94"/>
      <c r="THP128" s="94"/>
      <c r="THQ128" s="94"/>
      <c r="THR128" s="94"/>
      <c r="THS128" s="94"/>
      <c r="THT128" s="94"/>
      <c r="THU128" s="94"/>
      <c r="THV128" s="94"/>
      <c r="THW128" s="94"/>
      <c r="THX128" s="94"/>
      <c r="THY128" s="94"/>
      <c r="THZ128" s="94"/>
      <c r="TIA128" s="94"/>
      <c r="TIB128" s="94"/>
      <c r="TIC128" s="94"/>
      <c r="TID128" s="94"/>
      <c r="TIE128" s="94"/>
      <c r="TIF128" s="94"/>
      <c r="TIG128" s="94"/>
      <c r="TIH128" s="94"/>
      <c r="TII128" s="94"/>
      <c r="TIJ128" s="94"/>
      <c r="TIK128" s="94"/>
      <c r="TIL128" s="94"/>
      <c r="TIM128" s="94"/>
      <c r="TIN128" s="94"/>
      <c r="TIO128" s="94"/>
      <c r="TIP128" s="94"/>
      <c r="TIQ128" s="94"/>
      <c r="TIR128" s="94"/>
      <c r="TIS128" s="94"/>
      <c r="TIT128" s="94"/>
      <c r="TIU128" s="94"/>
      <c r="TIV128" s="94"/>
      <c r="TIW128" s="94"/>
      <c r="TIX128" s="94"/>
      <c r="TIY128" s="94"/>
      <c r="TIZ128" s="94"/>
      <c r="TJA128" s="94"/>
      <c r="TJB128" s="94"/>
      <c r="TJC128" s="94"/>
      <c r="TJD128" s="94"/>
      <c r="TJE128" s="94"/>
      <c r="TJF128" s="94"/>
      <c r="TJG128" s="94"/>
      <c r="TJH128" s="94"/>
      <c r="TJI128" s="94"/>
      <c r="TJJ128" s="94"/>
      <c r="TJK128" s="94"/>
      <c r="TJL128" s="94"/>
      <c r="TJM128" s="94"/>
      <c r="TJN128" s="94"/>
      <c r="TJO128" s="94"/>
      <c r="TJP128" s="94"/>
      <c r="TJQ128" s="94"/>
      <c r="TJR128" s="94"/>
      <c r="TJS128" s="94"/>
      <c r="TJT128" s="94"/>
      <c r="TJU128" s="94"/>
      <c r="TJV128" s="94"/>
      <c r="TJW128" s="94"/>
      <c r="TJX128" s="94"/>
      <c r="TJY128" s="94"/>
      <c r="TJZ128" s="94"/>
      <c r="TKA128" s="94"/>
      <c r="TKB128" s="94"/>
      <c r="TKC128" s="94"/>
      <c r="TKD128" s="94"/>
      <c r="TKE128" s="94"/>
      <c r="TKF128" s="94"/>
      <c r="TKG128" s="94"/>
      <c r="TKH128" s="94"/>
      <c r="TKI128" s="94"/>
      <c r="TKJ128" s="94"/>
      <c r="TKK128" s="94"/>
      <c r="TKL128" s="94"/>
      <c r="TKM128" s="94"/>
      <c r="TKN128" s="94"/>
      <c r="TKO128" s="94"/>
      <c r="TKP128" s="94"/>
      <c r="TKQ128" s="94"/>
      <c r="TKR128" s="94"/>
      <c r="TKS128" s="94"/>
      <c r="TKT128" s="94"/>
      <c r="TKU128" s="94"/>
      <c r="TKV128" s="94"/>
      <c r="TKW128" s="94"/>
      <c r="TKX128" s="94"/>
      <c r="TKY128" s="94"/>
      <c r="TKZ128" s="94"/>
      <c r="TLA128" s="94"/>
      <c r="TLB128" s="94"/>
      <c r="TLC128" s="94"/>
      <c r="TLD128" s="94"/>
      <c r="TLE128" s="94"/>
      <c r="TLF128" s="94"/>
      <c r="TLG128" s="94"/>
      <c r="TLH128" s="94"/>
      <c r="TLI128" s="94"/>
      <c r="TLJ128" s="94"/>
      <c r="TLK128" s="94"/>
      <c r="TLL128" s="94"/>
      <c r="TLM128" s="94"/>
      <c r="TLN128" s="94"/>
      <c r="TLO128" s="94"/>
      <c r="TLP128" s="94"/>
      <c r="TLQ128" s="94"/>
      <c r="TLR128" s="94"/>
      <c r="TLS128" s="94"/>
      <c r="TLT128" s="94"/>
      <c r="TLU128" s="94"/>
      <c r="TLV128" s="94"/>
      <c r="TLW128" s="94"/>
      <c r="TLX128" s="94"/>
      <c r="TLY128" s="94"/>
      <c r="TLZ128" s="94"/>
      <c r="TMA128" s="94"/>
      <c r="TMB128" s="94"/>
      <c r="TMC128" s="94"/>
      <c r="TMD128" s="94"/>
      <c r="TME128" s="94"/>
      <c r="TMF128" s="94"/>
      <c r="TMG128" s="94"/>
      <c r="TMH128" s="94"/>
      <c r="TMI128" s="94"/>
      <c r="TMJ128" s="94"/>
      <c r="TMK128" s="94"/>
      <c r="TML128" s="94"/>
      <c r="TMM128" s="94"/>
      <c r="TMN128" s="94"/>
      <c r="TMO128" s="94"/>
      <c r="TMP128" s="94"/>
      <c r="TMQ128" s="94"/>
      <c r="TMR128" s="94"/>
      <c r="TMS128" s="94"/>
      <c r="TMT128" s="94"/>
      <c r="TMU128" s="94"/>
      <c r="TMV128" s="94"/>
      <c r="TMW128" s="94"/>
      <c r="TMX128" s="94"/>
      <c r="TMY128" s="94"/>
      <c r="TMZ128" s="94"/>
      <c r="TNA128" s="94"/>
      <c r="TNB128" s="94"/>
      <c r="TNC128" s="94"/>
      <c r="TND128" s="94"/>
      <c r="TNE128" s="94"/>
      <c r="TNF128" s="94"/>
      <c r="TNG128" s="94"/>
      <c r="TNH128" s="94"/>
      <c r="TNI128" s="94"/>
      <c r="TNJ128" s="94"/>
      <c r="TNK128" s="94"/>
      <c r="TNL128" s="94"/>
      <c r="TNM128" s="94"/>
      <c r="TNN128" s="94"/>
      <c r="TNO128" s="94"/>
      <c r="TNP128" s="94"/>
      <c r="TNQ128" s="94"/>
      <c r="TNR128" s="94"/>
      <c r="TNS128" s="94"/>
      <c r="TNT128" s="94"/>
      <c r="TNU128" s="94"/>
      <c r="TNV128" s="94"/>
      <c r="TNW128" s="94"/>
      <c r="TNX128" s="94"/>
      <c r="TNY128" s="94"/>
      <c r="TNZ128" s="94"/>
      <c r="TOA128" s="94"/>
      <c r="TOB128" s="94"/>
      <c r="TOC128" s="94"/>
      <c r="TOD128" s="94"/>
      <c r="TOE128" s="94"/>
      <c r="TOF128" s="94"/>
      <c r="TOG128" s="94"/>
      <c r="TOH128" s="94"/>
      <c r="TOI128" s="94"/>
      <c r="TOJ128" s="94"/>
      <c r="TOK128" s="94"/>
      <c r="TOL128" s="94"/>
      <c r="TOM128" s="94"/>
      <c r="TON128" s="94"/>
      <c r="TOO128" s="94"/>
      <c r="TOP128" s="94"/>
      <c r="TOQ128" s="94"/>
      <c r="TOR128" s="94"/>
      <c r="TOS128" s="94"/>
      <c r="TOT128" s="94"/>
      <c r="TOU128" s="94"/>
      <c r="TOV128" s="94"/>
      <c r="TOW128" s="94"/>
      <c r="TOX128" s="94"/>
      <c r="TOY128" s="94"/>
      <c r="TOZ128" s="94"/>
      <c r="TPA128" s="94"/>
      <c r="TPB128" s="94"/>
      <c r="TPC128" s="94"/>
      <c r="TPD128" s="94"/>
      <c r="TPE128" s="94"/>
      <c r="TPF128" s="94"/>
      <c r="TPG128" s="94"/>
      <c r="TPH128" s="94"/>
      <c r="TPI128" s="94"/>
      <c r="TPJ128" s="94"/>
      <c r="TPK128" s="94"/>
      <c r="TPL128" s="94"/>
      <c r="TPM128" s="94"/>
      <c r="TPN128" s="94"/>
      <c r="TPO128" s="94"/>
      <c r="TPP128" s="94"/>
      <c r="TPQ128" s="94"/>
      <c r="TPR128" s="94"/>
      <c r="TPS128" s="94"/>
      <c r="TPT128" s="94"/>
      <c r="TPU128" s="94"/>
      <c r="TPV128" s="94"/>
      <c r="TPW128" s="94"/>
      <c r="TPX128" s="94"/>
      <c r="TPY128" s="94"/>
      <c r="TPZ128" s="94"/>
      <c r="TQA128" s="94"/>
      <c r="TQB128" s="94"/>
      <c r="TQC128" s="94"/>
      <c r="TQD128" s="94"/>
      <c r="TQE128" s="94"/>
      <c r="TQF128" s="94"/>
      <c r="TQG128" s="94"/>
      <c r="TQH128" s="94"/>
      <c r="TQI128" s="94"/>
      <c r="TQJ128" s="94"/>
      <c r="TQK128" s="94"/>
      <c r="TQL128" s="94"/>
      <c r="TQM128" s="94"/>
      <c r="TQN128" s="94"/>
      <c r="TQO128" s="94"/>
      <c r="TQP128" s="94"/>
      <c r="TQQ128" s="94"/>
      <c r="TQR128" s="94"/>
      <c r="TQS128" s="94"/>
      <c r="TQT128" s="94"/>
      <c r="TQU128" s="94"/>
      <c r="TQV128" s="94"/>
      <c r="TQW128" s="94"/>
      <c r="TQX128" s="94"/>
      <c r="TQY128" s="94"/>
      <c r="TQZ128" s="94"/>
      <c r="TRA128" s="94"/>
      <c r="TRB128" s="94"/>
      <c r="TRC128" s="94"/>
      <c r="TRD128" s="94"/>
      <c r="TRE128" s="94"/>
      <c r="TRF128" s="94"/>
      <c r="TRG128" s="94"/>
      <c r="TRH128" s="94"/>
      <c r="TRI128" s="94"/>
      <c r="TRJ128" s="94"/>
      <c r="TRK128" s="94"/>
      <c r="TRL128" s="94"/>
      <c r="TRM128" s="94"/>
      <c r="TRN128" s="94"/>
      <c r="TRO128" s="94"/>
      <c r="TRP128" s="94"/>
      <c r="TRQ128" s="94"/>
      <c r="TRR128" s="94"/>
      <c r="TRS128" s="94"/>
      <c r="TRT128" s="94"/>
      <c r="TRU128" s="94"/>
      <c r="TRV128" s="94"/>
      <c r="TRW128" s="94"/>
      <c r="TRX128" s="94"/>
      <c r="TRY128" s="94"/>
      <c r="TRZ128" s="94"/>
      <c r="TSA128" s="94"/>
      <c r="TSB128" s="94"/>
      <c r="TSC128" s="94"/>
      <c r="TSD128" s="94"/>
      <c r="TSE128" s="94"/>
      <c r="TSF128" s="94"/>
      <c r="TSG128" s="94"/>
      <c r="TSH128" s="94"/>
      <c r="TSI128" s="94"/>
      <c r="TSJ128" s="94"/>
      <c r="TSK128" s="94"/>
      <c r="TSL128" s="94"/>
      <c r="TSM128" s="94"/>
      <c r="TSN128" s="94"/>
      <c r="TSO128" s="94"/>
      <c r="TSP128" s="94"/>
      <c r="TSQ128" s="94"/>
      <c r="TSR128" s="94"/>
      <c r="TSS128" s="94"/>
      <c r="TST128" s="94"/>
      <c r="TSU128" s="94"/>
      <c r="TSV128" s="94"/>
      <c r="TSW128" s="94"/>
      <c r="TSX128" s="94"/>
      <c r="TSY128" s="94"/>
      <c r="TSZ128" s="94"/>
      <c r="TTA128" s="94"/>
      <c r="TTB128" s="94"/>
      <c r="TTC128" s="94"/>
      <c r="TTD128" s="94"/>
      <c r="TTE128" s="94"/>
      <c r="TTF128" s="94"/>
      <c r="TTG128" s="94"/>
      <c r="TTH128" s="94"/>
      <c r="TTI128" s="94"/>
      <c r="TTJ128" s="94"/>
      <c r="TTK128" s="94"/>
      <c r="TTL128" s="94"/>
      <c r="TTM128" s="94"/>
      <c r="TTN128" s="94"/>
      <c r="TTO128" s="94"/>
      <c r="TTP128" s="94"/>
      <c r="TTQ128" s="94"/>
      <c r="TTR128" s="94"/>
      <c r="TTS128" s="94"/>
      <c r="TTT128" s="94"/>
      <c r="TTU128" s="94"/>
      <c r="TTV128" s="94"/>
      <c r="TTW128" s="94"/>
      <c r="TTX128" s="94"/>
      <c r="TTY128" s="94"/>
      <c r="TTZ128" s="94"/>
      <c r="TUA128" s="94"/>
      <c r="TUB128" s="94"/>
      <c r="TUC128" s="94"/>
      <c r="TUD128" s="94"/>
      <c r="TUE128" s="94"/>
      <c r="TUF128" s="94"/>
      <c r="TUG128" s="94"/>
      <c r="TUH128" s="94"/>
      <c r="TUI128" s="94"/>
      <c r="TUJ128" s="94"/>
      <c r="TUK128" s="94"/>
      <c r="TUL128" s="94"/>
      <c r="TUM128" s="94"/>
      <c r="TUN128" s="94"/>
      <c r="TUO128" s="94"/>
      <c r="TUP128" s="94"/>
      <c r="TUQ128" s="94"/>
      <c r="TUR128" s="94"/>
      <c r="TUS128" s="94"/>
      <c r="TUT128" s="94"/>
      <c r="TUU128" s="94"/>
      <c r="TUV128" s="94"/>
      <c r="TUW128" s="94"/>
      <c r="TUX128" s="94"/>
      <c r="TUY128" s="94"/>
      <c r="TUZ128" s="94"/>
      <c r="TVA128" s="94"/>
      <c r="TVB128" s="94"/>
      <c r="TVC128" s="94"/>
      <c r="TVD128" s="94"/>
      <c r="TVE128" s="94"/>
      <c r="TVF128" s="94"/>
      <c r="TVG128" s="94"/>
      <c r="TVH128" s="94"/>
      <c r="TVI128" s="94"/>
      <c r="TVJ128" s="94"/>
      <c r="TVK128" s="94"/>
      <c r="TVL128" s="94"/>
      <c r="TVM128" s="94"/>
      <c r="TVN128" s="94"/>
      <c r="TVO128" s="94"/>
      <c r="TVP128" s="94"/>
      <c r="TVQ128" s="94"/>
      <c r="TVR128" s="94"/>
      <c r="TVS128" s="94"/>
      <c r="TVT128" s="94"/>
      <c r="TVU128" s="94"/>
      <c r="TVV128" s="94"/>
      <c r="TVW128" s="94"/>
      <c r="TVX128" s="94"/>
      <c r="TVY128" s="94"/>
      <c r="TVZ128" s="94"/>
      <c r="TWA128" s="94"/>
      <c r="TWB128" s="94"/>
      <c r="TWC128" s="94"/>
      <c r="TWD128" s="94"/>
      <c r="TWE128" s="94"/>
      <c r="TWF128" s="94"/>
      <c r="TWG128" s="94"/>
      <c r="TWH128" s="94"/>
      <c r="TWI128" s="94"/>
      <c r="TWJ128" s="94"/>
      <c r="TWK128" s="94"/>
      <c r="TWL128" s="94"/>
      <c r="TWM128" s="94"/>
      <c r="TWN128" s="94"/>
      <c r="TWO128" s="94"/>
      <c r="TWP128" s="94"/>
      <c r="TWQ128" s="94"/>
      <c r="TWR128" s="94"/>
      <c r="TWS128" s="94"/>
      <c r="TWT128" s="94"/>
      <c r="TWU128" s="94"/>
      <c r="TWV128" s="94"/>
      <c r="TWW128" s="94"/>
      <c r="TWX128" s="94"/>
      <c r="TWY128" s="94"/>
      <c r="TWZ128" s="94"/>
      <c r="TXA128" s="94"/>
      <c r="TXB128" s="94"/>
      <c r="TXC128" s="94"/>
      <c r="TXD128" s="94"/>
      <c r="TXE128" s="94"/>
      <c r="TXF128" s="94"/>
      <c r="TXG128" s="94"/>
      <c r="TXH128" s="94"/>
      <c r="TXI128" s="94"/>
      <c r="TXJ128" s="94"/>
      <c r="TXK128" s="94"/>
      <c r="TXL128" s="94"/>
      <c r="TXM128" s="94"/>
      <c r="TXN128" s="94"/>
      <c r="TXO128" s="94"/>
      <c r="TXP128" s="94"/>
      <c r="TXQ128" s="94"/>
      <c r="TXR128" s="94"/>
      <c r="TXS128" s="94"/>
      <c r="TXT128" s="94"/>
      <c r="TXU128" s="94"/>
      <c r="TXV128" s="94"/>
      <c r="TXW128" s="94"/>
      <c r="TXX128" s="94"/>
      <c r="TXY128" s="94"/>
      <c r="TXZ128" s="94"/>
      <c r="TYA128" s="94"/>
      <c r="TYB128" s="94"/>
      <c r="TYC128" s="94"/>
      <c r="TYD128" s="94"/>
      <c r="TYE128" s="94"/>
      <c r="TYF128" s="94"/>
      <c r="TYG128" s="94"/>
      <c r="TYH128" s="94"/>
      <c r="TYI128" s="94"/>
      <c r="TYJ128" s="94"/>
      <c r="TYK128" s="94"/>
      <c r="TYL128" s="94"/>
      <c r="TYM128" s="94"/>
      <c r="TYN128" s="94"/>
      <c r="TYO128" s="94"/>
      <c r="TYP128" s="94"/>
      <c r="TYQ128" s="94"/>
      <c r="TYR128" s="94"/>
      <c r="TYS128" s="94"/>
      <c r="TYT128" s="94"/>
      <c r="TYU128" s="94"/>
      <c r="TYV128" s="94"/>
      <c r="TYW128" s="94"/>
      <c r="TYX128" s="94"/>
      <c r="TYY128" s="94"/>
      <c r="TYZ128" s="94"/>
      <c r="TZA128" s="94"/>
      <c r="TZB128" s="94"/>
      <c r="TZC128" s="94"/>
      <c r="TZD128" s="94"/>
      <c r="TZE128" s="94"/>
      <c r="TZF128" s="94"/>
      <c r="TZG128" s="94"/>
      <c r="TZH128" s="94"/>
      <c r="TZI128" s="94"/>
      <c r="TZJ128" s="94"/>
      <c r="TZK128" s="94"/>
      <c r="TZL128" s="94"/>
      <c r="TZM128" s="94"/>
      <c r="TZN128" s="94"/>
      <c r="TZO128" s="94"/>
      <c r="TZP128" s="94"/>
      <c r="TZQ128" s="94"/>
      <c r="TZR128" s="94"/>
      <c r="TZS128" s="94"/>
      <c r="TZT128" s="94"/>
      <c r="TZU128" s="94"/>
      <c r="TZV128" s="94"/>
      <c r="TZW128" s="94"/>
      <c r="TZX128" s="94"/>
      <c r="TZY128" s="94"/>
      <c r="TZZ128" s="94"/>
      <c r="UAA128" s="94"/>
      <c r="UAB128" s="94"/>
      <c r="UAC128" s="94"/>
      <c r="UAD128" s="94"/>
      <c r="UAE128" s="94"/>
      <c r="UAF128" s="94"/>
      <c r="UAG128" s="94"/>
      <c r="UAH128" s="94"/>
      <c r="UAI128" s="94"/>
      <c r="UAJ128" s="94"/>
      <c r="UAK128" s="94"/>
      <c r="UAL128" s="94"/>
      <c r="UAM128" s="94"/>
      <c r="UAN128" s="94"/>
      <c r="UAO128" s="94"/>
      <c r="UAP128" s="94"/>
      <c r="UAQ128" s="94"/>
      <c r="UAR128" s="94"/>
      <c r="UAS128" s="94"/>
      <c r="UAT128" s="94"/>
      <c r="UAU128" s="94"/>
      <c r="UAV128" s="94"/>
      <c r="UAW128" s="94"/>
      <c r="UAX128" s="94"/>
      <c r="UAY128" s="94"/>
      <c r="UAZ128" s="94"/>
      <c r="UBA128" s="94"/>
      <c r="UBB128" s="94"/>
      <c r="UBC128" s="94"/>
      <c r="UBD128" s="94"/>
      <c r="UBE128" s="94"/>
      <c r="UBF128" s="94"/>
      <c r="UBG128" s="94"/>
      <c r="UBH128" s="94"/>
      <c r="UBI128" s="94"/>
      <c r="UBJ128" s="94"/>
      <c r="UBK128" s="94"/>
      <c r="UBL128" s="94"/>
      <c r="UBM128" s="94"/>
      <c r="UBN128" s="94"/>
      <c r="UBO128" s="94"/>
      <c r="UBP128" s="94"/>
      <c r="UBQ128" s="94"/>
      <c r="UBR128" s="94"/>
      <c r="UBS128" s="94"/>
      <c r="UBT128" s="94"/>
      <c r="UBU128" s="94"/>
      <c r="UBV128" s="94"/>
      <c r="UBW128" s="94"/>
      <c r="UBX128" s="94"/>
      <c r="UBY128" s="94"/>
      <c r="UBZ128" s="94"/>
      <c r="UCA128" s="94"/>
      <c r="UCB128" s="94"/>
      <c r="UCC128" s="94"/>
      <c r="UCD128" s="94"/>
      <c r="UCE128" s="94"/>
      <c r="UCF128" s="94"/>
      <c r="UCG128" s="94"/>
      <c r="UCH128" s="94"/>
      <c r="UCI128" s="94"/>
      <c r="UCJ128" s="94"/>
      <c r="UCK128" s="94"/>
      <c r="UCL128" s="94"/>
      <c r="UCM128" s="94"/>
      <c r="UCN128" s="94"/>
      <c r="UCO128" s="94"/>
      <c r="UCP128" s="94"/>
      <c r="UCQ128" s="94"/>
      <c r="UCR128" s="94"/>
      <c r="UCS128" s="94"/>
      <c r="UCT128" s="94"/>
      <c r="UCU128" s="94"/>
      <c r="UCV128" s="94"/>
      <c r="UCW128" s="94"/>
      <c r="UCX128" s="94"/>
      <c r="UCY128" s="94"/>
      <c r="UCZ128" s="94"/>
      <c r="UDA128" s="94"/>
      <c r="UDB128" s="94"/>
      <c r="UDC128" s="94"/>
      <c r="UDD128" s="94"/>
      <c r="UDE128" s="94"/>
      <c r="UDF128" s="94"/>
      <c r="UDG128" s="94"/>
      <c r="UDH128" s="94"/>
      <c r="UDI128" s="94"/>
      <c r="UDJ128" s="94"/>
      <c r="UDK128" s="94"/>
      <c r="UDL128" s="94"/>
      <c r="UDM128" s="94"/>
      <c r="UDN128" s="94"/>
      <c r="UDO128" s="94"/>
      <c r="UDP128" s="94"/>
      <c r="UDQ128" s="94"/>
      <c r="UDR128" s="94"/>
      <c r="UDS128" s="94"/>
      <c r="UDT128" s="94"/>
      <c r="UDU128" s="94"/>
      <c r="UDV128" s="94"/>
      <c r="UDW128" s="94"/>
      <c r="UDX128" s="94"/>
      <c r="UDY128" s="94"/>
      <c r="UDZ128" s="94"/>
      <c r="UEA128" s="94"/>
      <c r="UEB128" s="94"/>
      <c r="UEC128" s="94"/>
      <c r="UED128" s="94"/>
      <c r="UEE128" s="94"/>
      <c r="UEF128" s="94"/>
      <c r="UEG128" s="94"/>
      <c r="UEH128" s="94"/>
      <c r="UEI128" s="94"/>
      <c r="UEJ128" s="94"/>
      <c r="UEK128" s="94"/>
      <c r="UEL128" s="94"/>
      <c r="UEM128" s="94"/>
      <c r="UEN128" s="94"/>
      <c r="UEO128" s="94"/>
      <c r="UEP128" s="94"/>
      <c r="UEQ128" s="94"/>
      <c r="UER128" s="94"/>
      <c r="UES128" s="94"/>
      <c r="UET128" s="94"/>
      <c r="UEU128" s="94"/>
      <c r="UEV128" s="94"/>
      <c r="UEW128" s="94"/>
      <c r="UEX128" s="94"/>
      <c r="UEY128" s="94"/>
      <c r="UEZ128" s="94"/>
      <c r="UFA128" s="94"/>
      <c r="UFB128" s="94"/>
      <c r="UFC128" s="94"/>
      <c r="UFD128" s="94"/>
      <c r="UFE128" s="94"/>
      <c r="UFF128" s="94"/>
      <c r="UFG128" s="94"/>
      <c r="UFH128" s="94"/>
      <c r="UFI128" s="94"/>
      <c r="UFJ128" s="94"/>
      <c r="UFK128" s="94"/>
      <c r="UFL128" s="94"/>
      <c r="UFM128" s="94"/>
      <c r="UFN128" s="94"/>
      <c r="UFO128" s="94"/>
      <c r="UFP128" s="94"/>
      <c r="UFQ128" s="94"/>
      <c r="UFR128" s="94"/>
      <c r="UFS128" s="94"/>
      <c r="UFT128" s="94"/>
      <c r="UFU128" s="94"/>
      <c r="UFV128" s="94"/>
      <c r="UFW128" s="94"/>
      <c r="UFX128" s="94"/>
      <c r="UFY128" s="94"/>
      <c r="UFZ128" s="94"/>
      <c r="UGA128" s="94"/>
      <c r="UGB128" s="94"/>
      <c r="UGC128" s="94"/>
      <c r="UGD128" s="94"/>
      <c r="UGE128" s="94"/>
      <c r="UGF128" s="94"/>
      <c r="UGG128" s="94"/>
      <c r="UGH128" s="94"/>
      <c r="UGI128" s="94"/>
      <c r="UGJ128" s="94"/>
      <c r="UGK128" s="94"/>
      <c r="UGL128" s="94"/>
      <c r="UGM128" s="94"/>
      <c r="UGN128" s="94"/>
      <c r="UGO128" s="94"/>
      <c r="UGP128" s="94"/>
      <c r="UGQ128" s="94"/>
      <c r="UGR128" s="94"/>
      <c r="UGS128" s="94"/>
      <c r="UGT128" s="94"/>
      <c r="UGU128" s="94"/>
      <c r="UGV128" s="94"/>
      <c r="UGW128" s="94"/>
      <c r="UGX128" s="94"/>
      <c r="UGY128" s="94"/>
      <c r="UGZ128" s="94"/>
      <c r="UHA128" s="94"/>
      <c r="UHB128" s="94"/>
      <c r="UHC128" s="94"/>
      <c r="UHD128" s="94"/>
      <c r="UHE128" s="94"/>
      <c r="UHF128" s="94"/>
      <c r="UHG128" s="94"/>
      <c r="UHH128" s="94"/>
      <c r="UHI128" s="94"/>
      <c r="UHJ128" s="94"/>
      <c r="UHK128" s="94"/>
      <c r="UHL128" s="94"/>
      <c r="UHM128" s="94"/>
      <c r="UHN128" s="94"/>
      <c r="UHO128" s="94"/>
      <c r="UHP128" s="94"/>
      <c r="UHQ128" s="94"/>
      <c r="UHR128" s="94"/>
      <c r="UHS128" s="94"/>
      <c r="UHT128" s="94"/>
      <c r="UHU128" s="94"/>
      <c r="UHV128" s="94"/>
      <c r="UHW128" s="94"/>
      <c r="UHX128" s="94"/>
      <c r="UHY128" s="94"/>
      <c r="UHZ128" s="94"/>
      <c r="UIA128" s="94"/>
      <c r="UIB128" s="94"/>
      <c r="UIC128" s="94"/>
      <c r="UID128" s="94"/>
      <c r="UIE128" s="94"/>
      <c r="UIF128" s="94"/>
      <c r="UIG128" s="94"/>
      <c r="UIH128" s="94"/>
      <c r="UII128" s="94"/>
      <c r="UIJ128" s="94"/>
      <c r="UIK128" s="94"/>
      <c r="UIL128" s="94"/>
      <c r="UIM128" s="94"/>
      <c r="UIN128" s="94"/>
      <c r="UIO128" s="94"/>
      <c r="UIP128" s="94"/>
      <c r="UIQ128" s="94"/>
      <c r="UIR128" s="94"/>
      <c r="UIS128" s="94"/>
      <c r="UIT128" s="94"/>
      <c r="UIU128" s="94"/>
      <c r="UIV128" s="94"/>
      <c r="UIW128" s="94"/>
      <c r="UIX128" s="94"/>
      <c r="UIY128" s="94"/>
      <c r="UIZ128" s="94"/>
      <c r="UJA128" s="94"/>
      <c r="UJB128" s="94"/>
      <c r="UJC128" s="94"/>
      <c r="UJD128" s="94"/>
      <c r="UJE128" s="94"/>
      <c r="UJF128" s="94"/>
      <c r="UJG128" s="94"/>
      <c r="UJH128" s="94"/>
      <c r="UJI128" s="94"/>
      <c r="UJJ128" s="94"/>
      <c r="UJK128" s="94"/>
      <c r="UJL128" s="94"/>
      <c r="UJM128" s="94"/>
      <c r="UJN128" s="94"/>
      <c r="UJO128" s="94"/>
      <c r="UJP128" s="94"/>
      <c r="UJQ128" s="94"/>
      <c r="UJR128" s="94"/>
      <c r="UJS128" s="94"/>
      <c r="UJT128" s="94"/>
      <c r="UJU128" s="94"/>
      <c r="UJV128" s="94"/>
      <c r="UJW128" s="94"/>
      <c r="UJX128" s="94"/>
      <c r="UJY128" s="94"/>
      <c r="UJZ128" s="94"/>
      <c r="UKA128" s="94"/>
      <c r="UKB128" s="94"/>
      <c r="UKC128" s="94"/>
      <c r="UKD128" s="94"/>
      <c r="UKE128" s="94"/>
      <c r="UKF128" s="94"/>
      <c r="UKG128" s="94"/>
      <c r="UKH128" s="94"/>
      <c r="UKI128" s="94"/>
      <c r="UKJ128" s="94"/>
      <c r="UKK128" s="94"/>
      <c r="UKL128" s="94"/>
      <c r="UKM128" s="94"/>
      <c r="UKN128" s="94"/>
      <c r="UKO128" s="94"/>
      <c r="UKP128" s="94"/>
      <c r="UKQ128" s="94"/>
      <c r="UKR128" s="94"/>
      <c r="UKS128" s="94"/>
      <c r="UKT128" s="94"/>
      <c r="UKU128" s="94"/>
      <c r="UKV128" s="94"/>
      <c r="UKW128" s="94"/>
      <c r="UKX128" s="94"/>
      <c r="UKY128" s="94"/>
      <c r="UKZ128" s="94"/>
      <c r="ULA128" s="94"/>
      <c r="ULB128" s="94"/>
      <c r="ULC128" s="94"/>
      <c r="ULD128" s="94"/>
      <c r="ULE128" s="94"/>
      <c r="ULF128" s="94"/>
      <c r="ULG128" s="94"/>
      <c r="ULH128" s="94"/>
      <c r="ULI128" s="94"/>
      <c r="ULJ128" s="94"/>
      <c r="ULK128" s="94"/>
      <c r="ULL128" s="94"/>
      <c r="ULM128" s="94"/>
      <c r="ULN128" s="94"/>
      <c r="ULO128" s="94"/>
      <c r="ULP128" s="94"/>
      <c r="ULQ128" s="94"/>
      <c r="ULR128" s="94"/>
      <c r="ULS128" s="94"/>
      <c r="ULT128" s="94"/>
      <c r="ULU128" s="94"/>
      <c r="ULV128" s="94"/>
      <c r="ULW128" s="94"/>
      <c r="ULX128" s="94"/>
      <c r="ULY128" s="94"/>
      <c r="ULZ128" s="94"/>
      <c r="UMA128" s="94"/>
      <c r="UMB128" s="94"/>
      <c r="UMC128" s="94"/>
      <c r="UMD128" s="94"/>
      <c r="UME128" s="94"/>
      <c r="UMF128" s="94"/>
      <c r="UMG128" s="94"/>
      <c r="UMH128" s="94"/>
      <c r="UMI128" s="94"/>
      <c r="UMJ128" s="94"/>
      <c r="UMK128" s="94"/>
      <c r="UML128" s="94"/>
      <c r="UMM128" s="94"/>
      <c r="UMN128" s="94"/>
      <c r="UMO128" s="94"/>
      <c r="UMP128" s="94"/>
      <c r="UMQ128" s="94"/>
      <c r="UMR128" s="94"/>
      <c r="UMS128" s="94"/>
      <c r="UMT128" s="94"/>
      <c r="UMU128" s="94"/>
      <c r="UMV128" s="94"/>
      <c r="UMW128" s="94"/>
      <c r="UMX128" s="94"/>
      <c r="UMY128" s="94"/>
      <c r="UMZ128" s="94"/>
      <c r="UNA128" s="94"/>
      <c r="UNB128" s="94"/>
      <c r="UNC128" s="94"/>
      <c r="UND128" s="94"/>
      <c r="UNE128" s="94"/>
      <c r="UNF128" s="94"/>
      <c r="UNG128" s="94"/>
      <c r="UNH128" s="94"/>
      <c r="UNI128" s="94"/>
      <c r="UNJ128" s="94"/>
      <c r="UNK128" s="94"/>
      <c r="UNL128" s="94"/>
      <c r="UNM128" s="94"/>
      <c r="UNN128" s="94"/>
      <c r="UNO128" s="94"/>
      <c r="UNP128" s="94"/>
      <c r="UNQ128" s="94"/>
      <c r="UNR128" s="94"/>
      <c r="UNS128" s="94"/>
      <c r="UNT128" s="94"/>
      <c r="UNU128" s="94"/>
      <c r="UNV128" s="94"/>
      <c r="UNW128" s="94"/>
      <c r="UNX128" s="94"/>
      <c r="UNY128" s="94"/>
      <c r="UNZ128" s="94"/>
      <c r="UOA128" s="94"/>
      <c r="UOB128" s="94"/>
      <c r="UOC128" s="94"/>
      <c r="UOD128" s="94"/>
      <c r="UOE128" s="94"/>
      <c r="UOF128" s="94"/>
      <c r="UOG128" s="94"/>
      <c r="UOH128" s="94"/>
      <c r="UOI128" s="94"/>
      <c r="UOJ128" s="94"/>
      <c r="UOK128" s="94"/>
      <c r="UOL128" s="94"/>
      <c r="UOM128" s="94"/>
      <c r="UON128" s="94"/>
      <c r="UOO128" s="94"/>
      <c r="UOP128" s="94"/>
      <c r="UOQ128" s="94"/>
      <c r="UOR128" s="94"/>
      <c r="UOS128" s="94"/>
      <c r="UOT128" s="94"/>
      <c r="UOU128" s="94"/>
      <c r="UOV128" s="94"/>
      <c r="UOW128" s="94"/>
      <c r="UOX128" s="94"/>
      <c r="UOY128" s="94"/>
      <c r="UOZ128" s="94"/>
      <c r="UPA128" s="94"/>
      <c r="UPB128" s="94"/>
      <c r="UPC128" s="94"/>
      <c r="UPD128" s="94"/>
      <c r="UPE128" s="94"/>
      <c r="UPF128" s="94"/>
      <c r="UPG128" s="94"/>
      <c r="UPH128" s="94"/>
      <c r="UPI128" s="94"/>
      <c r="UPJ128" s="94"/>
      <c r="UPK128" s="94"/>
      <c r="UPL128" s="94"/>
      <c r="UPM128" s="94"/>
      <c r="UPN128" s="94"/>
      <c r="UPO128" s="94"/>
      <c r="UPP128" s="94"/>
      <c r="UPQ128" s="94"/>
      <c r="UPR128" s="94"/>
      <c r="UPS128" s="94"/>
      <c r="UPT128" s="94"/>
      <c r="UPU128" s="94"/>
      <c r="UPV128" s="94"/>
      <c r="UPW128" s="94"/>
      <c r="UPX128" s="94"/>
      <c r="UPY128" s="94"/>
      <c r="UPZ128" s="94"/>
      <c r="UQA128" s="94"/>
      <c r="UQB128" s="94"/>
      <c r="UQC128" s="94"/>
      <c r="UQD128" s="94"/>
      <c r="UQE128" s="94"/>
      <c r="UQF128" s="94"/>
      <c r="UQG128" s="94"/>
      <c r="UQH128" s="94"/>
      <c r="UQI128" s="94"/>
      <c r="UQJ128" s="94"/>
      <c r="UQK128" s="94"/>
      <c r="UQL128" s="94"/>
      <c r="UQM128" s="94"/>
      <c r="UQN128" s="94"/>
      <c r="UQO128" s="94"/>
      <c r="UQP128" s="94"/>
      <c r="UQQ128" s="94"/>
      <c r="UQR128" s="94"/>
      <c r="UQS128" s="94"/>
      <c r="UQT128" s="94"/>
      <c r="UQU128" s="94"/>
      <c r="UQV128" s="94"/>
      <c r="UQW128" s="94"/>
      <c r="UQX128" s="94"/>
      <c r="UQY128" s="94"/>
      <c r="UQZ128" s="94"/>
      <c r="URA128" s="94"/>
      <c r="URB128" s="94"/>
      <c r="URC128" s="94"/>
      <c r="URD128" s="94"/>
      <c r="URE128" s="94"/>
      <c r="URF128" s="94"/>
      <c r="URG128" s="94"/>
      <c r="URH128" s="94"/>
      <c r="URI128" s="94"/>
      <c r="URJ128" s="94"/>
      <c r="URK128" s="94"/>
      <c r="URL128" s="94"/>
      <c r="URM128" s="94"/>
      <c r="URN128" s="94"/>
      <c r="URO128" s="94"/>
      <c r="URP128" s="94"/>
      <c r="URQ128" s="94"/>
      <c r="URR128" s="94"/>
      <c r="URS128" s="94"/>
      <c r="URT128" s="94"/>
      <c r="URU128" s="94"/>
      <c r="URV128" s="94"/>
      <c r="URW128" s="94"/>
      <c r="URX128" s="94"/>
      <c r="URY128" s="94"/>
      <c r="URZ128" s="94"/>
      <c r="USA128" s="94"/>
      <c r="USB128" s="94"/>
      <c r="USC128" s="94"/>
      <c r="USD128" s="94"/>
      <c r="USE128" s="94"/>
      <c r="USF128" s="94"/>
      <c r="USG128" s="94"/>
      <c r="USH128" s="94"/>
      <c r="USI128" s="94"/>
      <c r="USJ128" s="94"/>
      <c r="USK128" s="94"/>
      <c r="USL128" s="94"/>
      <c r="USM128" s="94"/>
      <c r="USN128" s="94"/>
      <c r="USO128" s="94"/>
      <c r="USP128" s="94"/>
      <c r="USQ128" s="94"/>
      <c r="USR128" s="94"/>
      <c r="USS128" s="94"/>
      <c r="UST128" s="94"/>
      <c r="USU128" s="94"/>
      <c r="USV128" s="94"/>
      <c r="USW128" s="94"/>
      <c r="USX128" s="94"/>
      <c r="USY128" s="94"/>
      <c r="USZ128" s="94"/>
      <c r="UTA128" s="94"/>
      <c r="UTB128" s="94"/>
      <c r="UTC128" s="94"/>
      <c r="UTD128" s="94"/>
      <c r="UTE128" s="94"/>
      <c r="UTF128" s="94"/>
      <c r="UTG128" s="94"/>
      <c r="UTH128" s="94"/>
      <c r="UTI128" s="94"/>
      <c r="UTJ128" s="94"/>
      <c r="UTK128" s="94"/>
      <c r="UTL128" s="94"/>
      <c r="UTM128" s="94"/>
      <c r="UTN128" s="94"/>
      <c r="UTO128" s="94"/>
      <c r="UTP128" s="94"/>
      <c r="UTQ128" s="94"/>
      <c r="UTR128" s="94"/>
      <c r="UTS128" s="94"/>
      <c r="UTT128" s="94"/>
      <c r="UTU128" s="94"/>
      <c r="UTV128" s="94"/>
      <c r="UTW128" s="94"/>
      <c r="UTX128" s="94"/>
      <c r="UTY128" s="94"/>
      <c r="UTZ128" s="94"/>
      <c r="UUA128" s="94"/>
      <c r="UUB128" s="94"/>
      <c r="UUC128" s="94"/>
      <c r="UUD128" s="94"/>
      <c r="UUE128" s="94"/>
      <c r="UUF128" s="94"/>
      <c r="UUG128" s="94"/>
      <c r="UUH128" s="94"/>
      <c r="UUI128" s="94"/>
      <c r="UUJ128" s="94"/>
      <c r="UUK128" s="94"/>
      <c r="UUL128" s="94"/>
      <c r="UUM128" s="94"/>
      <c r="UUN128" s="94"/>
      <c r="UUO128" s="94"/>
      <c r="UUP128" s="94"/>
      <c r="UUQ128" s="94"/>
      <c r="UUR128" s="94"/>
      <c r="UUS128" s="94"/>
      <c r="UUT128" s="94"/>
      <c r="UUU128" s="94"/>
      <c r="UUV128" s="94"/>
      <c r="UUW128" s="94"/>
      <c r="UUX128" s="94"/>
      <c r="UUY128" s="94"/>
      <c r="UUZ128" s="94"/>
      <c r="UVA128" s="94"/>
      <c r="UVB128" s="94"/>
      <c r="UVC128" s="94"/>
      <c r="UVD128" s="94"/>
      <c r="UVE128" s="94"/>
      <c r="UVF128" s="94"/>
      <c r="UVG128" s="94"/>
      <c r="UVH128" s="94"/>
      <c r="UVI128" s="94"/>
      <c r="UVJ128" s="94"/>
      <c r="UVK128" s="94"/>
      <c r="UVL128" s="94"/>
      <c r="UVM128" s="94"/>
      <c r="UVN128" s="94"/>
      <c r="UVO128" s="94"/>
      <c r="UVP128" s="94"/>
      <c r="UVQ128" s="94"/>
      <c r="UVR128" s="94"/>
      <c r="UVS128" s="94"/>
      <c r="UVT128" s="94"/>
      <c r="UVU128" s="94"/>
      <c r="UVV128" s="94"/>
      <c r="UVW128" s="94"/>
      <c r="UVX128" s="94"/>
      <c r="UVY128" s="94"/>
      <c r="UVZ128" s="94"/>
      <c r="UWA128" s="94"/>
      <c r="UWB128" s="94"/>
      <c r="UWC128" s="94"/>
      <c r="UWD128" s="94"/>
      <c r="UWE128" s="94"/>
      <c r="UWF128" s="94"/>
      <c r="UWG128" s="94"/>
      <c r="UWH128" s="94"/>
      <c r="UWI128" s="94"/>
      <c r="UWJ128" s="94"/>
      <c r="UWK128" s="94"/>
      <c r="UWL128" s="94"/>
      <c r="UWM128" s="94"/>
      <c r="UWN128" s="94"/>
      <c r="UWO128" s="94"/>
      <c r="UWP128" s="94"/>
      <c r="UWQ128" s="94"/>
      <c r="UWR128" s="94"/>
      <c r="UWS128" s="94"/>
      <c r="UWT128" s="94"/>
      <c r="UWU128" s="94"/>
      <c r="UWV128" s="94"/>
      <c r="UWW128" s="94"/>
      <c r="UWX128" s="94"/>
      <c r="UWY128" s="94"/>
      <c r="UWZ128" s="94"/>
      <c r="UXA128" s="94"/>
      <c r="UXB128" s="94"/>
      <c r="UXC128" s="94"/>
      <c r="UXD128" s="94"/>
      <c r="UXE128" s="94"/>
      <c r="UXF128" s="94"/>
      <c r="UXG128" s="94"/>
      <c r="UXH128" s="94"/>
      <c r="UXI128" s="94"/>
      <c r="UXJ128" s="94"/>
      <c r="UXK128" s="94"/>
      <c r="UXL128" s="94"/>
      <c r="UXM128" s="94"/>
      <c r="UXN128" s="94"/>
      <c r="UXO128" s="94"/>
      <c r="UXP128" s="94"/>
      <c r="UXQ128" s="94"/>
      <c r="UXR128" s="94"/>
      <c r="UXS128" s="94"/>
      <c r="UXT128" s="94"/>
      <c r="UXU128" s="94"/>
      <c r="UXV128" s="94"/>
      <c r="UXW128" s="94"/>
      <c r="UXX128" s="94"/>
      <c r="UXY128" s="94"/>
      <c r="UXZ128" s="94"/>
      <c r="UYA128" s="94"/>
      <c r="UYB128" s="94"/>
      <c r="UYC128" s="94"/>
      <c r="UYD128" s="94"/>
      <c r="UYE128" s="94"/>
      <c r="UYF128" s="94"/>
      <c r="UYG128" s="94"/>
      <c r="UYH128" s="94"/>
      <c r="UYI128" s="94"/>
      <c r="UYJ128" s="94"/>
      <c r="UYK128" s="94"/>
      <c r="UYL128" s="94"/>
      <c r="UYM128" s="94"/>
      <c r="UYN128" s="94"/>
      <c r="UYO128" s="94"/>
      <c r="UYP128" s="94"/>
      <c r="UYQ128" s="94"/>
      <c r="UYR128" s="94"/>
      <c r="UYS128" s="94"/>
      <c r="UYT128" s="94"/>
      <c r="UYU128" s="94"/>
      <c r="UYV128" s="94"/>
      <c r="UYW128" s="94"/>
      <c r="UYX128" s="94"/>
      <c r="UYY128" s="94"/>
      <c r="UYZ128" s="94"/>
      <c r="UZA128" s="94"/>
      <c r="UZB128" s="94"/>
      <c r="UZC128" s="94"/>
      <c r="UZD128" s="94"/>
      <c r="UZE128" s="94"/>
      <c r="UZF128" s="94"/>
      <c r="UZG128" s="94"/>
      <c r="UZH128" s="94"/>
      <c r="UZI128" s="94"/>
      <c r="UZJ128" s="94"/>
      <c r="UZK128" s="94"/>
      <c r="UZL128" s="94"/>
      <c r="UZM128" s="94"/>
      <c r="UZN128" s="94"/>
      <c r="UZO128" s="94"/>
      <c r="UZP128" s="94"/>
      <c r="UZQ128" s="94"/>
      <c r="UZR128" s="94"/>
      <c r="UZS128" s="94"/>
      <c r="UZT128" s="94"/>
      <c r="UZU128" s="94"/>
      <c r="UZV128" s="94"/>
      <c r="UZW128" s="94"/>
      <c r="UZX128" s="94"/>
      <c r="UZY128" s="94"/>
      <c r="UZZ128" s="94"/>
      <c r="VAA128" s="94"/>
      <c r="VAB128" s="94"/>
      <c r="VAC128" s="94"/>
      <c r="VAD128" s="94"/>
      <c r="VAE128" s="94"/>
      <c r="VAF128" s="94"/>
      <c r="VAG128" s="94"/>
      <c r="VAH128" s="94"/>
      <c r="VAI128" s="94"/>
      <c r="VAJ128" s="94"/>
      <c r="VAK128" s="94"/>
      <c r="VAL128" s="94"/>
      <c r="VAM128" s="94"/>
      <c r="VAN128" s="94"/>
      <c r="VAO128" s="94"/>
      <c r="VAP128" s="94"/>
      <c r="VAQ128" s="94"/>
      <c r="VAR128" s="94"/>
      <c r="VAS128" s="94"/>
      <c r="VAT128" s="94"/>
      <c r="VAU128" s="94"/>
      <c r="VAV128" s="94"/>
      <c r="VAW128" s="94"/>
      <c r="VAX128" s="94"/>
      <c r="VAY128" s="94"/>
      <c r="VAZ128" s="94"/>
      <c r="VBA128" s="94"/>
      <c r="VBB128" s="94"/>
      <c r="VBC128" s="94"/>
      <c r="VBD128" s="94"/>
      <c r="VBE128" s="94"/>
      <c r="VBF128" s="94"/>
      <c r="VBG128" s="94"/>
      <c r="VBH128" s="94"/>
      <c r="VBI128" s="94"/>
      <c r="VBJ128" s="94"/>
      <c r="VBK128" s="94"/>
      <c r="VBL128" s="94"/>
      <c r="VBM128" s="94"/>
      <c r="VBN128" s="94"/>
      <c r="VBO128" s="94"/>
      <c r="VBP128" s="94"/>
      <c r="VBQ128" s="94"/>
      <c r="VBR128" s="94"/>
      <c r="VBS128" s="94"/>
      <c r="VBT128" s="94"/>
      <c r="VBU128" s="94"/>
      <c r="VBV128" s="94"/>
      <c r="VBW128" s="94"/>
      <c r="VBX128" s="94"/>
      <c r="VBY128" s="94"/>
      <c r="VBZ128" s="94"/>
      <c r="VCA128" s="94"/>
      <c r="VCB128" s="94"/>
      <c r="VCC128" s="94"/>
      <c r="VCD128" s="94"/>
      <c r="VCE128" s="94"/>
      <c r="VCF128" s="94"/>
      <c r="VCG128" s="94"/>
      <c r="VCH128" s="94"/>
      <c r="VCI128" s="94"/>
      <c r="VCJ128" s="94"/>
      <c r="VCK128" s="94"/>
      <c r="VCL128" s="94"/>
      <c r="VCM128" s="94"/>
      <c r="VCN128" s="94"/>
      <c r="VCO128" s="94"/>
      <c r="VCP128" s="94"/>
      <c r="VCQ128" s="94"/>
      <c r="VCR128" s="94"/>
      <c r="VCS128" s="94"/>
      <c r="VCT128" s="94"/>
      <c r="VCU128" s="94"/>
      <c r="VCV128" s="94"/>
      <c r="VCW128" s="94"/>
      <c r="VCX128" s="94"/>
      <c r="VCY128" s="94"/>
      <c r="VCZ128" s="94"/>
      <c r="VDA128" s="94"/>
      <c r="VDB128" s="94"/>
      <c r="VDC128" s="94"/>
      <c r="VDD128" s="94"/>
      <c r="VDE128" s="94"/>
      <c r="VDF128" s="94"/>
      <c r="VDG128" s="94"/>
      <c r="VDH128" s="94"/>
      <c r="VDI128" s="94"/>
      <c r="VDJ128" s="94"/>
      <c r="VDK128" s="94"/>
      <c r="VDL128" s="94"/>
      <c r="VDM128" s="94"/>
      <c r="VDN128" s="94"/>
      <c r="VDO128" s="94"/>
      <c r="VDP128" s="94"/>
      <c r="VDQ128" s="94"/>
      <c r="VDR128" s="94"/>
      <c r="VDS128" s="94"/>
      <c r="VDT128" s="94"/>
      <c r="VDU128" s="94"/>
      <c r="VDV128" s="94"/>
      <c r="VDW128" s="94"/>
      <c r="VDX128" s="94"/>
      <c r="VDY128" s="94"/>
      <c r="VDZ128" s="94"/>
      <c r="VEA128" s="94"/>
      <c r="VEB128" s="94"/>
      <c r="VEC128" s="94"/>
      <c r="VED128" s="94"/>
      <c r="VEE128" s="94"/>
      <c r="VEF128" s="94"/>
      <c r="VEG128" s="94"/>
      <c r="VEH128" s="94"/>
      <c r="VEI128" s="94"/>
      <c r="VEJ128" s="94"/>
      <c r="VEK128" s="94"/>
      <c r="VEL128" s="94"/>
      <c r="VEM128" s="94"/>
      <c r="VEN128" s="94"/>
      <c r="VEO128" s="94"/>
      <c r="VEP128" s="94"/>
      <c r="VEQ128" s="94"/>
      <c r="VER128" s="94"/>
      <c r="VES128" s="94"/>
      <c r="VET128" s="94"/>
      <c r="VEU128" s="94"/>
      <c r="VEV128" s="94"/>
      <c r="VEW128" s="94"/>
      <c r="VEX128" s="94"/>
      <c r="VEY128" s="94"/>
      <c r="VEZ128" s="94"/>
      <c r="VFA128" s="94"/>
      <c r="VFB128" s="94"/>
      <c r="VFC128" s="94"/>
      <c r="VFD128" s="94"/>
      <c r="VFE128" s="94"/>
      <c r="VFF128" s="94"/>
      <c r="VFG128" s="94"/>
      <c r="VFH128" s="94"/>
      <c r="VFI128" s="94"/>
      <c r="VFJ128" s="94"/>
      <c r="VFK128" s="94"/>
      <c r="VFL128" s="94"/>
      <c r="VFM128" s="94"/>
      <c r="VFN128" s="94"/>
      <c r="VFO128" s="94"/>
      <c r="VFP128" s="94"/>
      <c r="VFQ128" s="94"/>
      <c r="VFR128" s="94"/>
      <c r="VFS128" s="94"/>
      <c r="VFT128" s="94"/>
      <c r="VFU128" s="94"/>
      <c r="VFV128" s="94"/>
      <c r="VFW128" s="94"/>
      <c r="VFX128" s="94"/>
      <c r="VFY128" s="94"/>
      <c r="VFZ128" s="94"/>
      <c r="VGA128" s="94"/>
      <c r="VGB128" s="94"/>
      <c r="VGC128" s="94"/>
      <c r="VGD128" s="94"/>
      <c r="VGE128" s="94"/>
      <c r="VGF128" s="94"/>
      <c r="VGG128" s="94"/>
      <c r="VGH128" s="94"/>
      <c r="VGI128" s="94"/>
      <c r="VGJ128" s="94"/>
      <c r="VGK128" s="94"/>
      <c r="VGL128" s="94"/>
      <c r="VGM128" s="94"/>
      <c r="VGN128" s="94"/>
      <c r="VGO128" s="94"/>
      <c r="VGP128" s="94"/>
      <c r="VGQ128" s="94"/>
      <c r="VGR128" s="94"/>
      <c r="VGS128" s="94"/>
      <c r="VGT128" s="94"/>
      <c r="VGU128" s="94"/>
      <c r="VGV128" s="94"/>
      <c r="VGW128" s="94"/>
      <c r="VGX128" s="94"/>
      <c r="VGY128" s="94"/>
      <c r="VGZ128" s="94"/>
      <c r="VHA128" s="94"/>
      <c r="VHB128" s="94"/>
      <c r="VHC128" s="94"/>
      <c r="VHD128" s="94"/>
      <c r="VHE128" s="94"/>
      <c r="VHF128" s="94"/>
      <c r="VHG128" s="94"/>
      <c r="VHH128" s="94"/>
      <c r="VHI128" s="94"/>
      <c r="VHJ128" s="94"/>
      <c r="VHK128" s="94"/>
      <c r="VHL128" s="94"/>
      <c r="VHM128" s="94"/>
      <c r="VHN128" s="94"/>
      <c r="VHO128" s="94"/>
      <c r="VHP128" s="94"/>
      <c r="VHQ128" s="94"/>
      <c r="VHR128" s="94"/>
      <c r="VHS128" s="94"/>
      <c r="VHT128" s="94"/>
      <c r="VHU128" s="94"/>
      <c r="VHV128" s="94"/>
      <c r="VHW128" s="94"/>
      <c r="VHX128" s="94"/>
      <c r="VHY128" s="94"/>
      <c r="VHZ128" s="94"/>
      <c r="VIA128" s="94"/>
      <c r="VIB128" s="94"/>
      <c r="VIC128" s="94"/>
      <c r="VID128" s="94"/>
      <c r="VIE128" s="94"/>
      <c r="VIF128" s="94"/>
      <c r="VIG128" s="94"/>
      <c r="VIH128" s="94"/>
      <c r="VII128" s="94"/>
      <c r="VIJ128" s="94"/>
      <c r="VIK128" s="94"/>
      <c r="VIL128" s="94"/>
      <c r="VIM128" s="94"/>
      <c r="VIN128" s="94"/>
      <c r="VIO128" s="94"/>
      <c r="VIP128" s="94"/>
      <c r="VIQ128" s="94"/>
      <c r="VIR128" s="94"/>
      <c r="VIS128" s="94"/>
      <c r="VIT128" s="94"/>
      <c r="VIU128" s="94"/>
      <c r="VIV128" s="94"/>
      <c r="VIW128" s="94"/>
      <c r="VIX128" s="94"/>
      <c r="VIY128" s="94"/>
      <c r="VIZ128" s="94"/>
      <c r="VJA128" s="94"/>
      <c r="VJB128" s="94"/>
      <c r="VJC128" s="94"/>
      <c r="VJD128" s="94"/>
      <c r="VJE128" s="94"/>
      <c r="VJF128" s="94"/>
      <c r="VJG128" s="94"/>
      <c r="VJH128" s="94"/>
      <c r="VJI128" s="94"/>
      <c r="VJJ128" s="94"/>
      <c r="VJK128" s="94"/>
      <c r="VJL128" s="94"/>
      <c r="VJM128" s="94"/>
      <c r="VJN128" s="94"/>
      <c r="VJO128" s="94"/>
      <c r="VJP128" s="94"/>
      <c r="VJQ128" s="94"/>
      <c r="VJR128" s="94"/>
      <c r="VJS128" s="94"/>
      <c r="VJT128" s="94"/>
      <c r="VJU128" s="94"/>
      <c r="VJV128" s="94"/>
      <c r="VJW128" s="94"/>
      <c r="VJX128" s="94"/>
      <c r="VJY128" s="94"/>
      <c r="VJZ128" s="94"/>
      <c r="VKA128" s="94"/>
      <c r="VKB128" s="94"/>
      <c r="VKC128" s="94"/>
      <c r="VKD128" s="94"/>
      <c r="VKE128" s="94"/>
      <c r="VKF128" s="94"/>
      <c r="VKG128" s="94"/>
      <c r="VKH128" s="94"/>
      <c r="VKI128" s="94"/>
      <c r="VKJ128" s="94"/>
      <c r="VKK128" s="94"/>
      <c r="VKL128" s="94"/>
      <c r="VKM128" s="94"/>
      <c r="VKN128" s="94"/>
      <c r="VKO128" s="94"/>
      <c r="VKP128" s="94"/>
      <c r="VKQ128" s="94"/>
      <c r="VKR128" s="94"/>
      <c r="VKS128" s="94"/>
      <c r="VKT128" s="94"/>
      <c r="VKU128" s="94"/>
      <c r="VKV128" s="94"/>
      <c r="VKW128" s="94"/>
      <c r="VKX128" s="94"/>
      <c r="VKY128" s="94"/>
      <c r="VKZ128" s="94"/>
      <c r="VLA128" s="94"/>
      <c r="VLB128" s="94"/>
      <c r="VLC128" s="94"/>
      <c r="VLD128" s="94"/>
      <c r="VLE128" s="94"/>
      <c r="VLF128" s="94"/>
      <c r="VLG128" s="94"/>
      <c r="VLH128" s="94"/>
      <c r="VLI128" s="94"/>
      <c r="VLJ128" s="94"/>
      <c r="VLK128" s="94"/>
      <c r="VLL128" s="94"/>
      <c r="VLM128" s="94"/>
      <c r="VLN128" s="94"/>
      <c r="VLO128" s="94"/>
      <c r="VLP128" s="94"/>
      <c r="VLQ128" s="94"/>
      <c r="VLR128" s="94"/>
      <c r="VLS128" s="94"/>
      <c r="VLT128" s="94"/>
      <c r="VLU128" s="94"/>
      <c r="VLV128" s="94"/>
      <c r="VLW128" s="94"/>
      <c r="VLX128" s="94"/>
      <c r="VLY128" s="94"/>
      <c r="VLZ128" s="94"/>
      <c r="VMA128" s="94"/>
      <c r="VMB128" s="94"/>
      <c r="VMC128" s="94"/>
      <c r="VMD128" s="94"/>
      <c r="VME128" s="94"/>
      <c r="VMF128" s="94"/>
      <c r="VMG128" s="94"/>
      <c r="VMH128" s="94"/>
      <c r="VMI128" s="94"/>
      <c r="VMJ128" s="94"/>
      <c r="VMK128" s="94"/>
      <c r="VML128" s="94"/>
      <c r="VMM128" s="94"/>
      <c r="VMN128" s="94"/>
      <c r="VMO128" s="94"/>
      <c r="VMP128" s="94"/>
      <c r="VMQ128" s="94"/>
      <c r="VMR128" s="94"/>
      <c r="VMS128" s="94"/>
      <c r="VMT128" s="94"/>
      <c r="VMU128" s="94"/>
      <c r="VMV128" s="94"/>
      <c r="VMW128" s="94"/>
      <c r="VMX128" s="94"/>
      <c r="VMY128" s="94"/>
      <c r="VMZ128" s="94"/>
      <c r="VNA128" s="94"/>
      <c r="VNB128" s="94"/>
      <c r="VNC128" s="94"/>
      <c r="VND128" s="94"/>
      <c r="VNE128" s="94"/>
      <c r="VNF128" s="94"/>
      <c r="VNG128" s="94"/>
      <c r="VNH128" s="94"/>
      <c r="VNI128" s="94"/>
      <c r="VNJ128" s="94"/>
      <c r="VNK128" s="94"/>
      <c r="VNL128" s="94"/>
      <c r="VNM128" s="94"/>
      <c r="VNN128" s="94"/>
      <c r="VNO128" s="94"/>
      <c r="VNP128" s="94"/>
      <c r="VNQ128" s="94"/>
      <c r="VNR128" s="94"/>
      <c r="VNS128" s="94"/>
      <c r="VNT128" s="94"/>
      <c r="VNU128" s="94"/>
      <c r="VNV128" s="94"/>
      <c r="VNW128" s="94"/>
      <c r="VNX128" s="94"/>
      <c r="VNY128" s="94"/>
      <c r="VNZ128" s="94"/>
      <c r="VOA128" s="94"/>
      <c r="VOB128" s="94"/>
      <c r="VOC128" s="94"/>
      <c r="VOD128" s="94"/>
      <c r="VOE128" s="94"/>
      <c r="VOF128" s="94"/>
      <c r="VOG128" s="94"/>
      <c r="VOH128" s="94"/>
      <c r="VOI128" s="94"/>
      <c r="VOJ128" s="94"/>
      <c r="VOK128" s="94"/>
      <c r="VOL128" s="94"/>
      <c r="VOM128" s="94"/>
      <c r="VON128" s="94"/>
      <c r="VOO128" s="94"/>
      <c r="VOP128" s="94"/>
      <c r="VOQ128" s="94"/>
      <c r="VOR128" s="94"/>
      <c r="VOS128" s="94"/>
      <c r="VOT128" s="94"/>
      <c r="VOU128" s="94"/>
      <c r="VOV128" s="94"/>
      <c r="VOW128" s="94"/>
      <c r="VOX128" s="94"/>
      <c r="VOY128" s="94"/>
      <c r="VOZ128" s="94"/>
      <c r="VPA128" s="94"/>
      <c r="VPB128" s="94"/>
      <c r="VPC128" s="94"/>
      <c r="VPD128" s="94"/>
      <c r="VPE128" s="94"/>
      <c r="VPF128" s="94"/>
      <c r="VPG128" s="94"/>
      <c r="VPH128" s="94"/>
      <c r="VPI128" s="94"/>
      <c r="VPJ128" s="94"/>
      <c r="VPK128" s="94"/>
      <c r="VPL128" s="94"/>
      <c r="VPM128" s="94"/>
      <c r="VPN128" s="94"/>
      <c r="VPO128" s="94"/>
      <c r="VPP128" s="94"/>
      <c r="VPQ128" s="94"/>
      <c r="VPR128" s="94"/>
      <c r="VPS128" s="94"/>
      <c r="VPT128" s="94"/>
      <c r="VPU128" s="94"/>
      <c r="VPV128" s="94"/>
      <c r="VPW128" s="94"/>
      <c r="VPX128" s="94"/>
      <c r="VPY128" s="94"/>
      <c r="VPZ128" s="94"/>
      <c r="VQA128" s="94"/>
      <c r="VQB128" s="94"/>
      <c r="VQC128" s="94"/>
      <c r="VQD128" s="94"/>
      <c r="VQE128" s="94"/>
      <c r="VQF128" s="94"/>
      <c r="VQG128" s="94"/>
      <c r="VQH128" s="94"/>
      <c r="VQI128" s="94"/>
      <c r="VQJ128" s="94"/>
      <c r="VQK128" s="94"/>
      <c r="VQL128" s="94"/>
      <c r="VQM128" s="94"/>
      <c r="VQN128" s="94"/>
      <c r="VQO128" s="94"/>
      <c r="VQP128" s="94"/>
      <c r="VQQ128" s="94"/>
      <c r="VQR128" s="94"/>
      <c r="VQS128" s="94"/>
      <c r="VQT128" s="94"/>
      <c r="VQU128" s="94"/>
      <c r="VQV128" s="94"/>
      <c r="VQW128" s="94"/>
      <c r="VQX128" s="94"/>
      <c r="VQY128" s="94"/>
      <c r="VQZ128" s="94"/>
      <c r="VRA128" s="94"/>
      <c r="VRB128" s="94"/>
      <c r="VRC128" s="94"/>
      <c r="VRD128" s="94"/>
      <c r="VRE128" s="94"/>
      <c r="VRF128" s="94"/>
      <c r="VRG128" s="94"/>
      <c r="VRH128" s="94"/>
      <c r="VRI128" s="94"/>
      <c r="VRJ128" s="94"/>
      <c r="VRK128" s="94"/>
      <c r="VRL128" s="94"/>
      <c r="VRM128" s="94"/>
      <c r="VRN128" s="94"/>
      <c r="VRO128" s="94"/>
      <c r="VRP128" s="94"/>
      <c r="VRQ128" s="94"/>
      <c r="VRR128" s="94"/>
      <c r="VRS128" s="94"/>
      <c r="VRT128" s="94"/>
      <c r="VRU128" s="94"/>
      <c r="VRV128" s="94"/>
      <c r="VRW128" s="94"/>
      <c r="VRX128" s="94"/>
      <c r="VRY128" s="94"/>
      <c r="VRZ128" s="94"/>
      <c r="VSA128" s="94"/>
      <c r="VSB128" s="94"/>
      <c r="VSC128" s="94"/>
      <c r="VSD128" s="94"/>
      <c r="VSE128" s="94"/>
      <c r="VSF128" s="94"/>
      <c r="VSG128" s="94"/>
      <c r="VSH128" s="94"/>
      <c r="VSI128" s="94"/>
      <c r="VSJ128" s="94"/>
      <c r="VSK128" s="94"/>
      <c r="VSL128" s="94"/>
      <c r="VSM128" s="94"/>
      <c r="VSN128" s="94"/>
      <c r="VSO128" s="94"/>
      <c r="VSP128" s="94"/>
      <c r="VSQ128" s="94"/>
      <c r="VSR128" s="94"/>
      <c r="VSS128" s="94"/>
      <c r="VST128" s="94"/>
      <c r="VSU128" s="94"/>
      <c r="VSV128" s="94"/>
      <c r="VSW128" s="94"/>
      <c r="VSX128" s="94"/>
      <c r="VSY128" s="94"/>
      <c r="VSZ128" s="94"/>
      <c r="VTA128" s="94"/>
      <c r="VTB128" s="94"/>
      <c r="VTC128" s="94"/>
      <c r="VTD128" s="94"/>
      <c r="VTE128" s="94"/>
      <c r="VTF128" s="94"/>
      <c r="VTG128" s="94"/>
      <c r="VTH128" s="94"/>
      <c r="VTI128" s="94"/>
      <c r="VTJ128" s="94"/>
      <c r="VTK128" s="94"/>
      <c r="VTL128" s="94"/>
      <c r="VTM128" s="94"/>
      <c r="VTN128" s="94"/>
      <c r="VTO128" s="94"/>
      <c r="VTP128" s="94"/>
      <c r="VTQ128" s="94"/>
      <c r="VTR128" s="94"/>
      <c r="VTS128" s="94"/>
      <c r="VTT128" s="94"/>
      <c r="VTU128" s="94"/>
      <c r="VTV128" s="94"/>
      <c r="VTW128" s="94"/>
      <c r="VTX128" s="94"/>
      <c r="VTY128" s="94"/>
      <c r="VTZ128" s="94"/>
      <c r="VUA128" s="94"/>
      <c r="VUB128" s="94"/>
      <c r="VUC128" s="94"/>
      <c r="VUD128" s="94"/>
      <c r="VUE128" s="94"/>
      <c r="VUF128" s="94"/>
      <c r="VUG128" s="94"/>
      <c r="VUH128" s="94"/>
      <c r="VUI128" s="94"/>
      <c r="VUJ128" s="94"/>
      <c r="VUK128" s="94"/>
      <c r="VUL128" s="94"/>
      <c r="VUM128" s="94"/>
      <c r="VUN128" s="94"/>
      <c r="VUO128" s="94"/>
      <c r="VUP128" s="94"/>
      <c r="VUQ128" s="94"/>
      <c r="VUR128" s="94"/>
      <c r="VUS128" s="94"/>
      <c r="VUT128" s="94"/>
      <c r="VUU128" s="94"/>
      <c r="VUV128" s="94"/>
      <c r="VUW128" s="94"/>
      <c r="VUX128" s="94"/>
      <c r="VUY128" s="94"/>
      <c r="VUZ128" s="94"/>
      <c r="VVA128" s="94"/>
      <c r="VVB128" s="94"/>
      <c r="VVC128" s="94"/>
      <c r="VVD128" s="94"/>
      <c r="VVE128" s="94"/>
      <c r="VVF128" s="94"/>
      <c r="VVG128" s="94"/>
      <c r="VVH128" s="94"/>
      <c r="VVI128" s="94"/>
      <c r="VVJ128" s="94"/>
      <c r="VVK128" s="94"/>
      <c r="VVL128" s="94"/>
      <c r="VVM128" s="94"/>
      <c r="VVN128" s="94"/>
      <c r="VVO128" s="94"/>
      <c r="VVP128" s="94"/>
      <c r="VVQ128" s="94"/>
      <c r="VVR128" s="94"/>
      <c r="VVS128" s="94"/>
      <c r="VVT128" s="94"/>
      <c r="VVU128" s="94"/>
      <c r="VVV128" s="94"/>
      <c r="VVW128" s="94"/>
      <c r="VVX128" s="94"/>
      <c r="VVY128" s="94"/>
      <c r="VVZ128" s="94"/>
      <c r="VWA128" s="94"/>
      <c r="VWB128" s="94"/>
      <c r="VWC128" s="94"/>
      <c r="VWD128" s="94"/>
      <c r="VWE128" s="94"/>
      <c r="VWF128" s="94"/>
      <c r="VWG128" s="94"/>
      <c r="VWH128" s="94"/>
      <c r="VWI128" s="94"/>
      <c r="VWJ128" s="94"/>
      <c r="VWK128" s="94"/>
      <c r="VWL128" s="94"/>
      <c r="VWM128" s="94"/>
      <c r="VWN128" s="94"/>
      <c r="VWO128" s="94"/>
      <c r="VWP128" s="94"/>
      <c r="VWQ128" s="94"/>
      <c r="VWR128" s="94"/>
      <c r="VWS128" s="94"/>
      <c r="VWT128" s="94"/>
      <c r="VWU128" s="94"/>
      <c r="VWV128" s="94"/>
      <c r="VWW128" s="94"/>
      <c r="VWX128" s="94"/>
      <c r="VWY128" s="94"/>
      <c r="VWZ128" s="94"/>
      <c r="VXA128" s="94"/>
      <c r="VXB128" s="94"/>
      <c r="VXC128" s="94"/>
      <c r="VXD128" s="94"/>
      <c r="VXE128" s="94"/>
      <c r="VXF128" s="94"/>
      <c r="VXG128" s="94"/>
      <c r="VXH128" s="94"/>
      <c r="VXI128" s="94"/>
      <c r="VXJ128" s="94"/>
      <c r="VXK128" s="94"/>
      <c r="VXL128" s="94"/>
      <c r="VXM128" s="94"/>
      <c r="VXN128" s="94"/>
      <c r="VXO128" s="94"/>
      <c r="VXP128" s="94"/>
      <c r="VXQ128" s="94"/>
      <c r="VXR128" s="94"/>
      <c r="VXS128" s="94"/>
      <c r="VXT128" s="94"/>
      <c r="VXU128" s="94"/>
      <c r="VXV128" s="94"/>
      <c r="VXW128" s="94"/>
      <c r="VXX128" s="94"/>
      <c r="VXY128" s="94"/>
      <c r="VXZ128" s="94"/>
      <c r="VYA128" s="94"/>
      <c r="VYB128" s="94"/>
      <c r="VYC128" s="94"/>
      <c r="VYD128" s="94"/>
      <c r="VYE128" s="94"/>
      <c r="VYF128" s="94"/>
      <c r="VYG128" s="94"/>
      <c r="VYH128" s="94"/>
      <c r="VYI128" s="94"/>
      <c r="VYJ128" s="94"/>
      <c r="VYK128" s="94"/>
      <c r="VYL128" s="94"/>
      <c r="VYM128" s="94"/>
      <c r="VYN128" s="94"/>
      <c r="VYO128" s="94"/>
      <c r="VYP128" s="94"/>
      <c r="VYQ128" s="94"/>
      <c r="VYR128" s="94"/>
      <c r="VYS128" s="94"/>
      <c r="VYT128" s="94"/>
      <c r="VYU128" s="94"/>
      <c r="VYV128" s="94"/>
      <c r="VYW128" s="94"/>
      <c r="VYX128" s="94"/>
      <c r="VYY128" s="94"/>
      <c r="VYZ128" s="94"/>
      <c r="VZA128" s="94"/>
      <c r="VZB128" s="94"/>
      <c r="VZC128" s="94"/>
      <c r="VZD128" s="94"/>
      <c r="VZE128" s="94"/>
      <c r="VZF128" s="94"/>
      <c r="VZG128" s="94"/>
      <c r="VZH128" s="94"/>
      <c r="VZI128" s="94"/>
      <c r="VZJ128" s="94"/>
      <c r="VZK128" s="94"/>
      <c r="VZL128" s="94"/>
      <c r="VZM128" s="94"/>
      <c r="VZN128" s="94"/>
      <c r="VZO128" s="94"/>
      <c r="VZP128" s="94"/>
      <c r="VZQ128" s="94"/>
      <c r="VZR128" s="94"/>
      <c r="VZS128" s="94"/>
      <c r="VZT128" s="94"/>
      <c r="VZU128" s="94"/>
      <c r="VZV128" s="94"/>
      <c r="VZW128" s="94"/>
      <c r="VZX128" s="94"/>
      <c r="VZY128" s="94"/>
      <c r="VZZ128" s="94"/>
      <c r="WAA128" s="94"/>
      <c r="WAB128" s="94"/>
      <c r="WAC128" s="94"/>
      <c r="WAD128" s="94"/>
      <c r="WAE128" s="94"/>
      <c r="WAF128" s="94"/>
      <c r="WAG128" s="94"/>
      <c r="WAH128" s="94"/>
      <c r="WAI128" s="94"/>
      <c r="WAJ128" s="94"/>
      <c r="WAK128" s="94"/>
      <c r="WAL128" s="94"/>
      <c r="WAM128" s="94"/>
      <c r="WAN128" s="94"/>
      <c r="WAO128" s="94"/>
      <c r="WAP128" s="94"/>
      <c r="WAQ128" s="94"/>
      <c r="WAR128" s="94"/>
      <c r="WAS128" s="94"/>
      <c r="WAT128" s="94"/>
      <c r="WAU128" s="94"/>
      <c r="WAV128" s="94"/>
      <c r="WAW128" s="94"/>
      <c r="WAX128" s="94"/>
      <c r="WAY128" s="94"/>
      <c r="WAZ128" s="94"/>
      <c r="WBA128" s="94"/>
      <c r="WBB128" s="94"/>
      <c r="WBC128" s="94"/>
      <c r="WBD128" s="94"/>
      <c r="WBE128" s="94"/>
      <c r="WBF128" s="94"/>
      <c r="WBG128" s="94"/>
      <c r="WBH128" s="94"/>
      <c r="WBI128" s="94"/>
      <c r="WBJ128" s="94"/>
      <c r="WBK128" s="94"/>
      <c r="WBL128" s="94"/>
      <c r="WBM128" s="94"/>
      <c r="WBN128" s="94"/>
      <c r="WBO128" s="94"/>
      <c r="WBP128" s="94"/>
      <c r="WBQ128" s="94"/>
      <c r="WBR128" s="94"/>
      <c r="WBS128" s="94"/>
      <c r="WBT128" s="94"/>
      <c r="WBU128" s="94"/>
      <c r="WBV128" s="94"/>
      <c r="WBW128" s="94"/>
      <c r="WBX128" s="94"/>
      <c r="WBY128" s="94"/>
      <c r="WBZ128" s="94"/>
      <c r="WCA128" s="94"/>
      <c r="WCB128" s="94"/>
      <c r="WCC128" s="94"/>
      <c r="WCD128" s="94"/>
      <c r="WCE128" s="94"/>
      <c r="WCF128" s="94"/>
      <c r="WCG128" s="94"/>
      <c r="WCH128" s="94"/>
      <c r="WCI128" s="94"/>
      <c r="WCJ128" s="94"/>
      <c r="WCK128" s="94"/>
      <c r="WCL128" s="94"/>
      <c r="WCM128" s="94"/>
      <c r="WCN128" s="94"/>
      <c r="WCO128" s="94"/>
      <c r="WCP128" s="94"/>
      <c r="WCQ128" s="94"/>
      <c r="WCR128" s="94"/>
      <c r="WCS128" s="94"/>
      <c r="WCT128" s="94"/>
      <c r="WCU128" s="94"/>
      <c r="WCV128" s="94"/>
      <c r="WCW128" s="94"/>
      <c r="WCX128" s="94"/>
      <c r="WCY128" s="94"/>
      <c r="WCZ128" s="94"/>
      <c r="WDA128" s="94"/>
      <c r="WDB128" s="94"/>
      <c r="WDC128" s="94"/>
      <c r="WDD128" s="94"/>
      <c r="WDE128" s="94"/>
      <c r="WDF128" s="94"/>
      <c r="WDG128" s="94"/>
      <c r="WDH128" s="94"/>
      <c r="WDI128" s="94"/>
      <c r="WDJ128" s="94"/>
      <c r="WDK128" s="94"/>
      <c r="WDL128" s="94"/>
      <c r="WDM128" s="94"/>
      <c r="WDN128" s="94"/>
      <c r="WDO128" s="94"/>
      <c r="WDP128" s="94"/>
      <c r="WDQ128" s="94"/>
      <c r="WDR128" s="94"/>
      <c r="WDS128" s="94"/>
      <c r="WDT128" s="94"/>
      <c r="WDU128" s="94"/>
      <c r="WDV128" s="94"/>
      <c r="WDW128" s="94"/>
      <c r="WDX128" s="94"/>
      <c r="WDY128" s="94"/>
      <c r="WDZ128" s="94"/>
      <c r="WEA128" s="94"/>
      <c r="WEB128" s="94"/>
      <c r="WEC128" s="94"/>
      <c r="WED128" s="94"/>
      <c r="WEE128" s="94"/>
      <c r="WEF128" s="94"/>
      <c r="WEG128" s="94"/>
      <c r="WEH128" s="94"/>
      <c r="WEI128" s="94"/>
      <c r="WEJ128" s="94"/>
      <c r="WEK128" s="94"/>
      <c r="WEL128" s="94"/>
      <c r="WEM128" s="94"/>
      <c r="WEN128" s="94"/>
      <c r="WEO128" s="94"/>
      <c r="WEP128" s="94"/>
      <c r="WEQ128" s="94"/>
      <c r="WER128" s="94"/>
      <c r="WES128" s="94"/>
      <c r="WET128" s="94"/>
      <c r="WEU128" s="94"/>
      <c r="WEV128" s="94"/>
      <c r="WEW128" s="94"/>
      <c r="WEX128" s="94"/>
      <c r="WEY128" s="94"/>
      <c r="WEZ128" s="94"/>
      <c r="WFA128" s="94"/>
      <c r="WFB128" s="94"/>
      <c r="WFC128" s="94"/>
      <c r="WFD128" s="94"/>
      <c r="WFE128" s="94"/>
      <c r="WFF128" s="94"/>
      <c r="WFG128" s="94"/>
      <c r="WFH128" s="94"/>
      <c r="WFI128" s="94"/>
      <c r="WFJ128" s="94"/>
      <c r="WFK128" s="94"/>
      <c r="WFL128" s="94"/>
      <c r="WFM128" s="94"/>
      <c r="WFN128" s="94"/>
      <c r="WFO128" s="94"/>
      <c r="WFP128" s="94"/>
      <c r="WFQ128" s="94"/>
      <c r="WFR128" s="94"/>
      <c r="WFS128" s="94"/>
      <c r="WFT128" s="94"/>
      <c r="WFU128" s="94"/>
      <c r="WFV128" s="94"/>
      <c r="WFW128" s="94"/>
      <c r="WFX128" s="94"/>
      <c r="WFY128" s="94"/>
      <c r="WFZ128" s="94"/>
      <c r="WGA128" s="94"/>
      <c r="WGB128" s="94"/>
      <c r="WGC128" s="94"/>
      <c r="WGD128" s="94"/>
      <c r="WGE128" s="94"/>
      <c r="WGF128" s="94"/>
      <c r="WGG128" s="94"/>
      <c r="WGH128" s="94"/>
      <c r="WGI128" s="94"/>
      <c r="WGJ128" s="94"/>
      <c r="WGK128" s="94"/>
      <c r="WGL128" s="94"/>
      <c r="WGM128" s="94"/>
      <c r="WGN128" s="94"/>
      <c r="WGO128" s="94"/>
      <c r="WGP128" s="94"/>
      <c r="WGQ128" s="94"/>
      <c r="WGR128" s="94"/>
      <c r="WGS128" s="94"/>
      <c r="WGT128" s="94"/>
      <c r="WGU128" s="94"/>
      <c r="WGV128" s="94"/>
      <c r="WGW128" s="94"/>
      <c r="WGX128" s="94"/>
      <c r="WGY128" s="94"/>
      <c r="WGZ128" s="94"/>
      <c r="WHA128" s="94"/>
      <c r="WHB128" s="94"/>
      <c r="WHC128" s="94"/>
      <c r="WHD128" s="94"/>
      <c r="WHE128" s="94"/>
      <c r="WHF128" s="94"/>
      <c r="WHG128" s="94"/>
      <c r="WHH128" s="94"/>
      <c r="WHI128" s="94"/>
      <c r="WHJ128" s="94"/>
      <c r="WHK128" s="94"/>
      <c r="WHL128" s="94"/>
      <c r="WHM128" s="94"/>
      <c r="WHN128" s="94"/>
      <c r="WHO128" s="94"/>
      <c r="WHP128" s="94"/>
      <c r="WHQ128" s="94"/>
      <c r="WHR128" s="94"/>
      <c r="WHS128" s="94"/>
      <c r="WHT128" s="94"/>
      <c r="WHU128" s="94"/>
      <c r="WHV128" s="94"/>
      <c r="WHW128" s="94"/>
      <c r="WHX128" s="94"/>
      <c r="WHY128" s="94"/>
      <c r="WHZ128" s="94"/>
      <c r="WIA128" s="94"/>
      <c r="WIB128" s="94"/>
      <c r="WIC128" s="94"/>
      <c r="WID128" s="94"/>
      <c r="WIE128" s="94"/>
      <c r="WIF128" s="94"/>
      <c r="WIG128" s="94"/>
      <c r="WIH128" s="94"/>
      <c r="WII128" s="94"/>
      <c r="WIJ128" s="94"/>
      <c r="WIK128" s="94"/>
      <c r="WIL128" s="94"/>
      <c r="WIM128" s="94"/>
      <c r="WIN128" s="94"/>
      <c r="WIO128" s="94"/>
      <c r="WIP128" s="94"/>
      <c r="WIQ128" s="94"/>
      <c r="WIR128" s="94"/>
      <c r="WIS128" s="94"/>
      <c r="WIT128" s="94"/>
      <c r="WIU128" s="94"/>
      <c r="WIV128" s="94"/>
      <c r="WIW128" s="94"/>
      <c r="WIX128" s="94"/>
      <c r="WIY128" s="94"/>
      <c r="WIZ128" s="94"/>
      <c r="WJA128" s="94"/>
      <c r="WJB128" s="94"/>
      <c r="WJC128" s="94"/>
      <c r="WJD128" s="94"/>
      <c r="WJE128" s="94"/>
      <c r="WJF128" s="94"/>
      <c r="WJG128" s="94"/>
      <c r="WJH128" s="94"/>
      <c r="WJI128" s="94"/>
      <c r="WJJ128" s="94"/>
      <c r="WJK128" s="94"/>
      <c r="WJL128" s="94"/>
      <c r="WJM128" s="94"/>
      <c r="WJN128" s="94"/>
      <c r="WJO128" s="94"/>
      <c r="WJP128" s="94"/>
      <c r="WJQ128" s="94"/>
      <c r="WJR128" s="94"/>
      <c r="WJS128" s="94"/>
      <c r="WJT128" s="94"/>
      <c r="WJU128" s="94"/>
      <c r="WJV128" s="94"/>
      <c r="WJW128" s="94"/>
      <c r="WJX128" s="94"/>
      <c r="WJY128" s="94"/>
      <c r="WJZ128" s="94"/>
      <c r="WKA128" s="94"/>
      <c r="WKB128" s="94"/>
      <c r="WKC128" s="94"/>
      <c r="WKD128" s="94"/>
      <c r="WKE128" s="94"/>
      <c r="WKF128" s="94"/>
      <c r="WKG128" s="94"/>
      <c r="WKH128" s="94"/>
      <c r="WKI128" s="94"/>
      <c r="WKJ128" s="94"/>
      <c r="WKK128" s="94"/>
      <c r="WKL128" s="94"/>
      <c r="WKM128" s="94"/>
      <c r="WKN128" s="94"/>
      <c r="WKO128" s="94"/>
      <c r="WKP128" s="94"/>
      <c r="WKQ128" s="94"/>
      <c r="WKR128" s="94"/>
      <c r="WKS128" s="94"/>
      <c r="WKT128" s="94"/>
      <c r="WKU128" s="94"/>
      <c r="WKV128" s="94"/>
      <c r="WKW128" s="94"/>
      <c r="WKX128" s="94"/>
      <c r="WKY128" s="94"/>
      <c r="WKZ128" s="94"/>
      <c r="WLA128" s="94"/>
      <c r="WLB128" s="94"/>
      <c r="WLC128" s="94"/>
      <c r="WLD128" s="94"/>
      <c r="WLE128" s="94"/>
      <c r="WLF128" s="94"/>
      <c r="WLG128" s="94"/>
      <c r="WLH128" s="94"/>
      <c r="WLI128" s="94"/>
      <c r="WLJ128" s="94"/>
      <c r="WLK128" s="94"/>
      <c r="WLL128" s="94"/>
      <c r="WLM128" s="94"/>
      <c r="WLN128" s="94"/>
      <c r="WLO128" s="94"/>
      <c r="WLP128" s="94"/>
      <c r="WLQ128" s="94"/>
      <c r="WLR128" s="94"/>
      <c r="WLS128" s="94"/>
      <c r="WLT128" s="94"/>
      <c r="WLU128" s="94"/>
      <c r="WLV128" s="94"/>
      <c r="WLW128" s="94"/>
      <c r="WLX128" s="94"/>
      <c r="WLY128" s="94"/>
      <c r="WLZ128" s="94"/>
      <c r="WMA128" s="94"/>
      <c r="WMB128" s="94"/>
      <c r="WMC128" s="94"/>
      <c r="WMD128" s="94"/>
      <c r="WME128" s="94"/>
      <c r="WMF128" s="94"/>
      <c r="WMG128" s="94"/>
      <c r="WMH128" s="94"/>
      <c r="WMI128" s="94"/>
      <c r="WMJ128" s="94"/>
      <c r="WMK128" s="94"/>
      <c r="WML128" s="94"/>
      <c r="WMM128" s="94"/>
      <c r="WMN128" s="94"/>
      <c r="WMO128" s="94"/>
      <c r="WMP128" s="94"/>
      <c r="WMQ128" s="94"/>
      <c r="WMR128" s="94"/>
      <c r="WMS128" s="94"/>
      <c r="WMT128" s="94"/>
      <c r="WMU128" s="94"/>
      <c r="WMV128" s="94"/>
      <c r="WMW128" s="94"/>
      <c r="WMX128" s="94"/>
      <c r="WMY128" s="94"/>
      <c r="WMZ128" s="94"/>
      <c r="WNA128" s="94"/>
      <c r="WNB128" s="94"/>
      <c r="WNC128" s="94"/>
      <c r="WND128" s="94"/>
      <c r="WNE128" s="94"/>
      <c r="WNF128" s="94"/>
      <c r="WNG128" s="94"/>
      <c r="WNH128" s="94"/>
      <c r="WNI128" s="94"/>
      <c r="WNJ128" s="94"/>
      <c r="WNK128" s="94"/>
      <c r="WNL128" s="94"/>
      <c r="WNM128" s="94"/>
      <c r="WNN128" s="94"/>
      <c r="WNO128" s="94"/>
      <c r="WNP128" s="94"/>
      <c r="WNQ128" s="94"/>
      <c r="WNR128" s="94"/>
      <c r="WNS128" s="94"/>
      <c r="WNT128" s="94"/>
      <c r="WNU128" s="94"/>
      <c r="WNV128" s="94"/>
      <c r="WNW128" s="94"/>
      <c r="WNX128" s="94"/>
      <c r="WNY128" s="94"/>
      <c r="WNZ128" s="94"/>
      <c r="WOA128" s="94"/>
      <c r="WOB128" s="94"/>
      <c r="WOC128" s="94"/>
      <c r="WOD128" s="94"/>
      <c r="WOE128" s="94"/>
      <c r="WOF128" s="94"/>
      <c r="WOG128" s="94"/>
      <c r="WOH128" s="94"/>
      <c r="WOI128" s="94"/>
      <c r="WOJ128" s="94"/>
      <c r="WOK128" s="94"/>
      <c r="WOL128" s="94"/>
      <c r="WOM128" s="94"/>
      <c r="WON128" s="94"/>
      <c r="WOO128" s="94"/>
      <c r="WOP128" s="94"/>
      <c r="WOQ128" s="94"/>
      <c r="WOR128" s="94"/>
      <c r="WOS128" s="94"/>
      <c r="WOT128" s="94"/>
      <c r="WOU128" s="94"/>
      <c r="WOV128" s="94"/>
      <c r="WOW128" s="94"/>
      <c r="WOX128" s="94"/>
      <c r="WOY128" s="94"/>
      <c r="WOZ128" s="94"/>
      <c r="WPA128" s="94"/>
      <c r="WPB128" s="94"/>
      <c r="WPC128" s="94"/>
      <c r="WPD128" s="94"/>
      <c r="WPE128" s="94"/>
      <c r="WPF128" s="94"/>
      <c r="WPG128" s="94"/>
      <c r="WPH128" s="94"/>
      <c r="WPI128" s="94"/>
      <c r="WPJ128" s="94"/>
      <c r="WPK128" s="94"/>
      <c r="WPL128" s="94"/>
      <c r="WPM128" s="94"/>
      <c r="WPN128" s="94"/>
      <c r="WPO128" s="94"/>
      <c r="WPP128" s="94"/>
      <c r="WPQ128" s="94"/>
      <c r="WPR128" s="94"/>
      <c r="WPS128" s="94"/>
      <c r="WPT128" s="94"/>
      <c r="WPU128" s="94"/>
      <c r="WPV128" s="94"/>
      <c r="WPW128" s="94"/>
      <c r="WPX128" s="94"/>
      <c r="WPY128" s="94"/>
      <c r="WPZ128" s="94"/>
      <c r="WQA128" s="94"/>
      <c r="WQB128" s="94"/>
      <c r="WQC128" s="94"/>
      <c r="WQD128" s="94"/>
      <c r="WQE128" s="94"/>
      <c r="WQF128" s="94"/>
      <c r="WQG128" s="94"/>
      <c r="WQH128" s="94"/>
      <c r="WQI128" s="94"/>
      <c r="WQJ128" s="94"/>
      <c r="WQK128" s="94"/>
      <c r="WQL128" s="94"/>
      <c r="WQM128" s="94"/>
      <c r="WQN128" s="94"/>
      <c r="WQO128" s="94"/>
      <c r="WQP128" s="94"/>
      <c r="WQQ128" s="94"/>
      <c r="WQR128" s="94"/>
      <c r="WQS128" s="94"/>
      <c r="WQT128" s="94"/>
      <c r="WQU128" s="94"/>
      <c r="WQV128" s="94"/>
      <c r="WQW128" s="94"/>
      <c r="WQX128" s="94"/>
      <c r="WQY128" s="94"/>
      <c r="WQZ128" s="94"/>
      <c r="WRA128" s="94"/>
      <c r="WRB128" s="94"/>
      <c r="WRC128" s="94"/>
      <c r="WRD128" s="94"/>
      <c r="WRE128" s="94"/>
      <c r="WRF128" s="94"/>
      <c r="WRG128" s="94"/>
      <c r="WRH128" s="94"/>
      <c r="WRI128" s="94"/>
      <c r="WRJ128" s="94"/>
      <c r="WRK128" s="94"/>
      <c r="WRL128" s="94"/>
      <c r="WRM128" s="94"/>
      <c r="WRN128" s="94"/>
      <c r="WRO128" s="94"/>
      <c r="WRP128" s="94"/>
      <c r="WRQ128" s="94"/>
      <c r="WRR128" s="94"/>
      <c r="WRS128" s="94"/>
      <c r="WRT128" s="94"/>
      <c r="WRU128" s="94"/>
      <c r="WRV128" s="94"/>
      <c r="WRW128" s="94"/>
      <c r="WRX128" s="94"/>
      <c r="WRY128" s="94"/>
      <c r="WRZ128" s="94"/>
      <c r="WSA128" s="94"/>
      <c r="WSB128" s="94"/>
      <c r="WSC128" s="94"/>
      <c r="WSD128" s="94"/>
      <c r="WSE128" s="94"/>
      <c r="WSF128" s="94"/>
      <c r="WSG128" s="94"/>
      <c r="WSH128" s="94"/>
      <c r="WSI128" s="94"/>
      <c r="WSJ128" s="94"/>
      <c r="WSK128" s="94"/>
      <c r="WSL128" s="94"/>
      <c r="WSM128" s="94"/>
      <c r="WSN128" s="94"/>
      <c r="WSO128" s="94"/>
      <c r="WSP128" s="94"/>
      <c r="WSQ128" s="94"/>
      <c r="WSR128" s="94"/>
      <c r="WSS128" s="94"/>
      <c r="WST128" s="94"/>
      <c r="WSU128" s="94"/>
      <c r="WSV128" s="94"/>
      <c r="WSW128" s="94"/>
      <c r="WSX128" s="94"/>
      <c r="WSY128" s="94"/>
      <c r="WSZ128" s="94"/>
      <c r="WTA128" s="94"/>
      <c r="WTB128" s="94"/>
      <c r="WTC128" s="94"/>
      <c r="WTD128" s="94"/>
      <c r="WTE128" s="94"/>
      <c r="WTF128" s="94"/>
      <c r="WTG128" s="94"/>
      <c r="WTH128" s="94"/>
      <c r="WTI128" s="94"/>
      <c r="WTJ128" s="94"/>
      <c r="WTK128" s="94"/>
      <c r="WTL128" s="94"/>
      <c r="WTM128" s="94"/>
      <c r="WTN128" s="94"/>
      <c r="WTO128" s="94"/>
      <c r="WTP128" s="94"/>
      <c r="WTQ128" s="94"/>
      <c r="WTR128" s="94"/>
      <c r="WTS128" s="94"/>
      <c r="WTT128" s="94"/>
      <c r="WTU128" s="94"/>
      <c r="WTV128" s="94"/>
      <c r="WTW128" s="94"/>
      <c r="WTX128" s="94"/>
      <c r="WTY128" s="94"/>
      <c r="WTZ128" s="94"/>
      <c r="WUA128" s="94"/>
      <c r="WUB128" s="94"/>
      <c r="WUC128" s="94"/>
      <c r="WUD128" s="94"/>
      <c r="WUE128" s="94"/>
      <c r="WUF128" s="94"/>
      <c r="WUG128" s="94"/>
      <c r="WUH128" s="94"/>
      <c r="WUI128" s="94"/>
      <c r="WUJ128" s="94"/>
      <c r="WUK128" s="94"/>
      <c r="WUL128" s="94"/>
      <c r="WUM128" s="94"/>
      <c r="WUN128" s="94"/>
      <c r="WUO128" s="94"/>
      <c r="WUP128" s="94"/>
      <c r="WUQ128" s="94"/>
      <c r="WUR128" s="94"/>
      <c r="WUS128" s="94"/>
      <c r="WUT128" s="94"/>
      <c r="WUU128" s="94"/>
      <c r="WUV128" s="94"/>
      <c r="WUW128" s="94"/>
      <c r="WUX128" s="94"/>
      <c r="WUY128" s="94"/>
      <c r="WUZ128" s="94"/>
      <c r="WVA128" s="94"/>
      <c r="WVB128" s="94"/>
      <c r="WVC128" s="94"/>
      <c r="WVD128" s="94"/>
      <c r="WVE128" s="94"/>
      <c r="WVF128" s="94"/>
      <c r="WVG128" s="94"/>
      <c r="WVH128" s="94"/>
      <c r="WVI128" s="94"/>
      <c r="WVJ128" s="94"/>
      <c r="WVK128" s="94"/>
      <c r="WVL128" s="94"/>
      <c r="WVM128" s="94"/>
      <c r="WVN128" s="94"/>
      <c r="WVO128" s="94"/>
      <c r="WVP128" s="94"/>
      <c r="WVQ128" s="94"/>
      <c r="WVR128" s="94"/>
      <c r="WVS128" s="94"/>
      <c r="WVT128" s="94"/>
      <c r="WVU128" s="94"/>
      <c r="WVV128" s="94"/>
      <c r="WVW128" s="94"/>
      <c r="WVX128" s="94"/>
      <c r="WVY128" s="94"/>
      <c r="WVZ128" s="94"/>
      <c r="WWA128" s="94"/>
      <c r="WWB128" s="94"/>
      <c r="WWC128" s="94"/>
      <c r="WWD128" s="94"/>
      <c r="WWE128" s="94"/>
      <c r="WWF128" s="94"/>
      <c r="WWG128" s="94"/>
      <c r="WWH128" s="94"/>
      <c r="WWI128" s="94"/>
      <c r="WWJ128" s="94"/>
      <c r="WWK128" s="94"/>
      <c r="WWL128" s="94"/>
      <c r="WWM128" s="94"/>
      <c r="WWN128" s="94"/>
      <c r="WWO128" s="94"/>
      <c r="WWP128" s="94"/>
      <c r="WWQ128" s="94"/>
      <c r="WWR128" s="94"/>
      <c r="WWS128" s="94"/>
      <c r="WWT128" s="94"/>
      <c r="WWU128" s="94"/>
      <c r="WWV128" s="94"/>
      <c r="WWW128" s="94"/>
      <c r="WWX128" s="94"/>
      <c r="WWY128" s="94"/>
      <c r="WWZ128" s="94"/>
      <c r="WXA128" s="94"/>
      <c r="WXB128" s="94"/>
      <c r="WXC128" s="94"/>
      <c r="WXD128" s="94"/>
      <c r="WXE128" s="94"/>
      <c r="WXF128" s="94"/>
      <c r="WXG128" s="94"/>
      <c r="WXH128" s="94"/>
      <c r="WXI128" s="94"/>
      <c r="WXJ128" s="94"/>
      <c r="WXK128" s="94"/>
      <c r="WXL128" s="94"/>
      <c r="WXM128" s="94"/>
      <c r="WXN128" s="94"/>
      <c r="WXO128" s="94"/>
      <c r="WXP128" s="94"/>
      <c r="WXQ128" s="94"/>
      <c r="WXR128" s="94"/>
      <c r="WXS128" s="94"/>
      <c r="WXT128" s="94"/>
      <c r="WXU128" s="94"/>
      <c r="WXV128" s="94"/>
      <c r="WXW128" s="94"/>
      <c r="WXX128" s="94"/>
      <c r="WXY128" s="94"/>
      <c r="WXZ128" s="94"/>
      <c r="WYA128" s="94"/>
      <c r="WYB128" s="94"/>
      <c r="WYC128" s="94"/>
      <c r="WYD128" s="94"/>
      <c r="WYE128" s="94"/>
      <c r="WYF128" s="94"/>
      <c r="WYG128" s="94"/>
      <c r="WYH128" s="94"/>
      <c r="WYI128" s="94"/>
      <c r="WYJ128" s="94"/>
      <c r="WYK128" s="94"/>
      <c r="WYL128" s="94"/>
      <c r="WYM128" s="94"/>
      <c r="WYN128" s="94"/>
      <c r="WYO128" s="94"/>
      <c r="WYP128" s="94"/>
      <c r="WYQ128" s="94"/>
      <c r="WYR128" s="94"/>
      <c r="WYS128" s="94"/>
      <c r="WYT128" s="94"/>
      <c r="WYU128" s="94"/>
      <c r="WYV128" s="94"/>
      <c r="WYW128" s="94"/>
      <c r="WYX128" s="94"/>
      <c r="WYY128" s="94"/>
      <c r="WYZ128" s="94"/>
      <c r="WZA128" s="94"/>
      <c r="WZB128" s="94"/>
      <c r="WZC128" s="94"/>
      <c r="WZD128" s="94"/>
      <c r="WZE128" s="94"/>
      <c r="WZF128" s="94"/>
      <c r="WZG128" s="94"/>
      <c r="WZH128" s="94"/>
      <c r="WZI128" s="94"/>
      <c r="WZJ128" s="94"/>
      <c r="WZK128" s="94"/>
      <c r="WZL128" s="94"/>
      <c r="WZM128" s="94"/>
      <c r="WZN128" s="94"/>
      <c r="WZO128" s="94"/>
      <c r="WZP128" s="94"/>
      <c r="WZQ128" s="94"/>
      <c r="WZR128" s="94"/>
      <c r="WZS128" s="94"/>
      <c r="WZT128" s="94"/>
      <c r="WZU128" s="94"/>
      <c r="WZV128" s="94"/>
      <c r="WZW128" s="94"/>
      <c r="WZX128" s="94"/>
      <c r="WZY128" s="94"/>
      <c r="WZZ128" s="94"/>
      <c r="XAA128" s="94"/>
      <c r="XAB128" s="94"/>
      <c r="XAC128" s="94"/>
      <c r="XAD128" s="94"/>
      <c r="XAE128" s="94"/>
      <c r="XAF128" s="94"/>
      <c r="XAG128" s="94"/>
      <c r="XAH128" s="94"/>
      <c r="XAI128" s="94"/>
      <c r="XAJ128" s="94"/>
      <c r="XAK128" s="94"/>
      <c r="XAL128" s="94"/>
      <c r="XAM128" s="94"/>
      <c r="XAN128" s="94"/>
      <c r="XAO128" s="94"/>
      <c r="XAP128" s="94"/>
      <c r="XAQ128" s="94"/>
      <c r="XAR128" s="94"/>
      <c r="XAS128" s="94"/>
      <c r="XAT128" s="94"/>
      <c r="XAU128" s="94"/>
      <c r="XAV128" s="94"/>
      <c r="XAW128" s="94"/>
      <c r="XAX128" s="94"/>
      <c r="XAY128" s="94"/>
      <c r="XAZ128" s="94"/>
      <c r="XBA128" s="94"/>
      <c r="XBB128" s="94"/>
      <c r="XBC128" s="94"/>
      <c r="XBD128" s="94"/>
      <c r="XBE128" s="94"/>
      <c r="XBF128" s="94"/>
      <c r="XBG128" s="94"/>
      <c r="XBH128" s="94"/>
      <c r="XBI128" s="94"/>
      <c r="XBJ128" s="94"/>
      <c r="XBK128" s="94"/>
      <c r="XBL128" s="94"/>
      <c r="XBM128" s="94"/>
      <c r="XBN128" s="94"/>
      <c r="XBO128" s="94"/>
      <c r="XBP128" s="94"/>
      <c r="XBQ128" s="94"/>
      <c r="XBR128" s="94"/>
      <c r="XBS128" s="94"/>
      <c r="XBT128" s="94"/>
      <c r="XBU128" s="94"/>
      <c r="XBV128" s="94"/>
      <c r="XBW128" s="94"/>
      <c r="XBX128" s="94"/>
      <c r="XBY128" s="94"/>
      <c r="XBZ128" s="94"/>
      <c r="XCA128" s="94"/>
      <c r="XCB128" s="94"/>
      <c r="XCC128" s="94"/>
      <c r="XCD128" s="94"/>
      <c r="XCE128" s="94"/>
      <c r="XCF128" s="94"/>
      <c r="XCG128" s="94"/>
      <c r="XCH128" s="94"/>
      <c r="XCI128" s="94"/>
      <c r="XCJ128" s="94"/>
      <c r="XCK128" s="94"/>
      <c r="XCL128" s="94"/>
      <c r="XCM128" s="94"/>
      <c r="XCN128" s="94"/>
      <c r="XCO128" s="94"/>
      <c r="XCP128" s="94"/>
      <c r="XCQ128" s="94"/>
      <c r="XCR128" s="94"/>
      <c r="XCS128" s="94"/>
      <c r="XCT128" s="94"/>
      <c r="XCU128" s="94"/>
      <c r="XCV128" s="94"/>
      <c r="XCW128" s="94"/>
      <c r="XCX128" s="94"/>
      <c r="XCY128" s="94"/>
      <c r="XCZ128" s="94"/>
      <c r="XDA128" s="94"/>
      <c r="XDB128" s="94"/>
      <c r="XDC128" s="94"/>
      <c r="XDD128" s="94"/>
      <c r="XDE128" s="94"/>
      <c r="XDF128" s="94"/>
      <c r="XDG128" s="94"/>
      <c r="XDH128" s="94"/>
      <c r="XDI128" s="94"/>
      <c r="XDJ128" s="94"/>
      <c r="XDK128" s="94"/>
      <c r="XDL128" s="94"/>
      <c r="XDM128" s="94"/>
      <c r="XDN128" s="94"/>
      <c r="XDO128" s="94"/>
      <c r="XDP128" s="94"/>
      <c r="XDQ128" s="94"/>
      <c r="XDR128" s="94"/>
      <c r="XDS128" s="94"/>
      <c r="XDT128" s="94"/>
      <c r="XDU128" s="94"/>
      <c r="XDV128" s="94"/>
      <c r="XDW128" s="94"/>
      <c r="XDX128" s="94"/>
      <c r="XDY128" s="94"/>
      <c r="XDZ128" s="94"/>
      <c r="XEA128" s="94"/>
      <c r="XEB128" s="94"/>
      <c r="XEC128" s="94"/>
      <c r="XED128" s="94"/>
      <c r="XEE128" s="94"/>
      <c r="XEF128" s="94"/>
      <c r="XEG128" s="94"/>
      <c r="XEH128" s="94"/>
      <c r="XEI128" s="94"/>
      <c r="XEJ128" s="94"/>
      <c r="XEK128" s="94"/>
      <c r="XEL128" s="94"/>
      <c r="XEM128" s="94"/>
      <c r="XEN128" s="94"/>
      <c r="XEO128" s="94"/>
      <c r="XEP128" s="94"/>
      <c r="XEQ128" s="94"/>
      <c r="XER128" s="94"/>
      <c r="XES128" s="94"/>
      <c r="XET128" s="94"/>
      <c r="XEU128" s="94"/>
      <c r="XEV128" s="94"/>
      <c r="XEW128" s="94"/>
      <c r="XEX128" s="94"/>
      <c r="XEY128" s="94"/>
      <c r="XEZ128" s="94"/>
      <c r="XFA128" s="94"/>
      <c r="XFB128" s="94"/>
      <c r="XFC128" s="94"/>
      <c r="XFD128" s="94"/>
    </row>
    <row r="129" ht="15.6" spans="2:43">
      <c r="B129" s="147" t="s">
        <v>31</v>
      </c>
      <c r="C129" s="147" t="s">
        <v>132</v>
      </c>
      <c r="D129" s="107">
        <v>3.20955424426336</v>
      </c>
      <c r="E129" s="107">
        <v>2.9853146890559</v>
      </c>
      <c r="F129" s="107">
        <v>3.20642192786333</v>
      </c>
      <c r="G129" s="107">
        <v>1.46427727616893</v>
      </c>
      <c r="H129" s="107">
        <v>1.50663610153051</v>
      </c>
      <c r="I129" s="107">
        <v>1.89218652334004</v>
      </c>
      <c r="J129" s="107">
        <v>1.56954359167313</v>
      </c>
      <c r="K129" s="107">
        <v>2.40404758554965</v>
      </c>
      <c r="M129" s="147" t="s">
        <v>31</v>
      </c>
      <c r="N129" s="147" t="s">
        <v>132</v>
      </c>
      <c r="O129" s="107">
        <v>-2.63439834377347</v>
      </c>
      <c r="P129" s="107">
        <v>-2.52130406648079</v>
      </c>
      <c r="Q129" s="107">
        <v>-2.51516072386604</v>
      </c>
      <c r="R129" s="107">
        <v>-2.54413973110235</v>
      </c>
      <c r="S129" s="107">
        <v>-1.61299592478058</v>
      </c>
      <c r="T129" s="107">
        <v>-2.15267617170076</v>
      </c>
      <c r="U129" s="107">
        <v>-1.42337308168301</v>
      </c>
      <c r="V129" s="107">
        <v>-2.03839328949653</v>
      </c>
    </row>
    <row r="130" ht="15.15" spans="2:43">
      <c r="B130" s="108"/>
      <c r="C130" s="111"/>
      <c r="D130" s="111"/>
      <c r="E130" s="111"/>
      <c r="F130" s="111"/>
      <c r="G130" s="111"/>
      <c r="H130" s="111"/>
      <c r="I130" s="111"/>
      <c r="J130" s="111"/>
      <c r="K130" s="111"/>
      <c r="M130" s="108"/>
      <c r="N130" s="111"/>
      <c r="O130" s="111"/>
      <c r="P130" s="111"/>
      <c r="Q130" s="111"/>
      <c r="R130" s="111"/>
      <c r="S130" s="111"/>
      <c r="T130" s="111"/>
      <c r="U130" s="111"/>
      <c r="V130" s="111"/>
    </row>
    <row r="139" spans="2:43">
      <c r="X139" s="94"/>
      <c r="Y139" s="94"/>
      <c r="Z139" s="94"/>
      <c r="AA139" s="94"/>
      <c r="AC139" s="94"/>
      <c r="AD139" s="94"/>
      <c r="AE139" s="94"/>
      <c r="AF139" s="94"/>
      <c r="AG139" s="138"/>
      <c r="AH139" s="138"/>
      <c r="AI139" s="94"/>
      <c r="AJ139" s="94"/>
      <c r="AK139" s="94"/>
      <c r="AL139" s="94"/>
      <c r="AM139" s="94"/>
      <c r="AN139" s="94"/>
      <c r="AO139" s="94"/>
      <c r="AP139" s="94"/>
      <c r="AQ139" s="94"/>
    </row>
    <row r="142" spans="2:43">
      <c r="X142" s="94"/>
      <c r="Y142" s="94"/>
      <c r="Z142" s="94"/>
      <c r="AA142" s="94"/>
      <c r="AC142" s="94"/>
      <c r="AD142" s="94"/>
      <c r="AE142" s="94"/>
      <c r="AF142" s="94"/>
      <c r="AG142" s="138"/>
      <c r="AH142" s="138"/>
      <c r="AI142" s="94"/>
      <c r="AJ142" s="94"/>
      <c r="AK142" s="94"/>
      <c r="AL142" s="94"/>
      <c r="AM142" s="94"/>
      <c r="AN142" s="94"/>
      <c r="AO142" s="94"/>
      <c r="AP142" s="94"/>
      <c r="AQ142" s="94"/>
    </row>
    <row r="143" spans="2:43">
      <c r="X143" s="94"/>
      <c r="Y143" s="94"/>
      <c r="Z143" s="94"/>
      <c r="AA143" s="94"/>
      <c r="AC143" s="94"/>
      <c r="AD143" s="94"/>
      <c r="AE143" s="94"/>
      <c r="AF143" s="94"/>
      <c r="AG143" s="138"/>
      <c r="AH143" s="138"/>
      <c r="AI143" s="94"/>
      <c r="AJ143" s="94"/>
      <c r="AK143" s="94"/>
      <c r="AL143" s="94"/>
      <c r="AM143" s="94"/>
      <c r="AN143" s="94"/>
      <c r="AO143" s="94"/>
      <c r="AP143" s="94"/>
      <c r="AQ143" s="94"/>
    </row>
    <row r="157" spans="28:28">
      <c r="AB157" s="101"/>
    </row>
    <row r="158" spans="28:28">
      <c r="AB158" s="101"/>
    </row>
    <row r="159" spans="28:28">
      <c r="AB159" s="101"/>
    </row>
    <row r="162" spans="28:28">
      <c r="AB162" s="101"/>
    </row>
    <row r="163" spans="28:28">
      <c r="AB163" s="101"/>
    </row>
    <row r="204" spans="24:43">
      <c r="Y204" s="96"/>
      <c r="AB204"/>
    </row>
    <row r="205" spans="24:43">
      <c r="Y205" s="96"/>
      <c r="AB205"/>
    </row>
    <row r="206" spans="24:43">
      <c r="X206" s="94"/>
      <c r="Y206" s="94"/>
      <c r="Z206" s="94"/>
      <c r="AA206" s="94"/>
      <c r="AC206" s="94"/>
      <c r="AD206" s="94"/>
      <c r="AE206" s="94"/>
      <c r="AF206" s="94"/>
      <c r="AG206" s="138"/>
      <c r="AH206" s="138"/>
      <c r="AI206" s="94"/>
      <c r="AJ206" s="94"/>
      <c r="AK206" s="94"/>
      <c r="AL206" s="94"/>
      <c r="AM206" s="94"/>
      <c r="AN206" s="94"/>
      <c r="AO206" s="94"/>
      <c r="AP206" s="94"/>
      <c r="AQ206" s="94"/>
    </row>
  </sheetData>
  <mergeCells count="4">
    <mergeCell ref="B2:C2"/>
    <mergeCell ref="M2:N2"/>
    <mergeCell ref="B67:C67"/>
    <mergeCell ref="M67:N67"/>
  </mergeCells>
  <conditionalFormatting sqref="B3">
    <cfRule type="cellIs" dxfId="0" priority="335" operator="equal">
      <formula>0</formula>
    </cfRule>
  </conditionalFormatting>
  <conditionalFormatting sqref="M3">
    <cfRule type="cellIs" dxfId="0" priority="333" operator="equal">
      <formula>0</formula>
    </cfRule>
  </conditionalFormatting>
  <conditionalFormatting sqref="D4">
    <cfRule type="cellIs" dxfId="0" priority="157" operator="equal">
      <formula>0</formula>
    </cfRule>
  </conditionalFormatting>
  <conditionalFormatting sqref="O4">
    <cfRule type="cellIs" dxfId="0" priority="161" operator="equal">
      <formula>0</formula>
    </cfRule>
  </conditionalFormatting>
  <conditionalFormatting sqref="D7">
    <cfRule type="cellIs" dxfId="0" priority="153" operator="equal">
      <formula>0</formula>
    </cfRule>
  </conditionalFormatting>
  <conditionalFormatting sqref="O7">
    <cfRule type="cellIs" dxfId="0" priority="155" operator="equal">
      <formula>0</formula>
    </cfRule>
  </conditionalFormatting>
  <conditionalFormatting sqref="D9">
    <cfRule type="cellIs" dxfId="0" priority="5" operator="equal">
      <formula>0</formula>
    </cfRule>
  </conditionalFormatting>
  <conditionalFormatting sqref="O9">
    <cfRule type="cellIs" dxfId="0" priority="7" operator="equal">
      <formula>0</formula>
    </cfRule>
  </conditionalFormatting>
  <conditionalFormatting sqref="D10">
    <cfRule type="cellIs" dxfId="0" priority="149" operator="equal">
      <formula>0</formula>
    </cfRule>
  </conditionalFormatting>
  <conditionalFormatting sqref="O10">
    <cfRule type="cellIs" dxfId="0" priority="151" operator="equal">
      <formula>0</formula>
    </cfRule>
  </conditionalFormatting>
  <conditionalFormatting sqref="D21">
    <cfRule type="cellIs" dxfId="0" priority="145" operator="equal">
      <formula>0</formula>
    </cfRule>
  </conditionalFormatting>
  <conditionalFormatting sqref="O21">
    <cfRule type="cellIs" dxfId="0" priority="147" operator="equal">
      <formula>0</formula>
    </cfRule>
  </conditionalFormatting>
  <conditionalFormatting sqref="D30">
    <cfRule type="cellIs" dxfId="0" priority="141" operator="equal">
      <formula>0</formula>
    </cfRule>
  </conditionalFormatting>
  <conditionalFormatting sqref="O30">
    <cfRule type="cellIs" dxfId="0" priority="143" operator="equal">
      <formula>0</formula>
    </cfRule>
  </conditionalFormatting>
  <conditionalFormatting sqref="D32">
    <cfRule type="cellIs" dxfId="0" priority="137" operator="equal">
      <formula>0</formula>
    </cfRule>
  </conditionalFormatting>
  <conditionalFormatting sqref="O32">
    <cfRule type="cellIs" dxfId="0" priority="139" operator="equal">
      <formula>0</formula>
    </cfRule>
  </conditionalFormatting>
  <conditionalFormatting sqref="D37">
    <cfRule type="cellIs" dxfId="0" priority="133" operator="equal">
      <formula>0</formula>
    </cfRule>
  </conditionalFormatting>
  <conditionalFormatting sqref="O37">
    <cfRule type="cellIs" dxfId="0" priority="135" operator="equal">
      <formula>0</formula>
    </cfRule>
  </conditionalFormatting>
  <conditionalFormatting sqref="D40">
    <cfRule type="cellIs" dxfId="0" priority="9" operator="equal">
      <formula>0</formula>
    </cfRule>
  </conditionalFormatting>
  <conditionalFormatting sqref="O40">
    <cfRule type="cellIs" dxfId="0" priority="11" operator="equal">
      <formula>0</formula>
    </cfRule>
  </conditionalFormatting>
  <conditionalFormatting sqref="D41">
    <cfRule type="cellIs" dxfId="0" priority="129" operator="equal">
      <formula>0</formula>
    </cfRule>
  </conditionalFormatting>
  <conditionalFormatting sqref="O41">
    <cfRule type="cellIs" dxfId="0" priority="131" operator="equal">
      <formula>0</formula>
    </cfRule>
  </conditionalFormatting>
  <conditionalFormatting sqref="D43">
    <cfRule type="cellIs" dxfId="0" priority="13" operator="equal">
      <formula>0</formula>
    </cfRule>
  </conditionalFormatting>
  <conditionalFormatting sqref="O43">
    <cfRule type="cellIs" dxfId="0" priority="15" operator="equal">
      <formula>0</formula>
    </cfRule>
  </conditionalFormatting>
  <conditionalFormatting sqref="D44">
    <cfRule type="cellIs" dxfId="0" priority="125" operator="equal">
      <formula>0</formula>
    </cfRule>
  </conditionalFormatting>
  <conditionalFormatting sqref="O44">
    <cfRule type="cellIs" dxfId="0" priority="127" operator="equal">
      <formula>0</formula>
    </cfRule>
  </conditionalFormatting>
  <conditionalFormatting sqref="D46">
    <cfRule type="cellIs" dxfId="0" priority="121" operator="equal">
      <formula>0</formula>
    </cfRule>
  </conditionalFormatting>
  <conditionalFormatting sqref="O46">
    <cfRule type="cellIs" dxfId="0" priority="123" operator="equal">
      <formula>0</formula>
    </cfRule>
  </conditionalFormatting>
  <conditionalFormatting sqref="D48">
    <cfRule type="cellIs" dxfId="0" priority="117" operator="equal">
      <formula>0</formula>
    </cfRule>
  </conditionalFormatting>
  <conditionalFormatting sqref="O48">
    <cfRule type="cellIs" dxfId="0" priority="119" operator="equal">
      <formula>0</formula>
    </cfRule>
  </conditionalFormatting>
  <conditionalFormatting sqref="D51">
    <cfRule type="cellIs" dxfId="0" priority="113" operator="equal">
      <formula>0</formula>
    </cfRule>
  </conditionalFormatting>
  <conditionalFormatting sqref="O51">
    <cfRule type="cellIs" dxfId="0" priority="115" operator="equal">
      <formula>0</formula>
    </cfRule>
  </conditionalFormatting>
  <conditionalFormatting sqref="D53">
    <cfRule type="cellIs" dxfId="0" priority="17" operator="equal">
      <formula>0</formula>
    </cfRule>
  </conditionalFormatting>
  <conditionalFormatting sqref="O53">
    <cfRule type="cellIs" dxfId="0" priority="19" operator="equal">
      <formula>0</formula>
    </cfRule>
  </conditionalFormatting>
  <conditionalFormatting sqref="D54">
    <cfRule type="cellIs" dxfId="0" priority="109" operator="equal">
      <formula>0</formula>
    </cfRule>
  </conditionalFormatting>
  <conditionalFormatting sqref="O54">
    <cfRule type="cellIs" dxfId="0" priority="111" operator="equal">
      <formula>0</formula>
    </cfRule>
  </conditionalFormatting>
  <conditionalFormatting sqref="D57">
    <cfRule type="cellIs" dxfId="0" priority="21" operator="equal">
      <formula>0</formula>
    </cfRule>
  </conditionalFormatting>
  <conditionalFormatting sqref="O57">
    <cfRule type="cellIs" dxfId="0" priority="23" operator="equal">
      <formula>0</formula>
    </cfRule>
  </conditionalFormatting>
  <conditionalFormatting sqref="D58">
    <cfRule type="cellIs" dxfId="0" priority="105" operator="equal">
      <formula>0</formula>
    </cfRule>
  </conditionalFormatting>
  <conditionalFormatting sqref="O58">
    <cfRule type="cellIs" dxfId="0" priority="107" operator="equal">
      <formula>0</formula>
    </cfRule>
  </conditionalFormatting>
  <conditionalFormatting sqref="D62">
    <cfRule type="cellIs" dxfId="0" priority="101" operator="equal">
      <formula>0</formula>
    </cfRule>
  </conditionalFormatting>
  <conditionalFormatting sqref="O62">
    <cfRule type="cellIs" dxfId="0" priority="103" operator="equal">
      <formula>0</formula>
    </cfRule>
  </conditionalFormatting>
  <conditionalFormatting sqref="M67">
    <cfRule type="cellIs" dxfId="0" priority="163" operator="equal">
      <formula>0</formula>
    </cfRule>
  </conditionalFormatting>
  <conditionalFormatting sqref="B68">
    <cfRule type="cellIs" dxfId="0" priority="165" operator="equal">
      <formula>0</formula>
    </cfRule>
  </conditionalFormatting>
  <conditionalFormatting sqref="M68">
    <cfRule type="cellIs" dxfId="0" priority="164" operator="equal">
      <formula>0</formula>
    </cfRule>
  </conditionalFormatting>
  <conditionalFormatting sqref="D69">
    <cfRule type="cellIs" dxfId="0" priority="97" operator="equal">
      <formula>0</formula>
    </cfRule>
  </conditionalFormatting>
  <conditionalFormatting sqref="O69">
    <cfRule type="cellIs" dxfId="0" priority="99" operator="equal">
      <formula>0</formula>
    </cfRule>
  </conditionalFormatting>
  <conditionalFormatting sqref="D72">
    <cfRule type="cellIs" dxfId="0" priority="93" operator="equal">
      <formula>0</formula>
    </cfRule>
  </conditionalFormatting>
  <conditionalFormatting sqref="O72">
    <cfRule type="cellIs" dxfId="0" priority="95" operator="equal">
      <formula>0</formula>
    </cfRule>
  </conditionalFormatting>
  <conditionalFormatting sqref="D74">
    <cfRule type="cellIs" dxfId="0" priority="1" operator="equal">
      <formula>0</formula>
    </cfRule>
  </conditionalFormatting>
  <conditionalFormatting sqref="O74">
    <cfRule type="cellIs" dxfId="0" priority="3" operator="equal">
      <formula>0</formula>
    </cfRule>
  </conditionalFormatting>
  <conditionalFormatting sqref="D75">
    <cfRule type="cellIs" dxfId="0" priority="89" operator="equal">
      <formula>0</formula>
    </cfRule>
  </conditionalFormatting>
  <conditionalFormatting sqref="O75">
    <cfRule type="cellIs" dxfId="0" priority="91" operator="equal">
      <formula>0</formula>
    </cfRule>
  </conditionalFormatting>
  <conditionalFormatting sqref="D86">
    <cfRule type="cellIs" dxfId="0" priority="85" operator="equal">
      <formula>0</formula>
    </cfRule>
  </conditionalFormatting>
  <conditionalFormatting sqref="O86">
    <cfRule type="cellIs" dxfId="0" priority="87" operator="equal">
      <formula>0</formula>
    </cfRule>
  </conditionalFormatting>
  <conditionalFormatting sqref="D95">
    <cfRule type="cellIs" dxfId="0" priority="81" operator="equal">
      <formula>0</formula>
    </cfRule>
  </conditionalFormatting>
  <conditionalFormatting sqref="O95">
    <cfRule type="cellIs" dxfId="0" priority="83" operator="equal">
      <formula>0</formula>
    </cfRule>
  </conditionalFormatting>
  <conditionalFormatting sqref="D97">
    <cfRule type="cellIs" dxfId="0" priority="77" operator="equal">
      <formula>0</formula>
    </cfRule>
  </conditionalFormatting>
  <conditionalFormatting sqref="O97">
    <cfRule type="cellIs" dxfId="0" priority="79" operator="equal">
      <formula>0</formula>
    </cfRule>
  </conditionalFormatting>
  <conditionalFormatting sqref="D102">
    <cfRule type="cellIs" dxfId="0" priority="73" operator="equal">
      <formula>0</formula>
    </cfRule>
  </conditionalFormatting>
  <conditionalFormatting sqref="O102">
    <cfRule type="cellIs" dxfId="0" priority="75" operator="equal">
      <formula>0</formula>
    </cfRule>
  </conditionalFormatting>
  <conditionalFormatting sqref="D105">
    <cfRule type="cellIs" dxfId="0" priority="69" operator="equal">
      <formula>0</formula>
    </cfRule>
  </conditionalFormatting>
  <conditionalFormatting sqref="O105">
    <cfRule type="cellIs" dxfId="0" priority="71" operator="equal">
      <formula>0</formula>
    </cfRule>
  </conditionalFormatting>
  <conditionalFormatting sqref="D106">
    <cfRule type="cellIs" dxfId="0" priority="65" operator="equal">
      <formula>0</formula>
    </cfRule>
  </conditionalFormatting>
  <conditionalFormatting sqref="O106">
    <cfRule type="cellIs" dxfId="0" priority="67" operator="equal">
      <formula>0</formula>
    </cfRule>
  </conditionalFormatting>
  <conditionalFormatting sqref="D108">
    <cfRule type="cellIs" dxfId="0" priority="61" operator="equal">
      <formula>0</formula>
    </cfRule>
  </conditionalFormatting>
  <conditionalFormatting sqref="O108">
    <cfRule type="cellIs" dxfId="0" priority="63" operator="equal">
      <formula>0</formula>
    </cfRule>
  </conditionalFormatting>
  <conditionalFormatting sqref="D109">
    <cfRule type="cellIs" dxfId="0" priority="57" operator="equal">
      <formula>0</formula>
    </cfRule>
  </conditionalFormatting>
  <conditionalFormatting sqref="O109">
    <cfRule type="cellIs" dxfId="0" priority="59" operator="equal">
      <formula>0</formula>
    </cfRule>
  </conditionalFormatting>
  <conditionalFormatting sqref="D111">
    <cfRule type="cellIs" dxfId="0" priority="53" operator="equal">
      <formula>0</formula>
    </cfRule>
  </conditionalFormatting>
  <conditionalFormatting sqref="O111">
    <cfRule type="cellIs" dxfId="0" priority="55" operator="equal">
      <formula>0</formula>
    </cfRule>
  </conditionalFormatting>
  <conditionalFormatting sqref="D113">
    <cfRule type="cellIs" dxfId="0" priority="49" operator="equal">
      <formula>0</formula>
    </cfRule>
  </conditionalFormatting>
  <conditionalFormatting sqref="O113">
    <cfRule type="cellIs" dxfId="0" priority="51" operator="equal">
      <formula>0</formula>
    </cfRule>
  </conditionalFormatting>
  <conditionalFormatting sqref="D116">
    <cfRule type="cellIs" dxfId="0" priority="45" operator="equal">
      <formula>0</formula>
    </cfRule>
  </conditionalFormatting>
  <conditionalFormatting sqref="O116">
    <cfRule type="cellIs" dxfId="0" priority="47" operator="equal">
      <formula>0</formula>
    </cfRule>
  </conditionalFormatting>
  <conditionalFormatting sqref="D118">
    <cfRule type="cellIs" dxfId="0" priority="41" operator="equal">
      <formula>0</formula>
    </cfRule>
  </conditionalFormatting>
  <conditionalFormatting sqref="O118">
    <cfRule type="cellIs" dxfId="0" priority="43" operator="equal">
      <formula>0</formula>
    </cfRule>
  </conditionalFormatting>
  <conditionalFormatting sqref="D119">
    <cfRule type="cellIs" dxfId="0" priority="37" operator="equal">
      <formula>0</formula>
    </cfRule>
  </conditionalFormatting>
  <conditionalFormatting sqref="O119">
    <cfRule type="cellIs" dxfId="0" priority="39" operator="equal">
      <formula>0</formula>
    </cfRule>
  </conditionalFormatting>
  <conditionalFormatting sqref="D122">
    <cfRule type="cellIs" dxfId="0" priority="33" operator="equal">
      <formula>0</formula>
    </cfRule>
  </conditionalFormatting>
  <conditionalFormatting sqref="O122">
    <cfRule type="cellIs" dxfId="0" priority="35" operator="equal">
      <formula>0</formula>
    </cfRule>
  </conditionalFormatting>
  <conditionalFormatting sqref="D123">
    <cfRule type="cellIs" dxfId="0" priority="29" operator="equal">
      <formula>0</formula>
    </cfRule>
  </conditionalFormatting>
  <conditionalFormatting sqref="O123">
    <cfRule type="cellIs" dxfId="0" priority="31" operator="equal">
      <formula>0</formula>
    </cfRule>
  </conditionalFormatting>
  <conditionalFormatting sqref="D127">
    <cfRule type="cellIs" dxfId="0" priority="25" operator="equal">
      <formula>0</formula>
    </cfRule>
  </conditionalFormatting>
  <conditionalFormatting sqref="O127">
    <cfRule type="cellIs" dxfId="0" priority="27" operator="equal">
      <formula>0</formula>
    </cfRule>
  </conditionalFormatting>
  <conditionalFormatting sqref="M2 C5:C6 C22:C29 C31 C33:C36 C38:C39 C47 C49:C50 C52 C63:C65 C8 N8 N11:N20 C11:C20 E11:K20 E8:K8 E63:K65 E59:K61 E55:K56 E52:K52 E49:K50 E47:K47 E45:K45 E42:K42 E38:K39 E33:K36 E31:K31 E22:K29 E5:K6 P11:V20 P8:V8 C42 C45 C55:C56 C59:C61 C68 C128:K129 N68 N128:V129 N70:V71 C70:K71 C73:K73 N73:V73 N76:V85 C76:K85 C87:K94 N87:V94 N96:V96 C96:K96 C98:K101 N98:V101 N103:V104 C103:K104 C107:K107 N107:V107 N110:V110 C110:K110 C112:K112 N112:V112 N114:V115 C114:K115 C117:K117 N117:V117 N120:V121 C120:K121 C124:K126 N124:V126">
    <cfRule type="cellIs" dxfId="0" priority="337" operator="equal">
      <formula>0</formula>
    </cfRule>
  </conditionalFormatting>
  <conditionalFormatting sqref="C4 E4:K4">
    <cfRule type="cellIs" dxfId="0" priority="158" operator="equal">
      <formula>0</formula>
    </cfRule>
  </conditionalFormatting>
  <conditionalFormatting sqref="N4 P4:V4">
    <cfRule type="cellIs" dxfId="0" priority="162" operator="equal">
      <formula>0</formula>
    </cfRule>
  </conditionalFormatting>
  <conditionalFormatting sqref="D11:D20 D8 D63:D65 D59:D61 D55:D56 D52 D49:D50 D47 D45 D42 D38:D39 D33:D36 D31 D22:D29 D5:D6">
    <cfRule type="cellIs" dxfId="0" priority="184" operator="equal">
      <formula>0</formula>
    </cfRule>
  </conditionalFormatting>
  <conditionalFormatting sqref="N5:N6 N22:N29 N31 N33:N36 N38:N39 N42 N45 N47 N49:N50 N52 N55:N56 N59:N61 N63:N65 P63:V65 P59:V61 P55:V56 P52:V52 P49:V50 P47:V47 P45:V45 P42:V42 P38:V39 P33:V36 P31:V31 P22:V29 P5:V6">
    <cfRule type="cellIs" dxfId="0" priority="334" operator="equal">
      <formula>0</formula>
    </cfRule>
  </conditionalFormatting>
  <conditionalFormatting sqref="O11:O20 O8 O63:O65 O59:O61 O55:O56 O52 O49:O50 O47 O45 O42 O38:O39 O33:O36 O31 O22:O29 O5:O6">
    <cfRule type="cellIs" dxfId="0" priority="213" operator="equal">
      <formula>0</formula>
    </cfRule>
  </conditionalFormatting>
  <conditionalFormatting sqref="C7 E7:K7">
    <cfRule type="cellIs" dxfId="0" priority="154" operator="equal">
      <formula>0</formula>
    </cfRule>
  </conditionalFormatting>
  <conditionalFormatting sqref="N7 P7:V7">
    <cfRule type="cellIs" dxfId="0" priority="156" operator="equal">
      <formula>0</formula>
    </cfRule>
  </conditionalFormatting>
  <conditionalFormatting sqref="C9 E9:K9">
    <cfRule type="cellIs" dxfId="0" priority="6" operator="equal">
      <formula>0</formula>
    </cfRule>
  </conditionalFormatting>
  <conditionalFormatting sqref="N9 P9:V9">
    <cfRule type="cellIs" dxfId="0" priority="8" operator="equal">
      <formula>0</formula>
    </cfRule>
  </conditionalFormatting>
  <conditionalFormatting sqref="C10 E10:K10">
    <cfRule type="cellIs" dxfId="0" priority="150" operator="equal">
      <formula>0</formula>
    </cfRule>
  </conditionalFormatting>
  <conditionalFormatting sqref="N10 P10:V10">
    <cfRule type="cellIs" dxfId="0" priority="152" operator="equal">
      <formula>0</formula>
    </cfRule>
  </conditionalFormatting>
  <conditionalFormatting sqref="C21 E21:K21">
    <cfRule type="cellIs" dxfId="0" priority="146" operator="equal">
      <formula>0</formula>
    </cfRule>
  </conditionalFormatting>
  <conditionalFormatting sqref="N21 P21:V21">
    <cfRule type="cellIs" dxfId="0" priority="148" operator="equal">
      <formula>0</formula>
    </cfRule>
  </conditionalFormatting>
  <conditionalFormatting sqref="C30 E30:K30">
    <cfRule type="cellIs" dxfId="0" priority="142" operator="equal">
      <formula>0</formula>
    </cfRule>
  </conditionalFormatting>
  <conditionalFormatting sqref="N30 P30:V30">
    <cfRule type="cellIs" dxfId="0" priority="144" operator="equal">
      <formula>0</formula>
    </cfRule>
  </conditionalFormatting>
  <conditionalFormatting sqref="C32 E32:K32">
    <cfRule type="cellIs" dxfId="0" priority="138" operator="equal">
      <formula>0</formula>
    </cfRule>
  </conditionalFormatting>
  <conditionalFormatting sqref="N32 P32:V32">
    <cfRule type="cellIs" dxfId="0" priority="140" operator="equal">
      <formula>0</formula>
    </cfRule>
  </conditionalFormatting>
  <conditionalFormatting sqref="C37 E37:K37">
    <cfRule type="cellIs" dxfId="0" priority="134" operator="equal">
      <formula>0</formula>
    </cfRule>
  </conditionalFormatting>
  <conditionalFormatting sqref="N37 P37:V37">
    <cfRule type="cellIs" dxfId="0" priority="136" operator="equal">
      <formula>0</formula>
    </cfRule>
  </conditionalFormatting>
  <conditionalFormatting sqref="C40 E40:K40">
    <cfRule type="cellIs" dxfId="0" priority="10" operator="equal">
      <formula>0</formula>
    </cfRule>
  </conditionalFormatting>
  <conditionalFormatting sqref="N40 P40:V40">
    <cfRule type="cellIs" dxfId="0" priority="12" operator="equal">
      <formula>0</formula>
    </cfRule>
  </conditionalFormatting>
  <conditionalFormatting sqref="C41 E41:K41">
    <cfRule type="cellIs" dxfId="0" priority="130" operator="equal">
      <formula>0</formula>
    </cfRule>
  </conditionalFormatting>
  <conditionalFormatting sqref="N41 P41:V41">
    <cfRule type="cellIs" dxfId="0" priority="132" operator="equal">
      <formula>0</formula>
    </cfRule>
  </conditionalFormatting>
  <conditionalFormatting sqref="C43 E43:K43">
    <cfRule type="cellIs" dxfId="0" priority="14" operator="equal">
      <formula>0</formula>
    </cfRule>
  </conditionalFormatting>
  <conditionalFormatting sqref="N43 P43:V43">
    <cfRule type="cellIs" dxfId="0" priority="16" operator="equal">
      <formula>0</formula>
    </cfRule>
  </conditionalFormatting>
  <conditionalFormatting sqref="C44 E44:K44">
    <cfRule type="cellIs" dxfId="0" priority="126" operator="equal">
      <formula>0</formula>
    </cfRule>
  </conditionalFormatting>
  <conditionalFormatting sqref="N44 P44:V44">
    <cfRule type="cellIs" dxfId="0" priority="128" operator="equal">
      <formula>0</formula>
    </cfRule>
  </conditionalFormatting>
  <conditionalFormatting sqref="C46 E46:K46">
    <cfRule type="cellIs" dxfId="0" priority="122" operator="equal">
      <formula>0</formula>
    </cfRule>
  </conditionalFormatting>
  <conditionalFormatting sqref="N46 P46:V46">
    <cfRule type="cellIs" dxfId="0" priority="124" operator="equal">
      <formula>0</formula>
    </cfRule>
  </conditionalFormatting>
  <conditionalFormatting sqref="C48 E48:K48">
    <cfRule type="cellIs" dxfId="0" priority="118" operator="equal">
      <formula>0</formula>
    </cfRule>
  </conditionalFormatting>
  <conditionalFormatting sqref="N48 P48:V48">
    <cfRule type="cellIs" dxfId="0" priority="120" operator="equal">
      <formula>0</formula>
    </cfRule>
  </conditionalFormatting>
  <conditionalFormatting sqref="C51 E51:K51">
    <cfRule type="cellIs" dxfId="0" priority="114" operator="equal">
      <formula>0</formula>
    </cfRule>
  </conditionalFormatting>
  <conditionalFormatting sqref="N51 P51:V51">
    <cfRule type="cellIs" dxfId="0" priority="116" operator="equal">
      <formula>0</formula>
    </cfRule>
  </conditionalFormatting>
  <conditionalFormatting sqref="C53 E53:K53">
    <cfRule type="cellIs" dxfId="0" priority="18" operator="equal">
      <formula>0</formula>
    </cfRule>
  </conditionalFormatting>
  <conditionalFormatting sqref="N53 P53:V53">
    <cfRule type="cellIs" dxfId="0" priority="20" operator="equal">
      <formula>0</formula>
    </cfRule>
  </conditionalFormatting>
  <conditionalFormatting sqref="C54 E54:K54">
    <cfRule type="cellIs" dxfId="0" priority="110" operator="equal">
      <formula>0</formula>
    </cfRule>
  </conditionalFormatting>
  <conditionalFormatting sqref="N54 P54:V54">
    <cfRule type="cellIs" dxfId="0" priority="112" operator="equal">
      <formula>0</formula>
    </cfRule>
  </conditionalFormatting>
  <conditionalFormatting sqref="C57 E57:K57">
    <cfRule type="cellIs" dxfId="0" priority="22" operator="equal">
      <formula>0</formula>
    </cfRule>
  </conditionalFormatting>
  <conditionalFormatting sqref="N57 P57:V57">
    <cfRule type="cellIs" dxfId="0" priority="24" operator="equal">
      <formula>0</formula>
    </cfRule>
  </conditionalFormatting>
  <conditionalFormatting sqref="C58 E58:K58">
    <cfRule type="cellIs" dxfId="0" priority="106" operator="equal">
      <formula>0</formula>
    </cfRule>
  </conditionalFormatting>
  <conditionalFormatting sqref="N58 P58:V58">
    <cfRule type="cellIs" dxfId="0" priority="108" operator="equal">
      <formula>0</formula>
    </cfRule>
  </conditionalFormatting>
  <conditionalFormatting sqref="C62 E62:K62">
    <cfRule type="cellIs" dxfId="0" priority="102" operator="equal">
      <formula>0</formula>
    </cfRule>
  </conditionalFormatting>
  <conditionalFormatting sqref="N62 P62:V62">
    <cfRule type="cellIs" dxfId="0" priority="104" operator="equal">
      <formula>0</formula>
    </cfRule>
  </conditionalFormatting>
  <conditionalFormatting sqref="C69 E69:K69">
    <cfRule type="cellIs" dxfId="0" priority="98" operator="equal">
      <formula>0</formula>
    </cfRule>
  </conditionalFormatting>
  <conditionalFormatting sqref="N69 P69:V69">
    <cfRule type="cellIs" dxfId="0" priority="100" operator="equal">
      <formula>0</formula>
    </cfRule>
  </conditionalFormatting>
  <conditionalFormatting sqref="C72 E72:K72">
    <cfRule type="cellIs" dxfId="0" priority="94" operator="equal">
      <formula>0</formula>
    </cfRule>
  </conditionalFormatting>
  <conditionalFormatting sqref="N72 P72:V72">
    <cfRule type="cellIs" dxfId="0" priority="96" operator="equal">
      <formula>0</formula>
    </cfRule>
  </conditionalFormatting>
  <conditionalFormatting sqref="C74 E74:K74">
    <cfRule type="cellIs" dxfId="0" priority="2" operator="equal">
      <formula>0</formula>
    </cfRule>
  </conditionalFormatting>
  <conditionalFormatting sqref="N74 P74:V74">
    <cfRule type="cellIs" dxfId="0" priority="4" operator="equal">
      <formula>0</formula>
    </cfRule>
  </conditionalFormatting>
  <conditionalFormatting sqref="C75 E75:K75">
    <cfRule type="cellIs" dxfId="0" priority="90" operator="equal">
      <formula>0</formula>
    </cfRule>
  </conditionalFormatting>
  <conditionalFormatting sqref="N75 P75:V75">
    <cfRule type="cellIs" dxfId="0" priority="92" operator="equal">
      <formula>0</formula>
    </cfRule>
  </conditionalFormatting>
  <conditionalFormatting sqref="C86 E86:K86">
    <cfRule type="cellIs" dxfId="0" priority="86" operator="equal">
      <formula>0</formula>
    </cfRule>
  </conditionalFormatting>
  <conditionalFormatting sqref="N86 P86:V86">
    <cfRule type="cellIs" dxfId="0" priority="88" operator="equal">
      <formula>0</formula>
    </cfRule>
  </conditionalFormatting>
  <conditionalFormatting sqref="C95 E95:K95">
    <cfRule type="cellIs" dxfId="0" priority="82" operator="equal">
      <formula>0</formula>
    </cfRule>
  </conditionalFormatting>
  <conditionalFormatting sqref="N95 P95:V95">
    <cfRule type="cellIs" dxfId="0" priority="84" operator="equal">
      <formula>0</formula>
    </cfRule>
  </conditionalFormatting>
  <conditionalFormatting sqref="C97 E97:K97">
    <cfRule type="cellIs" dxfId="0" priority="78" operator="equal">
      <formula>0</formula>
    </cfRule>
  </conditionalFormatting>
  <conditionalFormatting sqref="N97 P97:V97">
    <cfRule type="cellIs" dxfId="0" priority="80" operator="equal">
      <formula>0</formula>
    </cfRule>
  </conditionalFormatting>
  <conditionalFormatting sqref="C102 E102:K102">
    <cfRule type="cellIs" dxfId="0" priority="74" operator="equal">
      <formula>0</formula>
    </cfRule>
  </conditionalFormatting>
  <conditionalFormatting sqref="N102 P102:V102">
    <cfRule type="cellIs" dxfId="0" priority="76" operator="equal">
      <formula>0</formula>
    </cfRule>
  </conditionalFormatting>
  <conditionalFormatting sqref="C105 E105:K105">
    <cfRule type="cellIs" dxfId="0" priority="70" operator="equal">
      <formula>0</formula>
    </cfRule>
  </conditionalFormatting>
  <conditionalFormatting sqref="N105 P105:V105">
    <cfRule type="cellIs" dxfId="0" priority="72" operator="equal">
      <formula>0</formula>
    </cfRule>
  </conditionalFormatting>
  <conditionalFormatting sqref="C106 E106:K106">
    <cfRule type="cellIs" dxfId="0" priority="66" operator="equal">
      <formula>0</formula>
    </cfRule>
  </conditionalFormatting>
  <conditionalFormatting sqref="N106 P106:V106">
    <cfRule type="cellIs" dxfId="0" priority="68" operator="equal">
      <formula>0</formula>
    </cfRule>
  </conditionalFormatting>
  <conditionalFormatting sqref="C108 E108:K108">
    <cfRule type="cellIs" dxfId="0" priority="62" operator="equal">
      <formula>0</formula>
    </cfRule>
  </conditionalFormatting>
  <conditionalFormatting sqref="N108 P108:V108">
    <cfRule type="cellIs" dxfId="0" priority="64" operator="equal">
      <formula>0</formula>
    </cfRule>
  </conditionalFormatting>
  <conditionalFormatting sqref="C109 E109:K109">
    <cfRule type="cellIs" dxfId="0" priority="58" operator="equal">
      <formula>0</formula>
    </cfRule>
  </conditionalFormatting>
  <conditionalFormatting sqref="N109 P109:V109">
    <cfRule type="cellIs" dxfId="0" priority="60" operator="equal">
      <formula>0</formula>
    </cfRule>
  </conditionalFormatting>
  <conditionalFormatting sqref="C111 E111:K111">
    <cfRule type="cellIs" dxfId="0" priority="54" operator="equal">
      <formula>0</formula>
    </cfRule>
  </conditionalFormatting>
  <conditionalFormatting sqref="N111 P111:V111">
    <cfRule type="cellIs" dxfId="0" priority="56" operator="equal">
      <formula>0</formula>
    </cfRule>
  </conditionalFormatting>
  <conditionalFormatting sqref="C113 E113:K113">
    <cfRule type="cellIs" dxfId="0" priority="50" operator="equal">
      <formula>0</formula>
    </cfRule>
  </conditionalFormatting>
  <conditionalFormatting sqref="N113 P113:V113">
    <cfRule type="cellIs" dxfId="0" priority="52" operator="equal">
      <formula>0</formula>
    </cfRule>
  </conditionalFormatting>
  <conditionalFormatting sqref="C116 E116:K116">
    <cfRule type="cellIs" dxfId="0" priority="46" operator="equal">
      <formula>0</formula>
    </cfRule>
  </conditionalFormatting>
  <conditionalFormatting sqref="N116 P116:V116">
    <cfRule type="cellIs" dxfId="0" priority="48" operator="equal">
      <formula>0</formula>
    </cfRule>
  </conditionalFormatting>
  <conditionalFormatting sqref="C118 E118:K118">
    <cfRule type="cellIs" dxfId="0" priority="42" operator="equal">
      <formula>0</formula>
    </cfRule>
  </conditionalFormatting>
  <conditionalFormatting sqref="N118 P118:V118">
    <cfRule type="cellIs" dxfId="0" priority="44" operator="equal">
      <formula>0</formula>
    </cfRule>
  </conditionalFormatting>
  <conditionalFormatting sqref="C119 E119:K119">
    <cfRule type="cellIs" dxfId="0" priority="38" operator="equal">
      <formula>0</formula>
    </cfRule>
  </conditionalFormatting>
  <conditionalFormatting sqref="N119 P119:V119">
    <cfRule type="cellIs" dxfId="0" priority="40" operator="equal">
      <formula>0</formula>
    </cfRule>
  </conditionalFormatting>
  <conditionalFormatting sqref="C122 E122:K122">
    <cfRule type="cellIs" dxfId="0" priority="34" operator="equal">
      <formula>0</formula>
    </cfRule>
  </conditionalFormatting>
  <conditionalFormatting sqref="N122 P122:V122">
    <cfRule type="cellIs" dxfId="0" priority="36" operator="equal">
      <formula>0</formula>
    </cfRule>
  </conditionalFormatting>
  <conditionalFormatting sqref="C123 E123:K123">
    <cfRule type="cellIs" dxfId="0" priority="30" operator="equal">
      <formula>0</formula>
    </cfRule>
  </conditionalFormatting>
  <conditionalFormatting sqref="N123 P123:V123">
    <cfRule type="cellIs" dxfId="0" priority="32" operator="equal">
      <formula>0</formula>
    </cfRule>
  </conditionalFormatting>
  <conditionalFormatting sqref="C127 E127:K127">
    <cfRule type="cellIs" dxfId="0" priority="26" operator="equal">
      <formula>0</formula>
    </cfRule>
  </conditionalFormatting>
  <conditionalFormatting sqref="N127 P127:V127">
    <cfRule type="cellIs" dxfId="0" priority="28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9"/>
  <sheetViews>
    <sheetView topLeftCell="B1" workbookViewId="0">
      <selection activeCell="K1" sqref="K1:L20"/>
    </sheetView>
  </sheetViews>
  <sheetFormatPr defaultColWidth="11" defaultRowHeight="14.4"/>
  <cols>
    <col min="1" max="1" width="125.287037037037" customWidth="1"/>
    <col min="5" max="5" width="8.85185185185185" customWidth="1"/>
    <col min="6" max="6" width="9" customWidth="1"/>
    <col min="11" max="11" width="11.287037037037" customWidth="1"/>
    <col min="12" max="12" width="45.5740740740741" customWidth="1"/>
  </cols>
  <sheetData>
    <row r="1" ht="15.6" spans="1:12">
      <c r="A1" s="112" t="s">
        <v>333</v>
      </c>
      <c r="K1" t="s">
        <v>12</v>
      </c>
      <c r="L1" t="s">
        <v>334</v>
      </c>
    </row>
    <row r="2" spans="1:12">
      <c r="A2" s="113" t="s">
        <v>335</v>
      </c>
      <c r="K2" t="s">
        <v>13</v>
      </c>
      <c r="L2" t="s">
        <v>336</v>
      </c>
    </row>
    <row r="3" spans="1:12">
      <c r="A3" s="113" t="s">
        <v>337</v>
      </c>
      <c r="K3" t="s">
        <v>14</v>
      </c>
      <c r="L3" t="s">
        <v>338</v>
      </c>
    </row>
    <row r="4" spans="1:12">
      <c r="A4" s="113" t="s">
        <v>339</v>
      </c>
      <c r="K4" t="s">
        <v>15</v>
      </c>
      <c r="L4" t="s">
        <v>340</v>
      </c>
    </row>
    <row r="5" spans="1:12">
      <c r="A5" s="113" t="s">
        <v>341</v>
      </c>
      <c r="K5" t="s">
        <v>16</v>
      </c>
      <c r="L5" t="s">
        <v>342</v>
      </c>
    </row>
    <row r="6" spans="1:12">
      <c r="A6" s="113" t="s">
        <v>343</v>
      </c>
      <c r="K6" t="s">
        <v>17</v>
      </c>
      <c r="L6" t="s">
        <v>344</v>
      </c>
    </row>
    <row r="7" spans="1:12">
      <c r="A7" s="113" t="s">
        <v>345</v>
      </c>
      <c r="K7" t="s">
        <v>18</v>
      </c>
      <c r="L7" t="s">
        <v>346</v>
      </c>
    </row>
    <row r="8" spans="1:12">
      <c r="A8" s="113" t="s">
        <v>347</v>
      </c>
      <c r="K8" t="s">
        <v>19</v>
      </c>
      <c r="L8" t="s">
        <v>348</v>
      </c>
    </row>
    <row r="9" spans="1:12">
      <c r="A9" s="113" t="s">
        <v>349</v>
      </c>
      <c r="K9" t="s">
        <v>350</v>
      </c>
      <c r="L9" t="s">
        <v>351</v>
      </c>
    </row>
    <row r="10" spans="1:12">
      <c r="A10" s="113" t="s">
        <v>352</v>
      </c>
      <c r="K10" t="s">
        <v>21</v>
      </c>
      <c r="L10" t="s">
        <v>353</v>
      </c>
    </row>
    <row r="11" spans="1:12">
      <c r="A11" s="113" t="s">
        <v>354</v>
      </c>
      <c r="K11" t="s">
        <v>22</v>
      </c>
      <c r="L11" t="s">
        <v>355</v>
      </c>
    </row>
    <row r="12" spans="1:12">
      <c r="A12" s="113" t="s">
        <v>356</v>
      </c>
      <c r="K12" t="s">
        <v>23</v>
      </c>
      <c r="L12" t="s">
        <v>357</v>
      </c>
    </row>
    <row r="13" spans="1:12">
      <c r="A13" s="113" t="s">
        <v>358</v>
      </c>
      <c r="K13" t="s">
        <v>24</v>
      </c>
      <c r="L13" t="s">
        <v>359</v>
      </c>
    </row>
    <row r="14" spans="1:12">
      <c r="A14" s="113" t="s">
        <v>360</v>
      </c>
      <c r="K14" t="s">
        <v>25</v>
      </c>
      <c r="L14" t="s">
        <v>361</v>
      </c>
    </row>
    <row r="15" spans="1:12">
      <c r="A15" s="113" t="s">
        <v>362</v>
      </c>
      <c r="K15" t="s">
        <v>26</v>
      </c>
      <c r="L15" t="s">
        <v>363</v>
      </c>
    </row>
    <row r="16" spans="1:12">
      <c r="A16" s="113" t="s">
        <v>364</v>
      </c>
      <c r="K16" t="s">
        <v>27</v>
      </c>
      <c r="L16" t="s">
        <v>365</v>
      </c>
    </row>
    <row r="17" spans="1:12">
      <c r="A17" s="113" t="s">
        <v>366</v>
      </c>
      <c r="K17" t="s">
        <v>28</v>
      </c>
      <c r="L17" t="s">
        <v>367</v>
      </c>
    </row>
    <row r="18" spans="1:12">
      <c r="A18" s="113" t="s">
        <v>368</v>
      </c>
      <c r="K18" t="s">
        <v>29</v>
      </c>
      <c r="L18" t="s">
        <v>369</v>
      </c>
    </row>
    <row r="19" spans="1:12">
      <c r="A19" s="113" t="s">
        <v>370</v>
      </c>
      <c r="K19" t="s">
        <v>371</v>
      </c>
      <c r="L19" t="s">
        <v>372</v>
      </c>
    </row>
    <row r="20" ht="15.6" spans="1:12">
      <c r="A20" s="112" t="s">
        <v>373</v>
      </c>
      <c r="K20" t="s">
        <v>31</v>
      </c>
      <c r="L20" t="s">
        <v>374</v>
      </c>
    </row>
    <row r="21" spans="1:12">
      <c r="A21" s="113" t="s">
        <v>375</v>
      </c>
    </row>
    <row r="22" spans="1:12">
      <c r="A22" s="113" t="s">
        <v>376</v>
      </c>
    </row>
    <row r="23" spans="1:12">
      <c r="A23" s="113" t="s">
        <v>377</v>
      </c>
    </row>
    <row r="24" spans="1:12">
      <c r="A24" s="113" t="s">
        <v>378</v>
      </c>
    </row>
    <row r="25" spans="1:12">
      <c r="A25" s="113" t="s">
        <v>379</v>
      </c>
    </row>
    <row r="26" spans="1:12">
      <c r="A26" s="113" t="s">
        <v>380</v>
      </c>
    </row>
    <row r="27" spans="1:12">
      <c r="A27" s="113" t="s">
        <v>381</v>
      </c>
    </row>
    <row r="28" spans="1:12">
      <c r="A28" s="113" t="s">
        <v>382</v>
      </c>
    </row>
    <row r="29" ht="15.6" spans="1:12">
      <c r="A29" s="112" t="s">
        <v>383</v>
      </c>
    </row>
    <row r="30" spans="1:12">
      <c r="A30" s="113" t="s">
        <v>384</v>
      </c>
    </row>
    <row r="31" spans="1:12">
      <c r="A31" s="113" t="s">
        <v>385</v>
      </c>
    </row>
    <row r="32" spans="1:12">
      <c r="A32" s="113" t="s">
        <v>386</v>
      </c>
    </row>
    <row r="33" spans="1:1">
      <c r="A33" s="113" t="s">
        <v>387</v>
      </c>
    </row>
    <row r="34" ht="15.6" spans="1:1">
      <c r="A34" s="112" t="s">
        <v>388</v>
      </c>
    </row>
    <row r="35" spans="1:1">
      <c r="A35" s="113" t="s">
        <v>389</v>
      </c>
    </row>
    <row r="36" spans="1:1">
      <c r="A36" s="113" t="s">
        <v>390</v>
      </c>
    </row>
    <row r="37" spans="1:1">
      <c r="A37" s="113" t="s">
        <v>391</v>
      </c>
    </row>
    <row r="38" spans="1:1">
      <c r="A38" s="113" t="s">
        <v>392</v>
      </c>
    </row>
    <row r="39" spans="1:1">
      <c r="A39" s="113" t="s">
        <v>393</v>
      </c>
    </row>
    <row r="40" spans="1:1">
      <c r="A40" s="113" t="s">
        <v>394</v>
      </c>
    </row>
    <row r="41" spans="1:1">
      <c r="A41" s="113" t="s">
        <v>395</v>
      </c>
    </row>
    <row r="42" ht="15.6" spans="1:1">
      <c r="A42" s="112" t="s">
        <v>396</v>
      </c>
    </row>
    <row r="43" spans="1:1">
      <c r="A43" s="113" t="s">
        <v>397</v>
      </c>
    </row>
    <row r="44" spans="1:1">
      <c r="A44" s="113" t="s">
        <v>398</v>
      </c>
    </row>
    <row r="45" ht="15.6" spans="1:1">
      <c r="A45" s="112" t="s">
        <v>399</v>
      </c>
    </row>
    <row r="46" spans="1:1">
      <c r="A46" s="113" t="s">
        <v>400</v>
      </c>
    </row>
    <row r="47" spans="1:1">
      <c r="A47" s="113" t="s">
        <v>401</v>
      </c>
    </row>
    <row r="48" spans="1:1">
      <c r="A48" s="113" t="s">
        <v>402</v>
      </c>
    </row>
    <row r="49" spans="1:1">
      <c r="A49" s="113" t="s">
        <v>403</v>
      </c>
    </row>
    <row r="50" ht="15.6" spans="1:1">
      <c r="A50" s="112" t="s">
        <v>404</v>
      </c>
    </row>
    <row r="51" spans="1:1">
      <c r="A51" s="113" t="s">
        <v>405</v>
      </c>
    </row>
    <row r="52" spans="1:1">
      <c r="A52" s="113" t="s">
        <v>406</v>
      </c>
    </row>
    <row r="53" spans="1:1">
      <c r="A53" s="113" t="s">
        <v>407</v>
      </c>
    </row>
    <row r="54" spans="1:1">
      <c r="A54" s="113" t="s">
        <v>408</v>
      </c>
    </row>
    <row r="55" spans="1:1">
      <c r="A55" s="113" t="s">
        <v>409</v>
      </c>
    </row>
    <row r="56" ht="15.6" spans="1:1">
      <c r="A56" s="112" t="s">
        <v>410</v>
      </c>
    </row>
    <row r="57" spans="1:1">
      <c r="A57" s="113" t="s">
        <v>411</v>
      </c>
    </row>
    <row r="58" spans="1:1">
      <c r="A58" s="113" t="s">
        <v>412</v>
      </c>
    </row>
    <row r="59" spans="1:1">
      <c r="A59" s="113" t="s">
        <v>413</v>
      </c>
    </row>
    <row r="60" spans="1:1">
      <c r="A60" s="113" t="s">
        <v>414</v>
      </c>
    </row>
    <row r="61" spans="1:1">
      <c r="A61" s="113" t="s">
        <v>415</v>
      </c>
    </row>
    <row r="62" spans="1:1">
      <c r="A62" s="113" t="s">
        <v>416</v>
      </c>
    </row>
    <row r="63" spans="1:1">
      <c r="A63" s="113" t="s">
        <v>417</v>
      </c>
    </row>
    <row r="64" spans="1:1">
      <c r="A64" s="113" t="s">
        <v>418</v>
      </c>
    </row>
    <row r="65" ht="15.6" spans="1:11">
      <c r="A65" s="112" t="s">
        <v>419</v>
      </c>
    </row>
    <row r="66" spans="1:11">
      <c r="A66" s="113" t="s">
        <v>420</v>
      </c>
    </row>
    <row r="67" spans="1:11">
      <c r="A67" s="113" t="s">
        <v>421</v>
      </c>
    </row>
    <row r="68" spans="1:11">
      <c r="A68" s="113" t="s">
        <v>422</v>
      </c>
    </row>
    <row r="69" spans="1:11">
      <c r="A69" s="113" t="s">
        <v>423</v>
      </c>
    </row>
    <row r="70" spans="1:11">
      <c r="A70" s="113" t="s">
        <v>424</v>
      </c>
    </row>
    <row r="71" ht="15.15"/>
    <row r="72" ht="29.55" spans="1:11">
      <c r="B72" s="114" t="s">
        <v>425</v>
      </c>
      <c r="C72" s="114" t="s">
        <v>426</v>
      </c>
      <c r="D72" s="114" t="s">
        <v>427</v>
      </c>
      <c r="E72" s="114" t="s">
        <v>428</v>
      </c>
      <c r="F72" s="114" t="s">
        <v>429</v>
      </c>
      <c r="G72" s="115" t="s">
        <v>430</v>
      </c>
      <c r="H72" s="115" t="s">
        <v>431</v>
      </c>
      <c r="I72" s="115" t="s">
        <v>432</v>
      </c>
      <c r="J72" s="115" t="s">
        <v>433</v>
      </c>
      <c r="K72" s="115" t="s">
        <v>434</v>
      </c>
    </row>
    <row r="73" ht="15.6" spans="1:11">
      <c r="B73" s="116" t="s">
        <v>435</v>
      </c>
      <c r="C73" s="117">
        <v>0.620588894352294</v>
      </c>
      <c r="D73" s="117">
        <v>0.407813406451241</v>
      </c>
      <c r="E73" s="117">
        <v>0.924185496650835</v>
      </c>
      <c r="F73" s="117">
        <v>0.638402037203546</v>
      </c>
      <c r="G73" s="118" t="s">
        <v>42</v>
      </c>
      <c r="H73" s="119">
        <v>0.276963899629024</v>
      </c>
      <c r="I73" s="119">
        <v>0.342177388494924</v>
      </c>
      <c r="J73" s="119">
        <v>0.384267815235856</v>
      </c>
      <c r="K73" s="119">
        <v>0.445926625128149</v>
      </c>
    </row>
    <row r="74" ht="15.6" spans="1:11">
      <c r="B74" s="120"/>
      <c r="C74" s="121"/>
      <c r="D74" s="121"/>
      <c r="E74" s="121"/>
      <c r="F74" s="121"/>
      <c r="G74" s="122" t="s">
        <v>44</v>
      </c>
      <c r="H74" s="123">
        <v>0.581528889336161</v>
      </c>
      <c r="I74" s="123">
        <v>0.545903675759757</v>
      </c>
      <c r="J74" s="123">
        <v>0.763086113834499</v>
      </c>
      <c r="K74" s="123">
        <v>0.665850285258451</v>
      </c>
    </row>
    <row r="75" ht="15.6" spans="1:11">
      <c r="B75" s="120"/>
      <c r="C75" s="121"/>
      <c r="D75" s="121"/>
      <c r="E75" s="121"/>
      <c r="F75" s="121"/>
      <c r="G75" s="122" t="s">
        <v>48</v>
      </c>
      <c r="H75" s="123">
        <v>0.566503128638866</v>
      </c>
      <c r="I75" s="123">
        <v>0.52725814665757</v>
      </c>
      <c r="J75" s="123">
        <v>0.907561109655576</v>
      </c>
      <c r="K75" s="123">
        <v>0.736444352609144</v>
      </c>
    </row>
    <row r="76" ht="15.6" spans="1:11">
      <c r="B76" s="120"/>
      <c r="C76" s="121"/>
      <c r="D76" s="121"/>
      <c r="E76" s="121"/>
      <c r="F76" s="121"/>
      <c r="G76" s="122" t="s">
        <v>52</v>
      </c>
      <c r="H76" s="123">
        <v>0.275902190056215</v>
      </c>
      <c r="I76" s="123">
        <v>0.28758141486321</v>
      </c>
      <c r="J76" s="123">
        <v>0.645804403112577</v>
      </c>
      <c r="K76" s="123">
        <v>0.597172762744588</v>
      </c>
    </row>
    <row r="77" ht="15.6" spans="1:11">
      <c r="B77" s="120"/>
      <c r="C77" s="121"/>
      <c r="D77" s="121"/>
      <c r="E77" s="121"/>
      <c r="F77" s="121"/>
      <c r="G77" s="122" t="s">
        <v>54</v>
      </c>
      <c r="H77" s="123">
        <v>0.28850431617736</v>
      </c>
      <c r="I77" s="123">
        <v>0.325061690767455</v>
      </c>
      <c r="J77" s="123">
        <v>0.609313868805347</v>
      </c>
      <c r="K77" s="123">
        <v>0.631822500027164</v>
      </c>
    </row>
    <row r="78" ht="15.6" spans="1:11">
      <c r="B78" s="120"/>
      <c r="C78" s="121"/>
      <c r="D78" s="121"/>
      <c r="E78" s="121"/>
      <c r="F78" s="121"/>
      <c r="G78" s="122" t="s">
        <v>56</v>
      </c>
      <c r="H78" s="123">
        <v>0.728881031054458</v>
      </c>
      <c r="I78" s="123">
        <v>0.837338576306367</v>
      </c>
      <c r="J78" s="123">
        <v>1.12680791053776</v>
      </c>
      <c r="K78" s="123">
        <v>1.0944288407418</v>
      </c>
    </row>
    <row r="79" ht="15.6" spans="1:11">
      <c r="B79" s="120"/>
      <c r="C79" s="121"/>
      <c r="D79" s="121"/>
      <c r="E79" s="121"/>
      <c r="F79" s="121"/>
      <c r="G79" s="122" t="s">
        <v>58</v>
      </c>
      <c r="H79" s="123">
        <v>0.391778559896249</v>
      </c>
      <c r="I79" s="123">
        <v>0.479753346490825</v>
      </c>
      <c r="J79" s="123">
        <v>0.406243837397509</v>
      </c>
      <c r="K79" s="123">
        <v>0.516810905434527</v>
      </c>
    </row>
    <row r="80" ht="15.6" spans="1:11">
      <c r="B80" s="120"/>
      <c r="C80" s="121"/>
      <c r="D80" s="121"/>
      <c r="E80" s="121"/>
      <c r="F80" s="121"/>
      <c r="G80" s="122" t="s">
        <v>62</v>
      </c>
      <c r="H80" s="123">
        <v>0.27838022451761</v>
      </c>
      <c r="I80" s="123">
        <v>0.304039888623102</v>
      </c>
      <c r="J80" s="123">
        <v>0.459513057992992</v>
      </c>
      <c r="K80" s="123">
        <v>0.500392315998604</v>
      </c>
    </row>
    <row r="81" ht="15.6" spans="2:11">
      <c r="B81" s="120"/>
      <c r="C81" s="121"/>
      <c r="D81" s="121"/>
      <c r="E81" s="121"/>
      <c r="F81" s="121"/>
      <c r="G81" s="122" t="s">
        <v>96</v>
      </c>
      <c r="H81" s="123">
        <v>0.342103726777492</v>
      </c>
      <c r="I81" s="123">
        <v>0.270311220426382</v>
      </c>
      <c r="J81" s="123">
        <v>0.359506097141308</v>
      </c>
      <c r="K81" s="123">
        <v>0.299260170202505</v>
      </c>
    </row>
    <row r="82" ht="15.6" spans="2:11">
      <c r="B82" s="120"/>
      <c r="C82" s="121"/>
      <c r="D82" s="121"/>
      <c r="E82" s="121"/>
      <c r="F82" s="121"/>
      <c r="G82" s="122" t="s">
        <v>120</v>
      </c>
      <c r="H82" s="123">
        <v>2.53865987284256</v>
      </c>
      <c r="I82" s="123">
        <v>2.1501214332808</v>
      </c>
      <c r="J82" s="123">
        <v>2.38465086221474</v>
      </c>
      <c r="K82" s="123">
        <v>2.26240444209774</v>
      </c>
    </row>
    <row r="83" ht="16.35" spans="2:11">
      <c r="B83" s="124"/>
      <c r="C83" s="125"/>
      <c r="D83" s="125"/>
      <c r="E83" s="125"/>
      <c r="F83" s="125"/>
      <c r="G83" s="126" t="s">
        <v>128</v>
      </c>
      <c r="H83" s="127">
        <v>1.88784842140095</v>
      </c>
      <c r="I83" s="127">
        <v>1.49910730478493</v>
      </c>
      <c r="J83" s="127">
        <v>0.739998962023013</v>
      </c>
      <c r="K83" s="127">
        <v>1.18691389049687</v>
      </c>
    </row>
    <row r="84" ht="16.35" spans="2:11">
      <c r="B84" s="128" t="s">
        <v>436</v>
      </c>
      <c r="C84" s="129">
        <v>0.77128776090407</v>
      </c>
      <c r="D84" s="129">
        <v>0.869491179138862</v>
      </c>
      <c r="E84" s="129">
        <v>0.845843169508846</v>
      </c>
      <c r="F84" s="129">
        <v>0.809879537786374</v>
      </c>
      <c r="G84" s="130" t="s">
        <v>50</v>
      </c>
      <c r="H84" s="131">
        <v>0.76922829397316</v>
      </c>
      <c r="I84" s="131">
        <v>0.880270531281164</v>
      </c>
      <c r="J84" s="131">
        <v>0.841057162549154</v>
      </c>
      <c r="K84" s="131">
        <v>0.797125374721725</v>
      </c>
    </row>
    <row r="85" ht="16.35" spans="2:11">
      <c r="B85" s="128" t="s">
        <v>437</v>
      </c>
      <c r="C85" s="129">
        <v>0.353872396515447</v>
      </c>
      <c r="D85" s="129">
        <v>0.148604142765317</v>
      </c>
      <c r="E85" s="129">
        <v>0.531623593712759</v>
      </c>
      <c r="F85" s="129">
        <v>0.493925401379561</v>
      </c>
      <c r="G85" s="130" t="s">
        <v>64</v>
      </c>
      <c r="H85" s="131">
        <v>0.340027726078008</v>
      </c>
      <c r="I85" s="131">
        <v>0.339579339387259</v>
      </c>
      <c r="J85" s="131">
        <v>0.507451294015735</v>
      </c>
      <c r="K85" s="131">
        <v>0.568806831016583</v>
      </c>
    </row>
    <row r="86" ht="15.6" spans="2:11">
      <c r="B86" s="116" t="s">
        <v>438</v>
      </c>
      <c r="C86" s="117">
        <v>0.430960388886967</v>
      </c>
      <c r="D86" s="117">
        <v>0.465345226990412</v>
      </c>
      <c r="E86" s="117">
        <v>0.667054231623563</v>
      </c>
      <c r="F86" s="117">
        <v>0.620096091734336</v>
      </c>
      <c r="G86" s="118" t="s">
        <v>42</v>
      </c>
      <c r="H86" s="119">
        <v>0.276963899629024</v>
      </c>
      <c r="I86" s="119">
        <v>0.342177388494924</v>
      </c>
      <c r="J86" s="119">
        <v>0.384267815235856</v>
      </c>
      <c r="K86" s="119">
        <v>0.445926625128149</v>
      </c>
    </row>
    <row r="87" ht="15.6" spans="2:11">
      <c r="B87" s="120"/>
      <c r="C87" s="121"/>
      <c r="D87" s="121"/>
      <c r="E87" s="121"/>
      <c r="F87" s="121"/>
      <c r="G87" s="122" t="s">
        <v>44</v>
      </c>
      <c r="H87" s="123">
        <v>0.581528889336161</v>
      </c>
      <c r="I87" s="123">
        <v>0.545903675759757</v>
      </c>
      <c r="J87" s="123">
        <v>0.763086113834499</v>
      </c>
      <c r="K87" s="123">
        <v>0.665850285258451</v>
      </c>
    </row>
    <row r="88" ht="15.6" spans="2:11">
      <c r="B88" s="120"/>
      <c r="C88" s="121"/>
      <c r="D88" s="121"/>
      <c r="E88" s="121"/>
      <c r="F88" s="121"/>
      <c r="G88" s="122" t="s">
        <v>46</v>
      </c>
      <c r="H88" s="123">
        <v>0.29153061780318</v>
      </c>
      <c r="I88" s="123">
        <v>0.276437730513397</v>
      </c>
      <c r="J88" s="123">
        <v>0.570487048237387</v>
      </c>
      <c r="K88" s="123">
        <v>0.425648104438711</v>
      </c>
    </row>
    <row r="89" ht="15.6" spans="2:11">
      <c r="B89" s="120"/>
      <c r="C89" s="121"/>
      <c r="D89" s="121"/>
      <c r="E89" s="121"/>
      <c r="F89" s="121"/>
      <c r="G89" s="122" t="s">
        <v>48</v>
      </c>
      <c r="H89" s="123">
        <v>0.566503128638866</v>
      </c>
      <c r="I89" s="123">
        <v>0.52725814665757</v>
      </c>
      <c r="J89" s="123">
        <v>0.907561109655576</v>
      </c>
      <c r="K89" s="123">
        <v>0.736444352609144</v>
      </c>
    </row>
    <row r="90" ht="15.6" spans="2:11">
      <c r="B90" s="120"/>
      <c r="C90" s="121"/>
      <c r="D90" s="121"/>
      <c r="E90" s="121"/>
      <c r="F90" s="121"/>
      <c r="G90" s="122" t="s">
        <v>50</v>
      </c>
      <c r="H90" s="123">
        <v>0.76922829397316</v>
      </c>
      <c r="I90" s="123">
        <v>0.880270531281164</v>
      </c>
      <c r="J90" s="123">
        <v>0.841057162549154</v>
      </c>
      <c r="K90" s="123">
        <v>0.797125374721725</v>
      </c>
    </row>
    <row r="91" ht="15.6" spans="2:11">
      <c r="B91" s="120"/>
      <c r="C91" s="121"/>
      <c r="D91" s="121"/>
      <c r="E91" s="121"/>
      <c r="F91" s="121"/>
      <c r="G91" s="122" t="s">
        <v>54</v>
      </c>
      <c r="H91" s="123">
        <v>0.28850431617736</v>
      </c>
      <c r="I91" s="123">
        <v>0.325061690767455</v>
      </c>
      <c r="J91" s="123">
        <v>0.609313868805347</v>
      </c>
      <c r="K91" s="123">
        <v>0.631822500027164</v>
      </c>
    </row>
    <row r="92" ht="15.6" spans="2:11">
      <c r="B92" s="120"/>
      <c r="C92" s="121"/>
      <c r="D92" s="121"/>
      <c r="E92" s="121"/>
      <c r="F92" s="121"/>
      <c r="G92" s="122" t="s">
        <v>56</v>
      </c>
      <c r="H92" s="123">
        <v>0.728881031054458</v>
      </c>
      <c r="I92" s="123">
        <v>0.837338576306367</v>
      </c>
      <c r="J92" s="123">
        <v>1.12680791053776</v>
      </c>
      <c r="K92" s="123">
        <v>1.0944288407418</v>
      </c>
    </row>
    <row r="93" ht="15.6" spans="2:11">
      <c r="B93" s="120"/>
      <c r="C93" s="121"/>
      <c r="D93" s="121"/>
      <c r="E93" s="121"/>
      <c r="F93" s="121"/>
      <c r="G93" s="122" t="s">
        <v>58</v>
      </c>
      <c r="H93" s="123">
        <v>0.391778559896249</v>
      </c>
      <c r="I93" s="123">
        <v>0.479753346490825</v>
      </c>
      <c r="J93" s="123">
        <v>0.406243837397509</v>
      </c>
      <c r="K93" s="123">
        <v>0.516810905434527</v>
      </c>
    </row>
    <row r="94" ht="15.6" spans="2:11">
      <c r="B94" s="120"/>
      <c r="C94" s="121"/>
      <c r="D94" s="121"/>
      <c r="E94" s="121"/>
      <c r="F94" s="121"/>
      <c r="G94" s="122" t="s">
        <v>60</v>
      </c>
      <c r="H94" s="123">
        <v>1.61247230910765</v>
      </c>
      <c r="I94" s="123">
        <v>1.68671349896807</v>
      </c>
      <c r="J94" s="123">
        <v>0.923882862834592</v>
      </c>
      <c r="K94" s="123">
        <v>1.64239761380128</v>
      </c>
    </row>
    <row r="95" ht="15.6" spans="2:11">
      <c r="B95" s="120"/>
      <c r="C95" s="121"/>
      <c r="D95" s="121"/>
      <c r="E95" s="121"/>
      <c r="F95" s="121"/>
      <c r="G95" s="122" t="s">
        <v>62</v>
      </c>
      <c r="H95" s="123">
        <v>0.27838022451761</v>
      </c>
      <c r="I95" s="123">
        <v>0.304039888623102</v>
      </c>
      <c r="J95" s="123">
        <v>0.459513057992992</v>
      </c>
      <c r="K95" s="123">
        <v>0.500392315998604</v>
      </c>
    </row>
    <row r="96" ht="15.6" spans="2:11">
      <c r="B96" s="120"/>
      <c r="C96" s="121"/>
      <c r="D96" s="121"/>
      <c r="E96" s="121"/>
      <c r="F96" s="121"/>
      <c r="G96" s="122" t="s">
        <v>64</v>
      </c>
      <c r="H96" s="123">
        <v>0.340027726078008</v>
      </c>
      <c r="I96" s="123">
        <v>0.339579339387259</v>
      </c>
      <c r="J96" s="123">
        <v>0.507451294015735</v>
      </c>
      <c r="K96" s="123">
        <v>0.568806831016583</v>
      </c>
    </row>
    <row r="97" ht="15.6" spans="2:11">
      <c r="B97" s="120"/>
      <c r="C97" s="121"/>
      <c r="D97" s="121"/>
      <c r="E97" s="121"/>
      <c r="F97" s="121"/>
      <c r="G97" s="122" t="s">
        <v>66</v>
      </c>
      <c r="H97" s="123">
        <v>1.45232261732466</v>
      </c>
      <c r="I97" s="123">
        <v>1.09197476716545</v>
      </c>
      <c r="J97" s="123">
        <v>1.77550235633512</v>
      </c>
      <c r="K97" s="123">
        <v>1.54228014465998</v>
      </c>
    </row>
    <row r="98" ht="15.6" spans="2:11">
      <c r="B98" s="120"/>
      <c r="C98" s="121"/>
      <c r="D98" s="121"/>
      <c r="E98" s="121"/>
      <c r="F98" s="121"/>
      <c r="G98" s="122" t="s">
        <v>68</v>
      </c>
      <c r="H98" s="123">
        <v>2.18078862709864</v>
      </c>
      <c r="I98" s="123">
        <v>1.08103820254554</v>
      </c>
      <c r="J98" s="123"/>
      <c r="K98" s="123">
        <v>0.140766667963863</v>
      </c>
    </row>
    <row r="99" ht="15.6" spans="2:11">
      <c r="B99" s="120"/>
      <c r="C99" s="121"/>
      <c r="D99" s="121"/>
      <c r="E99" s="121"/>
      <c r="F99" s="121"/>
      <c r="G99" s="122" t="s">
        <v>70</v>
      </c>
      <c r="H99" s="123">
        <v>0.909914114232771</v>
      </c>
      <c r="I99" s="123">
        <v>0.950178583146777</v>
      </c>
      <c r="J99" s="123">
        <v>0.911585568572635</v>
      </c>
      <c r="K99" s="123">
        <v>0.960564226143079</v>
      </c>
    </row>
    <row r="100" ht="15.6" spans="2:11">
      <c r="B100" s="120"/>
      <c r="C100" s="121"/>
      <c r="D100" s="121"/>
      <c r="E100" s="121"/>
      <c r="F100" s="121"/>
      <c r="G100" s="122" t="s">
        <v>74</v>
      </c>
      <c r="H100" s="123">
        <v>1.07000970198142</v>
      </c>
      <c r="I100" s="123">
        <v>-0.572603292684486</v>
      </c>
      <c r="J100" s="123">
        <v>0.862089639104117</v>
      </c>
      <c r="K100" s="123">
        <v>0.60631139181772</v>
      </c>
    </row>
    <row r="101" ht="15.6" spans="2:11">
      <c r="B101" s="120"/>
      <c r="C101" s="121"/>
      <c r="D101" s="121"/>
      <c r="E101" s="121"/>
      <c r="F101" s="121"/>
      <c r="G101" s="122" t="s">
        <v>128</v>
      </c>
      <c r="H101" s="123">
        <v>1.88784842140095</v>
      </c>
      <c r="I101" s="123">
        <v>1.49910730478493</v>
      </c>
      <c r="J101" s="123">
        <v>0.739998962023013</v>
      </c>
      <c r="K101" s="123">
        <v>1.18691389049687</v>
      </c>
    </row>
    <row r="102" ht="16.35" spans="2:11">
      <c r="B102" s="124"/>
      <c r="C102" s="125"/>
      <c r="D102" s="125"/>
      <c r="E102" s="125"/>
      <c r="F102" s="125"/>
      <c r="G102" s="126" t="s">
        <v>148</v>
      </c>
      <c r="H102" s="127">
        <v>1.06549999932906</v>
      </c>
      <c r="I102" s="127">
        <v>1.36834275548883</v>
      </c>
      <c r="J102" s="127">
        <v>1.02440845431271</v>
      </c>
      <c r="K102" s="127">
        <v>1.24125364177198</v>
      </c>
    </row>
    <row r="103" ht="15.6" spans="2:11">
      <c r="B103" s="116" t="s">
        <v>439</v>
      </c>
      <c r="C103" s="117">
        <v>1.08221805075543</v>
      </c>
      <c r="D103" s="117">
        <v>1.20510579552906</v>
      </c>
      <c r="E103" s="117">
        <v>1.04712140427493</v>
      </c>
      <c r="F103" s="117">
        <v>1.21314963807347</v>
      </c>
      <c r="G103" s="118" t="s">
        <v>76</v>
      </c>
      <c r="H103" s="119">
        <v>1.17074484601673</v>
      </c>
      <c r="I103" s="119">
        <v>1.45615599710101</v>
      </c>
      <c r="J103" s="119">
        <v>0.980551333220465</v>
      </c>
      <c r="K103" s="119">
        <v>1.27813002791342</v>
      </c>
    </row>
    <row r="104" ht="15.6" spans="2:11">
      <c r="B104" s="120"/>
      <c r="C104" s="121"/>
      <c r="D104" s="121"/>
      <c r="E104" s="121"/>
      <c r="F104" s="121"/>
      <c r="G104" s="122" t="s">
        <v>78</v>
      </c>
      <c r="H104" s="123">
        <v>0.745105718957163</v>
      </c>
      <c r="I104" s="123">
        <v>0.600864305219259</v>
      </c>
      <c r="J104" s="123">
        <v>0.698752386553589</v>
      </c>
      <c r="K104" s="123">
        <v>0.740776156748068</v>
      </c>
    </row>
    <row r="105" ht="15.6" spans="2:11">
      <c r="B105" s="120"/>
      <c r="C105" s="121"/>
      <c r="D105" s="121"/>
      <c r="E105" s="121"/>
      <c r="F105" s="121"/>
      <c r="G105" s="122" t="s">
        <v>80</v>
      </c>
      <c r="H105" s="123">
        <v>0.642710191916917</v>
      </c>
      <c r="I105" s="123">
        <v>1.07757729910054</v>
      </c>
      <c r="J105" s="123">
        <v>0.816921405524862</v>
      </c>
      <c r="K105" s="123">
        <v>1.23518858382423</v>
      </c>
    </row>
    <row r="106" ht="15.6" spans="2:11">
      <c r="B106" s="120"/>
      <c r="C106" s="121"/>
      <c r="D106" s="121"/>
      <c r="E106" s="121"/>
      <c r="F106" s="121"/>
      <c r="G106" s="122" t="s">
        <v>82</v>
      </c>
      <c r="H106" s="123">
        <v>0.699245629049618</v>
      </c>
      <c r="I106" s="123">
        <v>0.986768049170753</v>
      </c>
      <c r="J106" s="123">
        <v>1.01395398544323</v>
      </c>
      <c r="K106" s="123">
        <v>1.11403772089972</v>
      </c>
    </row>
    <row r="107" ht="15.6" spans="2:11">
      <c r="B107" s="120"/>
      <c r="C107" s="121"/>
      <c r="D107" s="121"/>
      <c r="E107" s="121"/>
      <c r="F107" s="121"/>
      <c r="G107" s="122" t="s">
        <v>84</v>
      </c>
      <c r="H107" s="123">
        <v>3.03592009569609</v>
      </c>
      <c r="I107" s="123">
        <v>2.14527661554868</v>
      </c>
      <c r="J107" s="123">
        <v>1.24474504045097</v>
      </c>
      <c r="K107" s="123">
        <v>1.4670552225668</v>
      </c>
    </row>
    <row r="108" ht="15.6" spans="2:11">
      <c r="B108" s="120"/>
      <c r="C108" s="121"/>
      <c r="D108" s="121"/>
      <c r="E108" s="121"/>
      <c r="F108" s="121"/>
      <c r="G108" s="122" t="s">
        <v>86</v>
      </c>
      <c r="H108" s="123">
        <v>0.461630989677769</v>
      </c>
      <c r="I108" s="123">
        <v>0.70803697571161</v>
      </c>
      <c r="J108" s="123">
        <v>0.630689449909599</v>
      </c>
      <c r="K108" s="123">
        <v>1.054621256313</v>
      </c>
    </row>
    <row r="109" ht="15.6" spans="2:11">
      <c r="B109" s="120"/>
      <c r="C109" s="121"/>
      <c r="D109" s="121"/>
      <c r="E109" s="121"/>
      <c r="F109" s="121"/>
      <c r="G109" s="122" t="s">
        <v>88</v>
      </c>
      <c r="H109" s="123">
        <v>1.27848041504505</v>
      </c>
      <c r="I109" s="123">
        <v>1.77303406881874</v>
      </c>
      <c r="J109" s="123">
        <v>2.34952041802067</v>
      </c>
      <c r="K109" s="123">
        <v>2.18154925478732</v>
      </c>
    </row>
    <row r="110" ht="15.6" spans="2:11">
      <c r="B110" s="120"/>
      <c r="C110" s="121"/>
      <c r="D110" s="121"/>
      <c r="E110" s="121"/>
      <c r="F110" s="121"/>
      <c r="G110" s="122" t="s">
        <v>90</v>
      </c>
      <c r="H110" s="123">
        <v>0.858144487909459</v>
      </c>
      <c r="I110" s="123">
        <v>1.1580017269261</v>
      </c>
      <c r="J110" s="123">
        <v>0.956891683506017</v>
      </c>
      <c r="K110" s="123">
        <v>1.19609658556081</v>
      </c>
    </row>
    <row r="111" ht="15.6" spans="2:11">
      <c r="B111" s="120"/>
      <c r="C111" s="121"/>
      <c r="D111" s="121"/>
      <c r="E111" s="121"/>
      <c r="F111" s="121"/>
      <c r="G111" s="122" t="s">
        <v>100</v>
      </c>
      <c r="H111" s="123">
        <v>1.24070630597691</v>
      </c>
      <c r="I111" s="123">
        <v>1.16774939672847</v>
      </c>
      <c r="J111" s="123">
        <v>1.64284119424965</v>
      </c>
      <c r="K111" s="123">
        <v>1.86983279862652</v>
      </c>
    </row>
    <row r="112" ht="15.6" spans="2:11">
      <c r="B112" s="120"/>
      <c r="C112" s="121"/>
      <c r="D112" s="121"/>
      <c r="E112" s="121"/>
      <c r="F112" s="121"/>
      <c r="G112" s="122" t="s">
        <v>139</v>
      </c>
      <c r="H112" s="123">
        <v>1.6186604644239</v>
      </c>
      <c r="I112" s="123">
        <v>2.16538032439947</v>
      </c>
      <c r="J112" s="123">
        <v>1.51521008334039</v>
      </c>
      <c r="K112" s="123">
        <v>2.27175735430468</v>
      </c>
    </row>
    <row r="113" ht="16.35" spans="2:11">
      <c r="B113" s="124"/>
      <c r="C113" s="125"/>
      <c r="D113" s="125"/>
      <c r="E113" s="125"/>
      <c r="F113" s="125"/>
      <c r="G113" s="126" t="s">
        <v>148</v>
      </c>
      <c r="H113" s="127">
        <v>1.06549999932906</v>
      </c>
      <c r="I113" s="127">
        <v>1.36834275548883</v>
      </c>
      <c r="J113" s="127">
        <v>1.02440845431271</v>
      </c>
      <c r="K113" s="127">
        <v>1.24125364177198</v>
      </c>
    </row>
    <row r="114" ht="15.6" spans="2:11">
      <c r="B114" s="116" t="s">
        <v>440</v>
      </c>
      <c r="C114" s="117">
        <v>0.591530101039764</v>
      </c>
      <c r="D114" s="117">
        <v>0.731546076479454</v>
      </c>
      <c r="E114" s="117">
        <v>0.822011921339091</v>
      </c>
      <c r="F114" s="117">
        <v>0.912904437641855</v>
      </c>
      <c r="G114" s="118" t="s">
        <v>96</v>
      </c>
      <c r="H114" s="119">
        <v>0.342103726777492</v>
      </c>
      <c r="I114" s="119">
        <v>0.270311220426382</v>
      </c>
      <c r="J114" s="119">
        <v>0.359506097141308</v>
      </c>
      <c r="K114" s="119">
        <v>0.299260170202505</v>
      </c>
    </row>
    <row r="115" ht="15.6" spans="2:11">
      <c r="B115" s="120"/>
      <c r="C115" s="121"/>
      <c r="D115" s="121"/>
      <c r="E115" s="121"/>
      <c r="F115" s="121"/>
      <c r="G115" s="122" t="s">
        <v>110</v>
      </c>
      <c r="H115" s="123">
        <v>0.575015705761573</v>
      </c>
      <c r="I115" s="123">
        <v>0.577436422700538</v>
      </c>
      <c r="J115" s="123">
        <v>0.76215842293051</v>
      </c>
      <c r="K115" s="123">
        <v>0.890630684287401</v>
      </c>
    </row>
    <row r="116" ht="15.6" spans="2:11">
      <c r="B116" s="120"/>
      <c r="C116" s="121"/>
      <c r="D116" s="121"/>
      <c r="E116" s="121"/>
      <c r="F116" s="121"/>
      <c r="G116" s="122" t="s">
        <v>114</v>
      </c>
      <c r="H116" s="123">
        <v>0.594403534584865</v>
      </c>
      <c r="I116" s="123">
        <v>0.727488777910303</v>
      </c>
      <c r="J116" s="123">
        <v>0.801690112739476</v>
      </c>
      <c r="K116" s="123">
        <v>0.878873039410251</v>
      </c>
    </row>
    <row r="117" ht="15.6" spans="2:11">
      <c r="B117" s="120"/>
      <c r="C117" s="121"/>
      <c r="D117" s="121"/>
      <c r="E117" s="121"/>
      <c r="F117" s="121"/>
      <c r="G117" s="122" t="s">
        <v>116</v>
      </c>
      <c r="H117" s="123">
        <v>0.784556431379533</v>
      </c>
      <c r="I117" s="123">
        <v>0.731117613292527</v>
      </c>
      <c r="J117" s="123">
        <v>0.90242339762316</v>
      </c>
      <c r="K117" s="123">
        <v>0.909042640008349</v>
      </c>
    </row>
    <row r="118" ht="16.35" spans="2:11">
      <c r="B118" s="124"/>
      <c r="C118" s="125"/>
      <c r="D118" s="125"/>
      <c r="E118" s="125"/>
      <c r="F118" s="125"/>
      <c r="G118" s="126" t="s">
        <v>130</v>
      </c>
      <c r="H118" s="127">
        <v>1.84958280623541</v>
      </c>
      <c r="I118" s="127">
        <v>2.1579504264197</v>
      </c>
      <c r="J118" s="127">
        <v>2.23128108970198</v>
      </c>
      <c r="K118" s="127">
        <v>1.32523926908552</v>
      </c>
    </row>
    <row r="119" ht="15.6" spans="2:11">
      <c r="B119" s="116" t="s">
        <v>441</v>
      </c>
      <c r="C119" s="117">
        <v>2.40928664451619</v>
      </c>
      <c r="D119" s="117">
        <v>1.92253961507278</v>
      </c>
      <c r="E119" s="117">
        <v>2.15495401759374</v>
      </c>
      <c r="F119" s="117">
        <v>1.86662661964036</v>
      </c>
      <c r="G119" s="118" t="s">
        <v>84</v>
      </c>
      <c r="H119" s="119">
        <v>3.03592009569609</v>
      </c>
      <c r="I119" s="119">
        <v>2.14527661554868</v>
      </c>
      <c r="J119" s="119">
        <v>1.24474504045097</v>
      </c>
      <c r="K119" s="119">
        <v>1.4670552225668</v>
      </c>
    </row>
    <row r="120" ht="15.6" spans="2:11">
      <c r="B120" s="120"/>
      <c r="C120" s="121"/>
      <c r="D120" s="121"/>
      <c r="E120" s="121"/>
      <c r="F120" s="121"/>
      <c r="G120" s="122" t="s">
        <v>96</v>
      </c>
      <c r="H120" s="123">
        <v>0.342103726777492</v>
      </c>
      <c r="I120" s="123">
        <v>0.270311220426382</v>
      </c>
      <c r="J120" s="123">
        <v>0.359506097141308</v>
      </c>
      <c r="K120" s="123">
        <v>0.299260170202505</v>
      </c>
    </row>
    <row r="121" ht="15.6" spans="2:11">
      <c r="B121" s="120"/>
      <c r="C121" s="121"/>
      <c r="D121" s="121"/>
      <c r="E121" s="121"/>
      <c r="F121" s="121"/>
      <c r="G121" s="122" t="s">
        <v>102</v>
      </c>
      <c r="H121" s="123">
        <v>0.744434963041938</v>
      </c>
      <c r="I121" s="123">
        <v>0.814450657692831</v>
      </c>
      <c r="J121" s="123">
        <v>0.844012690659278</v>
      </c>
      <c r="K121" s="123">
        <v>1.041574797018</v>
      </c>
    </row>
    <row r="122" ht="15.6" spans="2:11">
      <c r="B122" s="120"/>
      <c r="C122" s="121"/>
      <c r="D122" s="121"/>
      <c r="E122" s="121"/>
      <c r="F122" s="121"/>
      <c r="G122" s="122" t="s">
        <v>104</v>
      </c>
      <c r="H122" s="123">
        <v>0.825778143098889</v>
      </c>
      <c r="I122" s="123">
        <v>0.810134918603108</v>
      </c>
      <c r="J122" s="123">
        <v>1.28609210126706</v>
      </c>
      <c r="K122" s="123">
        <v>0.967354101027531</v>
      </c>
    </row>
    <row r="123" ht="15.6" spans="2:11">
      <c r="B123" s="120"/>
      <c r="C123" s="121"/>
      <c r="D123" s="121"/>
      <c r="E123" s="121"/>
      <c r="F123" s="121"/>
      <c r="G123" s="122" t="s">
        <v>106</v>
      </c>
      <c r="H123" s="123">
        <v>1.01445784201722</v>
      </c>
      <c r="I123" s="123">
        <v>1.02484987872472</v>
      </c>
      <c r="J123" s="123">
        <v>1.10719149070272</v>
      </c>
      <c r="K123" s="123">
        <v>0.442951846980615</v>
      </c>
    </row>
    <row r="124" ht="15.6" spans="2:11">
      <c r="B124" s="120"/>
      <c r="C124" s="121"/>
      <c r="D124" s="121"/>
      <c r="E124" s="121"/>
      <c r="F124" s="121"/>
      <c r="G124" s="122" t="s">
        <v>108</v>
      </c>
      <c r="H124" s="123">
        <v>1.58188897200803</v>
      </c>
      <c r="I124" s="123">
        <v>0.426006298981053</v>
      </c>
      <c r="J124" s="123">
        <v>1.26030581933511</v>
      </c>
      <c r="K124" s="123">
        <v>1.48297157930011</v>
      </c>
    </row>
    <row r="125" ht="15.6" spans="2:11">
      <c r="B125" s="120"/>
      <c r="C125" s="121"/>
      <c r="D125" s="121"/>
      <c r="E125" s="121"/>
      <c r="F125" s="121"/>
      <c r="G125" s="122" t="s">
        <v>114</v>
      </c>
      <c r="H125" s="123">
        <v>0.594403534584865</v>
      </c>
      <c r="I125" s="123">
        <v>0.727488777910303</v>
      </c>
      <c r="J125" s="123">
        <v>0.801690112739476</v>
      </c>
      <c r="K125" s="123">
        <v>0.878873039410251</v>
      </c>
    </row>
    <row r="126" ht="15.6" spans="2:11">
      <c r="B126" s="120"/>
      <c r="C126" s="121"/>
      <c r="D126" s="121"/>
      <c r="E126" s="121"/>
      <c r="F126" s="121"/>
      <c r="G126" s="122" t="s">
        <v>116</v>
      </c>
      <c r="H126" s="123">
        <v>0.784556431379533</v>
      </c>
      <c r="I126" s="123">
        <v>0.731117613292527</v>
      </c>
      <c r="J126" s="123">
        <v>0.90242339762316</v>
      </c>
      <c r="K126" s="123">
        <v>0.909042640008349</v>
      </c>
    </row>
    <row r="127" ht="15.6" spans="2:11">
      <c r="B127" s="120"/>
      <c r="C127" s="121"/>
      <c r="D127" s="121"/>
      <c r="E127" s="121"/>
      <c r="F127" s="121"/>
      <c r="G127" s="122" t="s">
        <v>120</v>
      </c>
      <c r="H127" s="123">
        <v>2.53865987284256</v>
      </c>
      <c r="I127" s="123">
        <v>2.1501214332808</v>
      </c>
      <c r="J127" s="123">
        <v>2.38465086221474</v>
      </c>
      <c r="K127" s="123">
        <v>2.26240444209774</v>
      </c>
    </row>
    <row r="128" ht="15.6" spans="2:11">
      <c r="B128" s="120"/>
      <c r="C128" s="121"/>
      <c r="D128" s="121"/>
      <c r="E128" s="121"/>
      <c r="F128" s="121"/>
      <c r="G128" s="122" t="s">
        <v>124</v>
      </c>
      <c r="H128" s="123">
        <v>1.19017844990336</v>
      </c>
      <c r="I128" s="123">
        <v>1.11427864648024</v>
      </c>
      <c r="J128" s="123">
        <v>1.48854194125678</v>
      </c>
      <c r="K128" s="123">
        <v>1.22786342765335</v>
      </c>
    </row>
    <row r="129" ht="15.6" spans="2:11">
      <c r="B129" s="120"/>
      <c r="C129" s="121"/>
      <c r="D129" s="121"/>
      <c r="E129" s="121"/>
      <c r="F129" s="121"/>
      <c r="G129" s="122" t="s">
        <v>126</v>
      </c>
      <c r="H129" s="123">
        <v>1.29855898111331</v>
      </c>
      <c r="I129" s="123">
        <v>1.39940483261523</v>
      </c>
      <c r="J129" s="123">
        <v>0.851272813384698</v>
      </c>
      <c r="K129" s="123">
        <v>1.55495052909514</v>
      </c>
    </row>
    <row r="130" ht="15.6" spans="2:11">
      <c r="B130" s="120"/>
      <c r="C130" s="121"/>
      <c r="D130" s="121"/>
      <c r="E130" s="121"/>
      <c r="F130" s="121"/>
      <c r="G130" s="122" t="s">
        <v>137</v>
      </c>
      <c r="H130" s="123">
        <v>2.59739328102105</v>
      </c>
      <c r="I130" s="123">
        <v>2.84515146018305</v>
      </c>
      <c r="J130" s="123">
        <v>2.21908146098485</v>
      </c>
      <c r="K130" s="123">
        <v>2.28678093376855</v>
      </c>
    </row>
    <row r="131" ht="16.35" spans="2:11">
      <c r="B131" s="124"/>
      <c r="C131" s="125"/>
      <c r="D131" s="125"/>
      <c r="E131" s="125"/>
      <c r="F131" s="125"/>
      <c r="G131" s="126" t="s">
        <v>140</v>
      </c>
      <c r="H131" s="127">
        <v>1.40105571185635</v>
      </c>
      <c r="I131" s="127">
        <v>1.93487849725639</v>
      </c>
      <c r="J131" s="127">
        <v>0.947424088739412</v>
      </c>
      <c r="K131" s="127">
        <v>0.908829082784731</v>
      </c>
    </row>
    <row r="132" ht="15.6" spans="2:11">
      <c r="B132" s="116" t="s">
        <v>442</v>
      </c>
      <c r="C132" s="117">
        <v>1.47523670265364</v>
      </c>
      <c r="D132" s="117">
        <v>1.42906652402536</v>
      </c>
      <c r="E132" s="117">
        <v>1.35740047071865</v>
      </c>
      <c r="F132" s="117">
        <v>1.80317116426516</v>
      </c>
      <c r="G132" s="118" t="s">
        <v>100</v>
      </c>
      <c r="H132" s="119">
        <v>1.24070630597691</v>
      </c>
      <c r="I132" s="119">
        <v>1.16774939672847</v>
      </c>
      <c r="J132" s="119">
        <v>1.64284119424965</v>
      </c>
      <c r="K132" s="119">
        <v>1.86983279862652</v>
      </c>
    </row>
    <row r="133" ht="15.6" spans="2:11">
      <c r="B133" s="120"/>
      <c r="C133" s="121"/>
      <c r="D133" s="121"/>
      <c r="E133" s="121"/>
      <c r="F133" s="121"/>
      <c r="G133" s="122" t="s">
        <v>102</v>
      </c>
      <c r="H133" s="123">
        <v>0.744434963041938</v>
      </c>
      <c r="I133" s="123">
        <v>0.814450657692831</v>
      </c>
      <c r="J133" s="123">
        <v>0.844012690659278</v>
      </c>
      <c r="K133" s="123">
        <v>1.041574797018</v>
      </c>
    </row>
    <row r="134" ht="15.6" spans="2:11">
      <c r="B134" s="120"/>
      <c r="C134" s="121"/>
      <c r="D134" s="121"/>
      <c r="E134" s="121"/>
      <c r="F134" s="121"/>
      <c r="G134" s="122" t="s">
        <v>110</v>
      </c>
      <c r="H134" s="123">
        <v>0.575015705761573</v>
      </c>
      <c r="I134" s="123">
        <v>0.577436422700538</v>
      </c>
      <c r="J134" s="123">
        <v>0.76215842293051</v>
      </c>
      <c r="K134" s="123">
        <v>0.890630684287401</v>
      </c>
    </row>
    <row r="135" ht="15.6" spans="2:11">
      <c r="B135" s="120"/>
      <c r="C135" s="121"/>
      <c r="D135" s="121"/>
      <c r="E135" s="121"/>
      <c r="F135" s="121"/>
      <c r="G135" s="122" t="s">
        <v>126</v>
      </c>
      <c r="H135" s="123">
        <v>1.29855898111331</v>
      </c>
      <c r="I135" s="123">
        <v>1.39940483261523</v>
      </c>
      <c r="J135" s="123">
        <v>0.851272813384698</v>
      </c>
      <c r="K135" s="123">
        <v>1.55495052909514</v>
      </c>
    </row>
    <row r="136" ht="15.6" spans="2:11">
      <c r="B136" s="120"/>
      <c r="C136" s="121"/>
      <c r="D136" s="121"/>
      <c r="E136" s="121"/>
      <c r="F136" s="121"/>
      <c r="G136" s="122" t="s">
        <v>128</v>
      </c>
      <c r="H136" s="123">
        <v>1.88784842140095</v>
      </c>
      <c r="I136" s="123">
        <v>1.49910730478493</v>
      </c>
      <c r="J136" s="123">
        <v>0.739998962023013</v>
      </c>
      <c r="K136" s="123">
        <v>1.18691389049687</v>
      </c>
    </row>
    <row r="137" ht="15.6" spans="2:11">
      <c r="B137" s="120"/>
      <c r="C137" s="121"/>
      <c r="D137" s="121"/>
      <c r="E137" s="121"/>
      <c r="F137" s="121"/>
      <c r="G137" s="122" t="s">
        <v>130</v>
      </c>
      <c r="H137" s="123">
        <v>1.84958280623541</v>
      </c>
      <c r="I137" s="123">
        <v>2.1579504264197</v>
      </c>
      <c r="J137" s="123">
        <v>2.23128108970198</v>
      </c>
      <c r="K137" s="123">
        <v>1.32523926908552</v>
      </c>
    </row>
    <row r="138" ht="15.6" spans="2:11">
      <c r="B138" s="120"/>
      <c r="C138" s="121"/>
      <c r="D138" s="121"/>
      <c r="E138" s="121"/>
      <c r="F138" s="121"/>
      <c r="G138" s="122" t="s">
        <v>137</v>
      </c>
      <c r="H138" s="123">
        <v>2.59739328102105</v>
      </c>
      <c r="I138" s="123">
        <v>2.84515146018305</v>
      </c>
      <c r="J138" s="123">
        <v>2.21908146098485</v>
      </c>
      <c r="K138" s="123">
        <v>2.28678093376855</v>
      </c>
    </row>
    <row r="139" ht="15.6" spans="2:11">
      <c r="B139" s="120"/>
      <c r="C139" s="121"/>
      <c r="D139" s="121"/>
      <c r="E139" s="121"/>
      <c r="F139" s="121"/>
      <c r="G139" s="122" t="s">
        <v>138</v>
      </c>
      <c r="H139" s="123">
        <v>1.96275269651022</v>
      </c>
      <c r="I139" s="123">
        <v>1.55641570978752</v>
      </c>
      <c r="J139" s="123">
        <v>3.78450290386667</v>
      </c>
      <c r="K139" s="123">
        <v>0.476286925748255</v>
      </c>
    </row>
    <row r="140" ht="16.35" spans="2:11">
      <c r="B140" s="124"/>
      <c r="C140" s="125"/>
      <c r="D140" s="125"/>
      <c r="E140" s="125"/>
      <c r="F140" s="125"/>
      <c r="G140" s="126" t="s">
        <v>140</v>
      </c>
      <c r="H140" s="127">
        <v>1.40105571185635</v>
      </c>
      <c r="I140" s="127">
        <v>1.93487849725639</v>
      </c>
      <c r="J140" s="127">
        <v>0.947424088739412</v>
      </c>
      <c r="K140" s="127">
        <v>0.908829082784731</v>
      </c>
    </row>
    <row r="141" ht="15.6" spans="2:11">
      <c r="B141" s="116" t="s">
        <v>443</v>
      </c>
      <c r="C141" s="117">
        <v>1.77733856796141</v>
      </c>
      <c r="D141" s="117">
        <v>1.11218145961075</v>
      </c>
      <c r="E141" s="117">
        <v>1.3274723417346</v>
      </c>
      <c r="F141" s="117">
        <v>1.12229337816576</v>
      </c>
      <c r="G141" s="118" t="s">
        <v>96</v>
      </c>
      <c r="H141" s="119">
        <v>0.342103726777492</v>
      </c>
      <c r="I141" s="119">
        <v>0.270311220426382</v>
      </c>
      <c r="J141" s="119">
        <v>0.359506097141308</v>
      </c>
      <c r="K141" s="119">
        <v>0.299260170202505</v>
      </c>
    </row>
    <row r="142" ht="16.35" spans="2:11">
      <c r="B142" s="124"/>
      <c r="C142" s="125"/>
      <c r="D142" s="125"/>
      <c r="E142" s="125"/>
      <c r="F142" s="125"/>
      <c r="G142" s="126" t="s">
        <v>120</v>
      </c>
      <c r="H142" s="127">
        <v>2.53865987284256</v>
      </c>
      <c r="I142" s="127">
        <v>2.1501214332808</v>
      </c>
      <c r="J142" s="127">
        <v>2.38465086221474</v>
      </c>
      <c r="K142" s="127">
        <v>2.26240444209774</v>
      </c>
    </row>
    <row r="143" ht="16.35" spans="2:11">
      <c r="B143" s="128" t="s">
        <v>444</v>
      </c>
      <c r="C143" s="129">
        <v>0.365630765951188</v>
      </c>
      <c r="D143" s="129">
        <v>0.321619215338123</v>
      </c>
      <c r="E143" s="129">
        <v>0.44256640680919</v>
      </c>
      <c r="F143" s="129">
        <v>0.363034297493917</v>
      </c>
      <c r="G143" s="130" t="s">
        <v>96</v>
      </c>
      <c r="H143" s="131">
        <v>0.342103726777492</v>
      </c>
      <c r="I143" s="131">
        <v>0.270311220426382</v>
      </c>
      <c r="J143" s="131">
        <v>0.359506097141308</v>
      </c>
      <c r="K143" s="131">
        <v>0.299260170202505</v>
      </c>
    </row>
    <row r="144" ht="16.35" spans="2:11">
      <c r="B144" s="128" t="s">
        <v>445</v>
      </c>
      <c r="C144" s="129">
        <v>0.956632821032886</v>
      </c>
      <c r="D144" s="129">
        <v>0.911449715879028</v>
      </c>
      <c r="E144" s="129">
        <v>0.861570965657881</v>
      </c>
      <c r="F144" s="129">
        <v>1.38269224955925</v>
      </c>
      <c r="G144" s="130" t="s">
        <v>94</v>
      </c>
      <c r="H144" s="131">
        <v>0.956632821032889</v>
      </c>
      <c r="I144" s="131">
        <v>0.911449715879037</v>
      </c>
      <c r="J144" s="131">
        <v>0.861570965657882</v>
      </c>
      <c r="K144" s="131">
        <v>1.38269224955924</v>
      </c>
    </row>
    <row r="145" ht="15.6" spans="2:11">
      <c r="B145" s="116" t="s">
        <v>446</v>
      </c>
      <c r="C145" s="117">
        <v>3.12995241905656</v>
      </c>
      <c r="D145" s="117">
        <v>1.63999905274805</v>
      </c>
      <c r="E145" s="117">
        <v>2.98005242105337</v>
      </c>
      <c r="F145" s="117">
        <v>2.23157185606818</v>
      </c>
      <c r="G145" s="118" t="s">
        <v>90</v>
      </c>
      <c r="H145" s="119">
        <v>0.858144487909459</v>
      </c>
      <c r="I145" s="119">
        <v>1.1580017269261</v>
      </c>
      <c r="J145" s="119">
        <v>0.956891683506017</v>
      </c>
      <c r="K145" s="119">
        <v>1.19609658556081</v>
      </c>
    </row>
    <row r="146" ht="15.6" spans="2:11">
      <c r="B146" s="120"/>
      <c r="C146" s="121"/>
      <c r="D146" s="121"/>
      <c r="E146" s="121"/>
      <c r="F146" s="121"/>
      <c r="G146" s="122" t="s">
        <v>102</v>
      </c>
      <c r="H146" s="123">
        <v>0.744434963041938</v>
      </c>
      <c r="I146" s="123">
        <v>0.814450657692831</v>
      </c>
      <c r="J146" s="123">
        <v>0.844012690659278</v>
      </c>
      <c r="K146" s="123">
        <v>1.041574797018</v>
      </c>
    </row>
    <row r="147" ht="15.6" spans="2:11">
      <c r="B147" s="120"/>
      <c r="C147" s="121"/>
      <c r="D147" s="121"/>
      <c r="E147" s="121"/>
      <c r="F147" s="121"/>
      <c r="G147" s="122" t="s">
        <v>104</v>
      </c>
      <c r="H147" s="123">
        <v>0.825778143098889</v>
      </c>
      <c r="I147" s="123">
        <v>0.810134918603108</v>
      </c>
      <c r="J147" s="123">
        <v>1.28609210126706</v>
      </c>
      <c r="K147" s="123">
        <v>0.967354101027531</v>
      </c>
    </row>
    <row r="148" ht="15.6" spans="2:11">
      <c r="B148" s="120"/>
      <c r="C148" s="121"/>
      <c r="D148" s="121"/>
      <c r="E148" s="121"/>
      <c r="F148" s="121"/>
      <c r="G148" s="122" t="s">
        <v>106</v>
      </c>
      <c r="H148" s="123">
        <v>1.01445784201722</v>
      </c>
      <c r="I148" s="123">
        <v>1.02484987872472</v>
      </c>
      <c r="J148" s="123">
        <v>1.10719149070272</v>
      </c>
      <c r="K148" s="123">
        <v>0.442951846980615</v>
      </c>
    </row>
    <row r="149" ht="15.6" spans="2:11">
      <c r="B149" s="120"/>
      <c r="C149" s="121"/>
      <c r="D149" s="121"/>
      <c r="E149" s="121"/>
      <c r="F149" s="121"/>
      <c r="G149" s="122" t="s">
        <v>120</v>
      </c>
      <c r="H149" s="123">
        <v>2.53865987284256</v>
      </c>
      <c r="I149" s="123">
        <v>2.1501214332808</v>
      </c>
      <c r="J149" s="123">
        <v>2.38465086221474</v>
      </c>
      <c r="K149" s="123">
        <v>2.26240444209774</v>
      </c>
    </row>
    <row r="150" ht="16.35" spans="2:11">
      <c r="B150" s="124"/>
      <c r="C150" s="125"/>
      <c r="D150" s="125"/>
      <c r="E150" s="125"/>
      <c r="F150" s="125"/>
      <c r="G150" s="126" t="s">
        <v>128</v>
      </c>
      <c r="H150" s="127">
        <v>1.88784842140095</v>
      </c>
      <c r="I150" s="127">
        <v>1.49910730478493</v>
      </c>
      <c r="J150" s="127">
        <v>0.739998962023013</v>
      </c>
      <c r="K150" s="127">
        <v>1.18691389049687</v>
      </c>
    </row>
    <row r="151" ht="15.6" spans="2:11">
      <c r="B151" s="116" t="s">
        <v>447</v>
      </c>
      <c r="C151" s="117">
        <v>1.26492367297862</v>
      </c>
      <c r="D151" s="117">
        <v>1.08081262911986</v>
      </c>
      <c r="E151" s="117">
        <v>1.25115619460675</v>
      </c>
      <c r="F151" s="117">
        <v>1.27399194147042</v>
      </c>
      <c r="G151" s="118" t="s">
        <v>50</v>
      </c>
      <c r="H151" s="119">
        <v>0.76922829397316</v>
      </c>
      <c r="I151" s="119">
        <v>0.880270531281164</v>
      </c>
      <c r="J151" s="119">
        <v>0.841057162549154</v>
      </c>
      <c r="K151" s="119">
        <v>0.797125374721725</v>
      </c>
    </row>
    <row r="152" ht="15.6" spans="2:11">
      <c r="B152" s="120"/>
      <c r="C152" s="121"/>
      <c r="D152" s="121"/>
      <c r="E152" s="121"/>
      <c r="F152" s="121"/>
      <c r="G152" s="122" t="s">
        <v>52</v>
      </c>
      <c r="H152" s="123">
        <v>0.275902190056215</v>
      </c>
      <c r="I152" s="123">
        <v>0.28758141486321</v>
      </c>
      <c r="J152" s="123">
        <v>0.645804403112577</v>
      </c>
      <c r="K152" s="123">
        <v>0.597172762744588</v>
      </c>
    </row>
    <row r="153" ht="15.6" spans="2:11">
      <c r="B153" s="120"/>
      <c r="C153" s="121"/>
      <c r="D153" s="121"/>
      <c r="E153" s="121"/>
      <c r="F153" s="121"/>
      <c r="G153" s="122" t="s">
        <v>70</v>
      </c>
      <c r="H153" s="123">
        <v>0.909914114232771</v>
      </c>
      <c r="I153" s="123">
        <v>0.950178583146777</v>
      </c>
      <c r="J153" s="123">
        <v>0.911585568572635</v>
      </c>
      <c r="K153" s="123">
        <v>0.960564226143079</v>
      </c>
    </row>
    <row r="154" ht="15.6" spans="2:11">
      <c r="B154" s="120"/>
      <c r="C154" s="121"/>
      <c r="D154" s="121"/>
      <c r="E154" s="121"/>
      <c r="F154" s="121"/>
      <c r="G154" s="122" t="s">
        <v>132</v>
      </c>
      <c r="H154" s="123">
        <v>1.87845057927081</v>
      </c>
      <c r="I154" s="123">
        <v>2.18074868639965</v>
      </c>
      <c r="J154" s="123">
        <v>0.950362850157381</v>
      </c>
      <c r="K154" s="123">
        <v>2.25141753589791</v>
      </c>
    </row>
    <row r="155" ht="16.35" spans="2:11">
      <c r="B155" s="124"/>
      <c r="C155" s="125"/>
      <c r="D155" s="125"/>
      <c r="E155" s="125"/>
      <c r="F155" s="125"/>
      <c r="G155" s="126" t="s">
        <v>141</v>
      </c>
      <c r="H155" s="127">
        <v>1.57334125374736</v>
      </c>
      <c r="I155" s="127">
        <v>1.59169152489361</v>
      </c>
      <c r="J155" s="127">
        <v>1.52678607187108</v>
      </c>
      <c r="K155" s="127">
        <v>1.49221628430084</v>
      </c>
    </row>
    <row r="156" ht="15.6" spans="2:11">
      <c r="B156" s="116" t="s">
        <v>448</v>
      </c>
      <c r="C156" s="117">
        <v>0.619514430734093</v>
      </c>
      <c r="D156" s="117">
        <v>1.00953439663717</v>
      </c>
      <c r="E156" s="117">
        <v>0.671437510548959</v>
      </c>
      <c r="F156" s="117">
        <v>0.762099893971887</v>
      </c>
      <c r="G156" s="118" t="s">
        <v>112</v>
      </c>
      <c r="H156" s="119">
        <v>1.55070422490731</v>
      </c>
      <c r="I156" s="119">
        <v>6.73289393862136</v>
      </c>
      <c r="J156" s="119">
        <v>0.144828973788889</v>
      </c>
      <c r="K156" s="119">
        <v>4.55486074208478</v>
      </c>
    </row>
    <row r="157" ht="15.6" spans="2:11">
      <c r="B157" s="120"/>
      <c r="C157" s="121"/>
      <c r="D157" s="121"/>
      <c r="E157" s="121"/>
      <c r="F157" s="121"/>
      <c r="G157" s="122" t="s">
        <v>122</v>
      </c>
      <c r="H157" s="123">
        <v>0.349253760651777</v>
      </c>
      <c r="I157" s="123">
        <v>0.339403929258593</v>
      </c>
      <c r="J157" s="123">
        <v>0.64288320527344</v>
      </c>
      <c r="K157" s="123">
        <v>0.658647418170719</v>
      </c>
    </row>
    <row r="158" ht="16.35" spans="2:11">
      <c r="B158" s="124"/>
      <c r="C158" s="125"/>
      <c r="D158" s="125"/>
      <c r="E158" s="125"/>
      <c r="F158" s="125"/>
      <c r="G158" s="126" t="s">
        <v>132</v>
      </c>
      <c r="H158" s="127">
        <v>1.87845057927081</v>
      </c>
      <c r="I158" s="127">
        <v>2.18074868639965</v>
      </c>
      <c r="J158" s="127">
        <v>0.950362850157381</v>
      </c>
      <c r="K158" s="127">
        <v>2.25141753589791</v>
      </c>
    </row>
    <row r="159" ht="16.35" spans="2:11">
      <c r="B159" s="128" t="s">
        <v>449</v>
      </c>
      <c r="C159" s="129">
        <v>1.19383621712671</v>
      </c>
      <c r="D159" s="129">
        <v>1.10416938105437</v>
      </c>
      <c r="E159" s="129">
        <v>1.51458115387345</v>
      </c>
      <c r="F159" s="129">
        <v>1.23895612645579</v>
      </c>
      <c r="G159" s="130" t="s">
        <v>124</v>
      </c>
      <c r="H159" s="131">
        <v>1.19017844990336</v>
      </c>
      <c r="I159" s="131">
        <v>1.11427864648024</v>
      </c>
      <c r="J159" s="131">
        <v>1.48854194125678</v>
      </c>
      <c r="K159" s="131">
        <v>1.22786342765335</v>
      </c>
    </row>
    <row r="160" ht="15.6" spans="2:11">
      <c r="B160" s="116" t="s">
        <v>450</v>
      </c>
      <c r="C160" s="117">
        <v>1.31010833997406</v>
      </c>
      <c r="D160" s="117">
        <v>1.41119630418364</v>
      </c>
      <c r="E160" s="117">
        <v>2.22493547323779</v>
      </c>
      <c r="F160" s="117">
        <v>1.67470007237036</v>
      </c>
      <c r="G160" s="118" t="s">
        <v>143</v>
      </c>
      <c r="H160" s="119">
        <v>1.41559280968272</v>
      </c>
      <c r="I160" s="119">
        <v>1.47237161510699</v>
      </c>
      <c r="J160" s="119">
        <v>2.32461431734777</v>
      </c>
      <c r="K160" s="119">
        <v>1.68394795622672</v>
      </c>
    </row>
    <row r="161" ht="15.6" spans="2:11">
      <c r="B161" s="120"/>
      <c r="C161" s="121"/>
      <c r="D161" s="121"/>
      <c r="E161" s="121"/>
      <c r="F161" s="121"/>
      <c r="G161" s="122" t="s">
        <v>144</v>
      </c>
      <c r="H161" s="123">
        <v>1.66759463415845</v>
      </c>
      <c r="I161" s="123">
        <v>0.557999729210799</v>
      </c>
      <c r="J161" s="123">
        <v>2.7560508475702</v>
      </c>
      <c r="K161" s="123">
        <v>2.31711291457081</v>
      </c>
    </row>
    <row r="162" ht="16.35" spans="2:11">
      <c r="B162" s="124"/>
      <c r="C162" s="125"/>
      <c r="D162" s="125"/>
      <c r="E162" s="125"/>
      <c r="F162" s="125"/>
      <c r="G162" s="126" t="s">
        <v>149</v>
      </c>
      <c r="H162" s="127">
        <v>0.665086141819135</v>
      </c>
      <c r="I162" s="127">
        <v>1.04683989386823</v>
      </c>
      <c r="J162" s="127">
        <v>0.499179387427379</v>
      </c>
      <c r="K162" s="127">
        <v>1.26961635804135</v>
      </c>
    </row>
    <row r="163" ht="15.6" spans="2:11">
      <c r="B163" s="116" t="s">
        <v>451</v>
      </c>
      <c r="C163" s="117">
        <v>0.801077670065701</v>
      </c>
      <c r="D163" s="117">
        <v>0.699351081866134</v>
      </c>
      <c r="E163" s="117">
        <v>0.54561653225002</v>
      </c>
      <c r="F163" s="117">
        <v>0.439161085560899</v>
      </c>
      <c r="G163" s="118" t="s">
        <v>88</v>
      </c>
      <c r="H163" s="119">
        <v>1.27848041504505</v>
      </c>
      <c r="I163" s="119">
        <v>1.77303406881874</v>
      </c>
      <c r="J163" s="119">
        <v>2.34952041802067</v>
      </c>
      <c r="K163" s="119">
        <v>2.18154925478732</v>
      </c>
    </row>
    <row r="164" ht="15.6" spans="2:11">
      <c r="B164" s="120"/>
      <c r="C164" s="121"/>
      <c r="D164" s="121"/>
      <c r="E164" s="121"/>
      <c r="F164" s="121"/>
      <c r="G164" s="122" t="s">
        <v>92</v>
      </c>
      <c r="H164" s="123">
        <v>0.732549154197616</v>
      </c>
      <c r="I164" s="123">
        <v>0.660479860637354</v>
      </c>
      <c r="J164" s="123">
        <v>0.464192920721466</v>
      </c>
      <c r="K164" s="123">
        <v>0.386045455412353</v>
      </c>
    </row>
    <row r="165" ht="15.6" spans="2:11">
      <c r="B165" s="120"/>
      <c r="C165" s="121"/>
      <c r="D165" s="121"/>
      <c r="E165" s="121"/>
      <c r="F165" s="121"/>
      <c r="G165" s="122" t="s">
        <v>120</v>
      </c>
      <c r="H165" s="123">
        <v>2.53865987284256</v>
      </c>
      <c r="I165" s="123">
        <v>2.1501214332808</v>
      </c>
      <c r="J165" s="123">
        <v>2.38465086221474</v>
      </c>
      <c r="K165" s="123">
        <v>2.26240444209774</v>
      </c>
    </row>
    <row r="166" ht="15.6" spans="2:11">
      <c r="B166" s="120"/>
      <c r="C166" s="121"/>
      <c r="D166" s="121"/>
      <c r="E166" s="121"/>
      <c r="F166" s="121"/>
      <c r="G166" s="122" t="s">
        <v>128</v>
      </c>
      <c r="H166" s="123">
        <v>1.88784842140095</v>
      </c>
      <c r="I166" s="123">
        <v>1.49910730478493</v>
      </c>
      <c r="J166" s="123">
        <v>0.739998962023013</v>
      </c>
      <c r="K166" s="123">
        <v>1.18691389049687</v>
      </c>
    </row>
    <row r="167" ht="15.6" spans="2:11">
      <c r="B167" s="120"/>
      <c r="C167" s="121"/>
      <c r="D167" s="121"/>
      <c r="E167" s="121"/>
      <c r="F167" s="121"/>
      <c r="G167" s="122" t="s">
        <v>130</v>
      </c>
      <c r="H167" s="123">
        <v>1.84958280623541</v>
      </c>
      <c r="I167" s="123">
        <v>2.1579504264197</v>
      </c>
      <c r="J167" s="123">
        <v>2.23128108970198</v>
      </c>
      <c r="K167" s="123">
        <v>1.32523926908552</v>
      </c>
    </row>
    <row r="168" ht="16.35" spans="2:11">
      <c r="B168" s="124"/>
      <c r="C168" s="125"/>
      <c r="D168" s="125"/>
      <c r="E168" s="125"/>
      <c r="F168" s="125"/>
      <c r="G168" s="126" t="s">
        <v>142</v>
      </c>
      <c r="H168" s="127">
        <v>0.447145618753248</v>
      </c>
      <c r="I168" s="127">
        <v>0.667835979588113</v>
      </c>
      <c r="J168" s="127">
        <v>1.1963989081626</v>
      </c>
      <c r="K168" s="127">
        <v>1.57798149722437</v>
      </c>
    </row>
    <row r="169" ht="16.35" spans="2:11">
      <c r="B169" s="128" t="s">
        <v>452</v>
      </c>
      <c r="C169" s="129">
        <v>1.50698530971265</v>
      </c>
      <c r="D169" s="129">
        <v>1.64486943256998</v>
      </c>
      <c r="E169" s="129">
        <v>2.24228512028567</v>
      </c>
      <c r="F169" s="129">
        <v>2.65594592906369</v>
      </c>
      <c r="G169" s="130" t="s">
        <v>146</v>
      </c>
      <c r="H169" s="131">
        <v>1.50698530971265</v>
      </c>
      <c r="I169" s="131">
        <v>1.64486943256999</v>
      </c>
      <c r="J169" s="131">
        <v>2.24228512028567</v>
      </c>
      <c r="K169" s="131">
        <v>2.65594592906368</v>
      </c>
    </row>
    <row r="170" ht="15.6" spans="2:11">
      <c r="B170" s="116" t="s">
        <v>453</v>
      </c>
      <c r="C170" s="117">
        <v>1.19153131614898</v>
      </c>
      <c r="D170" s="117">
        <v>1.3098726238244</v>
      </c>
      <c r="E170" s="117">
        <v>0.905738249160787</v>
      </c>
      <c r="F170" s="117">
        <v>1.02571389171049</v>
      </c>
      <c r="G170" s="118" t="s">
        <v>116</v>
      </c>
      <c r="H170" s="119">
        <v>0.784556431379533</v>
      </c>
      <c r="I170" s="119">
        <v>0.731117613292527</v>
      </c>
      <c r="J170" s="119">
        <v>0.90242339762316</v>
      </c>
      <c r="K170" s="119">
        <v>0.909042640008349</v>
      </c>
    </row>
    <row r="171" ht="15.6" spans="2:11">
      <c r="B171" s="120"/>
      <c r="C171" s="121"/>
      <c r="D171" s="121"/>
      <c r="E171" s="121"/>
      <c r="F171" s="121"/>
      <c r="G171" s="122" t="s">
        <v>118</v>
      </c>
      <c r="H171" s="123">
        <v>0.777953720369518</v>
      </c>
      <c r="I171" s="123">
        <v>1.98217411690622</v>
      </c>
      <c r="J171" s="123">
        <v>0.720399255301623</v>
      </c>
      <c r="K171" s="123">
        <v>2.51806764097544</v>
      </c>
    </row>
    <row r="172" ht="15.6" spans="2:11">
      <c r="B172" s="120"/>
      <c r="C172" s="121"/>
      <c r="D172" s="121"/>
      <c r="E172" s="121"/>
      <c r="F172" s="121"/>
      <c r="G172" s="122" t="s">
        <v>134</v>
      </c>
      <c r="H172" s="123">
        <v>0.816566128716044</v>
      </c>
      <c r="I172" s="123">
        <v>1.55022798621926</v>
      </c>
      <c r="J172" s="123">
        <v>0.697342139428396</v>
      </c>
      <c r="K172" s="123">
        <v>0.836962109950392</v>
      </c>
    </row>
    <row r="173" ht="16.35" spans="2:11">
      <c r="B173" s="124"/>
      <c r="C173" s="125"/>
      <c r="D173" s="125"/>
      <c r="E173" s="125"/>
      <c r="F173" s="125"/>
      <c r="G173" s="126" t="s">
        <v>136</v>
      </c>
      <c r="H173" s="127">
        <v>1.26053120912115</v>
      </c>
      <c r="I173" s="127">
        <v>0.827601376734251</v>
      </c>
      <c r="J173" s="127">
        <v>0.813911332592633</v>
      </c>
      <c r="K173" s="127">
        <v>0.686191670943205</v>
      </c>
    </row>
    <row r="174" ht="15.6" spans="2:11">
      <c r="B174" s="116" t="s">
        <v>454</v>
      </c>
      <c r="C174" s="117">
        <v>1.2276210871914</v>
      </c>
      <c r="D174" s="117">
        <v>1.63810074835887</v>
      </c>
      <c r="E174" s="117">
        <v>1.31844904259733</v>
      </c>
      <c r="F174" s="117">
        <v>1.29412762558216</v>
      </c>
      <c r="G174" s="118" t="s">
        <v>72</v>
      </c>
      <c r="H174" s="119">
        <v>-0.155414862239477</v>
      </c>
      <c r="I174" s="119">
        <v>-0.0369369974743016</v>
      </c>
      <c r="J174" s="119">
        <v>0.714785391584882</v>
      </c>
      <c r="K174" s="119">
        <v>0.86061029774887</v>
      </c>
    </row>
    <row r="175" ht="15.6" spans="2:11">
      <c r="B175" s="120"/>
      <c r="C175" s="121"/>
      <c r="D175" s="121"/>
      <c r="E175" s="121"/>
      <c r="F175" s="121"/>
      <c r="G175" s="122" t="s">
        <v>88</v>
      </c>
      <c r="H175" s="123">
        <v>1.27848041504505</v>
      </c>
      <c r="I175" s="123">
        <v>1.77303406881874</v>
      </c>
      <c r="J175" s="123">
        <v>2.34952041802067</v>
      </c>
      <c r="K175" s="123">
        <v>2.18154925478732</v>
      </c>
    </row>
    <row r="176" ht="15.6" spans="2:11">
      <c r="B176" s="120"/>
      <c r="C176" s="121"/>
      <c r="D176" s="121"/>
      <c r="E176" s="121"/>
      <c r="F176" s="121"/>
      <c r="G176" s="122" t="s">
        <v>98</v>
      </c>
      <c r="H176" s="123"/>
      <c r="I176" s="123">
        <v>0.95270967976316</v>
      </c>
      <c r="J176" s="123">
        <v>1.04561104908333</v>
      </c>
      <c r="K176" s="123">
        <v>-0.890441159778279</v>
      </c>
    </row>
    <row r="177" ht="15.6" spans="2:11">
      <c r="B177" s="120"/>
      <c r="C177" s="121"/>
      <c r="D177" s="121"/>
      <c r="E177" s="121"/>
      <c r="F177" s="121"/>
      <c r="G177" s="122" t="s">
        <v>110</v>
      </c>
      <c r="H177" s="123">
        <v>0.575015705761573</v>
      </c>
      <c r="I177" s="123">
        <v>0.577436422700538</v>
      </c>
      <c r="J177" s="123">
        <v>0.76215842293051</v>
      </c>
      <c r="K177" s="123">
        <v>0.890630684287401</v>
      </c>
    </row>
    <row r="178" ht="15.6" spans="2:11">
      <c r="B178" s="120"/>
      <c r="C178" s="121"/>
      <c r="D178" s="121"/>
      <c r="E178" s="121"/>
      <c r="F178" s="121"/>
      <c r="G178" s="122" t="s">
        <v>114</v>
      </c>
      <c r="H178" s="123">
        <v>0.594403534584865</v>
      </c>
      <c r="I178" s="123">
        <v>0.727488777910303</v>
      </c>
      <c r="J178" s="123">
        <v>0.801690112739476</v>
      </c>
      <c r="K178" s="123">
        <v>0.878873039410251</v>
      </c>
    </row>
    <row r="179" ht="15.6" spans="2:11">
      <c r="B179" s="120"/>
      <c r="C179" s="121"/>
      <c r="D179" s="121"/>
      <c r="E179" s="121"/>
      <c r="F179" s="121"/>
      <c r="G179" s="122" t="s">
        <v>130</v>
      </c>
      <c r="H179" s="123">
        <v>1.84958280623541</v>
      </c>
      <c r="I179" s="123">
        <v>2.1579504264197</v>
      </c>
      <c r="J179" s="123">
        <v>2.23128108970198</v>
      </c>
      <c r="K179" s="123">
        <v>1.32523926908552</v>
      </c>
    </row>
    <row r="180" ht="15.6" spans="2:11">
      <c r="B180" s="120"/>
      <c r="C180" s="121"/>
      <c r="D180" s="121"/>
      <c r="E180" s="121"/>
      <c r="F180" s="121"/>
      <c r="G180" s="122" t="s">
        <v>132</v>
      </c>
      <c r="H180" s="123">
        <v>1.87845057927081</v>
      </c>
      <c r="I180" s="123">
        <v>2.18074868639965</v>
      </c>
      <c r="J180" s="123">
        <v>0.950362850157381</v>
      </c>
      <c r="K180" s="123">
        <v>2.25141753589791</v>
      </c>
    </row>
    <row r="181" ht="15.6" spans="2:11">
      <c r="B181" s="120"/>
      <c r="C181" s="121"/>
      <c r="D181" s="121"/>
      <c r="E181" s="121"/>
      <c r="F181" s="121"/>
      <c r="G181" s="122" t="s">
        <v>141</v>
      </c>
      <c r="H181" s="123">
        <v>1.57334125374736</v>
      </c>
      <c r="I181" s="123">
        <v>1.59169152489361</v>
      </c>
      <c r="J181" s="123">
        <v>1.52678607187108</v>
      </c>
      <c r="K181" s="123">
        <v>1.49221628430084</v>
      </c>
    </row>
    <row r="182" ht="15.6" spans="2:11">
      <c r="B182" s="120"/>
      <c r="C182" s="121"/>
      <c r="D182" s="121"/>
      <c r="E182" s="121"/>
      <c r="F182" s="121"/>
      <c r="G182" s="122" t="s">
        <v>147</v>
      </c>
      <c r="H182" s="123">
        <v>1.61930244362697</v>
      </c>
      <c r="I182" s="123">
        <v>1.89741957158862</v>
      </c>
      <c r="J182" s="123">
        <v>1.33188829750845</v>
      </c>
      <c r="K182" s="123">
        <v>1.21968338067081</v>
      </c>
    </row>
    <row r="183" ht="16.35" spans="2:11">
      <c r="B183" s="124"/>
      <c r="C183" s="125"/>
      <c r="D183" s="125"/>
      <c r="E183" s="125"/>
      <c r="F183" s="125"/>
      <c r="G183" s="126" t="s">
        <v>148</v>
      </c>
      <c r="H183" s="127">
        <v>1.06549999932906</v>
      </c>
      <c r="I183" s="127">
        <v>1.36834275548883</v>
      </c>
      <c r="J183" s="127">
        <v>1.02440845431271</v>
      </c>
      <c r="K183" s="127">
        <v>1.24125364177198</v>
      </c>
    </row>
    <row r="184" ht="15.15"/>
    <row r="185" ht="29.55" spans="2:11">
      <c r="B185" s="114" t="s">
        <v>425</v>
      </c>
      <c r="C185" s="115" t="s">
        <v>430</v>
      </c>
    </row>
    <row r="186" ht="15.6" spans="2:11">
      <c r="B186" s="116" t="s">
        <v>435</v>
      </c>
      <c r="C186" s="118" t="s">
        <v>42</v>
      </c>
    </row>
    <row r="187" ht="15.6" spans="2:11">
      <c r="B187" s="120"/>
      <c r="C187" s="122" t="s">
        <v>44</v>
      </c>
    </row>
    <row r="188" ht="15.6" spans="2:11">
      <c r="B188" s="120"/>
      <c r="C188" s="122" t="s">
        <v>48</v>
      </c>
    </row>
    <row r="189" ht="15.6" spans="2:11">
      <c r="B189" s="120"/>
      <c r="C189" s="122" t="s">
        <v>52</v>
      </c>
    </row>
    <row r="190" ht="15.6" spans="2:11">
      <c r="B190" s="120"/>
      <c r="C190" s="122" t="s">
        <v>54</v>
      </c>
    </row>
    <row r="191" ht="15.6" spans="2:11">
      <c r="B191" s="120"/>
      <c r="C191" s="122" t="s">
        <v>56</v>
      </c>
    </row>
    <row r="192" ht="15.6" spans="2:11">
      <c r="B192" s="120"/>
      <c r="C192" s="122" t="s">
        <v>58</v>
      </c>
    </row>
    <row r="193" ht="15.6" spans="2:3">
      <c r="B193" s="120"/>
      <c r="C193" s="122" t="s">
        <v>62</v>
      </c>
    </row>
    <row r="194" ht="15.6" spans="2:3">
      <c r="B194" s="120"/>
      <c r="C194" s="122" t="s">
        <v>96</v>
      </c>
    </row>
    <row r="195" ht="15.6" spans="2:3">
      <c r="B195" s="120"/>
      <c r="C195" s="122" t="s">
        <v>120</v>
      </c>
    </row>
    <row r="196" ht="16.35" spans="2:3">
      <c r="B196" s="124"/>
      <c r="C196" s="126" t="s">
        <v>128</v>
      </c>
    </row>
    <row r="197" ht="16.35" spans="2:3">
      <c r="B197" s="128" t="s">
        <v>436</v>
      </c>
      <c r="C197" s="130" t="s">
        <v>50</v>
      </c>
    </row>
    <row r="198" ht="16.35" spans="2:3">
      <c r="B198" s="128" t="s">
        <v>437</v>
      </c>
      <c r="C198" s="130" t="s">
        <v>64</v>
      </c>
    </row>
    <row r="199" ht="15.6" spans="2:3">
      <c r="B199" s="116" t="s">
        <v>438</v>
      </c>
      <c r="C199" s="118" t="s">
        <v>42</v>
      </c>
    </row>
    <row r="200" ht="15.6" spans="2:3">
      <c r="B200" s="120"/>
      <c r="C200" s="122" t="s">
        <v>44</v>
      </c>
    </row>
    <row r="201" ht="15.6" spans="2:3">
      <c r="B201" s="120"/>
      <c r="C201" s="122" t="s">
        <v>46</v>
      </c>
    </row>
    <row r="202" ht="15.6" spans="2:3">
      <c r="B202" s="120"/>
      <c r="C202" s="122" t="s">
        <v>48</v>
      </c>
    </row>
    <row r="203" ht="15.6" spans="2:3">
      <c r="B203" s="120"/>
      <c r="C203" s="122" t="s">
        <v>50</v>
      </c>
    </row>
    <row r="204" ht="15.6" spans="2:3">
      <c r="B204" s="120"/>
      <c r="C204" s="122" t="s">
        <v>54</v>
      </c>
    </row>
    <row r="205" ht="15.6" spans="2:3">
      <c r="B205" s="120"/>
      <c r="C205" s="122" t="s">
        <v>56</v>
      </c>
    </row>
    <row r="206" ht="15.6" spans="2:3">
      <c r="B206" s="120"/>
      <c r="C206" s="122" t="s">
        <v>58</v>
      </c>
    </row>
    <row r="207" ht="15.6" spans="2:3">
      <c r="B207" s="120"/>
      <c r="C207" s="122" t="s">
        <v>60</v>
      </c>
    </row>
    <row r="208" ht="15.6" spans="2:3">
      <c r="B208" s="120"/>
      <c r="C208" s="122" t="s">
        <v>62</v>
      </c>
    </row>
    <row r="209" ht="15.6" spans="2:3">
      <c r="B209" s="120"/>
      <c r="C209" s="122" t="s">
        <v>64</v>
      </c>
    </row>
    <row r="210" ht="15.6" spans="2:3">
      <c r="B210" s="120"/>
      <c r="C210" s="122" t="s">
        <v>66</v>
      </c>
    </row>
    <row r="211" ht="15.6" spans="2:3">
      <c r="B211" s="120"/>
      <c r="C211" s="122" t="s">
        <v>68</v>
      </c>
    </row>
    <row r="212" ht="15.6" spans="2:3">
      <c r="B212" s="120"/>
      <c r="C212" s="122" t="s">
        <v>70</v>
      </c>
    </row>
    <row r="213" ht="15.6" spans="2:3">
      <c r="B213" s="120"/>
      <c r="C213" s="122" t="s">
        <v>74</v>
      </c>
    </row>
    <row r="214" ht="15.6" spans="2:3">
      <c r="B214" s="120"/>
      <c r="C214" s="122" t="s">
        <v>128</v>
      </c>
    </row>
    <row r="215" ht="16.35" spans="2:3">
      <c r="B215" s="124"/>
      <c r="C215" s="126" t="s">
        <v>148</v>
      </c>
    </row>
    <row r="216" ht="15.6" spans="2:3">
      <c r="B216" s="116" t="s">
        <v>439</v>
      </c>
      <c r="C216" s="118" t="s">
        <v>76</v>
      </c>
    </row>
    <row r="217" ht="15.6" spans="2:3">
      <c r="B217" s="120"/>
      <c r="C217" s="122" t="s">
        <v>78</v>
      </c>
    </row>
    <row r="218" ht="15.6" spans="2:3">
      <c r="B218" s="120"/>
      <c r="C218" s="122" t="s">
        <v>80</v>
      </c>
    </row>
    <row r="219" ht="15.6" spans="2:3">
      <c r="B219" s="120"/>
      <c r="C219" s="122" t="s">
        <v>82</v>
      </c>
    </row>
    <row r="220" ht="15.6" spans="2:3">
      <c r="B220" s="120"/>
      <c r="C220" s="122" t="s">
        <v>84</v>
      </c>
    </row>
    <row r="221" ht="15.6" spans="2:3">
      <c r="B221" s="120"/>
      <c r="C221" s="122" t="s">
        <v>86</v>
      </c>
    </row>
    <row r="222" ht="15.6" spans="2:3">
      <c r="B222" s="120"/>
      <c r="C222" s="122" t="s">
        <v>88</v>
      </c>
    </row>
    <row r="223" ht="15.6" spans="2:3">
      <c r="B223" s="120"/>
      <c r="C223" s="122" t="s">
        <v>90</v>
      </c>
    </row>
    <row r="224" ht="15.6" spans="2:3">
      <c r="B224" s="120"/>
      <c r="C224" s="122" t="s">
        <v>100</v>
      </c>
    </row>
    <row r="225" ht="15.6" spans="2:3">
      <c r="B225" s="120"/>
      <c r="C225" s="122" t="s">
        <v>139</v>
      </c>
    </row>
    <row r="226" ht="16.35" spans="2:3">
      <c r="B226" s="124"/>
      <c r="C226" s="126" t="s">
        <v>148</v>
      </c>
    </row>
    <row r="227" ht="15.6" spans="2:3">
      <c r="B227" s="116" t="s">
        <v>440</v>
      </c>
      <c r="C227" s="118" t="s">
        <v>96</v>
      </c>
    </row>
    <row r="228" ht="15.6" spans="2:3">
      <c r="B228" s="120"/>
      <c r="C228" s="122" t="s">
        <v>110</v>
      </c>
    </row>
    <row r="229" ht="15.6" spans="2:3">
      <c r="B229" s="120"/>
      <c r="C229" s="122" t="s">
        <v>114</v>
      </c>
    </row>
    <row r="230" ht="15.6" spans="2:3">
      <c r="B230" s="120"/>
      <c r="C230" s="122" t="s">
        <v>116</v>
      </c>
    </row>
    <row r="231" ht="16.35" spans="2:3">
      <c r="B231" s="124"/>
      <c r="C231" s="126" t="s">
        <v>130</v>
      </c>
    </row>
    <row r="232" ht="15.6" spans="2:3">
      <c r="B232" s="116" t="s">
        <v>441</v>
      </c>
      <c r="C232" s="118" t="s">
        <v>84</v>
      </c>
    </row>
    <row r="233" ht="15.6" spans="2:3">
      <c r="B233" s="120"/>
      <c r="C233" s="122" t="s">
        <v>96</v>
      </c>
    </row>
    <row r="234" ht="15.6" spans="2:3">
      <c r="B234" s="120"/>
      <c r="C234" s="122" t="s">
        <v>102</v>
      </c>
    </row>
    <row r="235" ht="15.6" spans="2:3">
      <c r="B235" s="120"/>
      <c r="C235" s="122" t="s">
        <v>104</v>
      </c>
    </row>
    <row r="236" ht="15.6" spans="2:3">
      <c r="B236" s="120"/>
      <c r="C236" s="122" t="s">
        <v>106</v>
      </c>
    </row>
    <row r="237" ht="15.6" spans="2:3">
      <c r="B237" s="120"/>
      <c r="C237" s="122" t="s">
        <v>108</v>
      </c>
    </row>
    <row r="238" ht="15.6" spans="2:3">
      <c r="B238" s="120"/>
      <c r="C238" s="122" t="s">
        <v>114</v>
      </c>
    </row>
    <row r="239" ht="15.6" spans="2:3">
      <c r="B239" s="120"/>
      <c r="C239" s="122" t="s">
        <v>116</v>
      </c>
    </row>
    <row r="240" ht="15.6" spans="2:3">
      <c r="B240" s="120"/>
      <c r="C240" s="122" t="s">
        <v>120</v>
      </c>
    </row>
    <row r="241" ht="15.6" spans="2:3">
      <c r="B241" s="120"/>
      <c r="C241" s="122" t="s">
        <v>124</v>
      </c>
    </row>
    <row r="242" ht="15.6" spans="2:3">
      <c r="B242" s="120"/>
      <c r="C242" s="122" t="s">
        <v>126</v>
      </c>
    </row>
    <row r="243" ht="15.6" spans="2:3">
      <c r="B243" s="120"/>
      <c r="C243" s="122" t="s">
        <v>137</v>
      </c>
    </row>
    <row r="244" ht="16.35" spans="2:3">
      <c r="B244" s="124"/>
      <c r="C244" s="126" t="s">
        <v>140</v>
      </c>
    </row>
    <row r="245" ht="15.6" spans="2:3">
      <c r="B245" s="116" t="s">
        <v>442</v>
      </c>
      <c r="C245" s="118" t="s">
        <v>100</v>
      </c>
    </row>
    <row r="246" ht="15.6" spans="2:3">
      <c r="B246" s="120"/>
      <c r="C246" s="122" t="s">
        <v>102</v>
      </c>
    </row>
    <row r="247" ht="15.6" spans="2:3">
      <c r="B247" s="120"/>
      <c r="C247" s="122" t="s">
        <v>110</v>
      </c>
    </row>
    <row r="248" ht="15.6" spans="2:3">
      <c r="B248" s="120"/>
      <c r="C248" s="122" t="s">
        <v>126</v>
      </c>
    </row>
    <row r="249" ht="15.6" spans="2:3">
      <c r="B249" s="120"/>
      <c r="C249" s="122" t="s">
        <v>128</v>
      </c>
    </row>
    <row r="250" ht="15.6" spans="2:3">
      <c r="B250" s="120"/>
      <c r="C250" s="122" t="s">
        <v>130</v>
      </c>
    </row>
    <row r="251" ht="15.6" spans="2:3">
      <c r="B251" s="120"/>
      <c r="C251" s="122" t="s">
        <v>137</v>
      </c>
    </row>
    <row r="252" ht="15.6" spans="2:3">
      <c r="B252" s="120"/>
      <c r="C252" s="122" t="s">
        <v>138</v>
      </c>
    </row>
    <row r="253" ht="16.35" spans="2:3">
      <c r="B253" s="124"/>
      <c r="C253" s="126" t="s">
        <v>140</v>
      </c>
    </row>
    <row r="254" ht="15.6" spans="2:3">
      <c r="B254" s="116" t="s">
        <v>443</v>
      </c>
      <c r="C254" s="118" t="s">
        <v>96</v>
      </c>
    </row>
    <row r="255" ht="16.35" spans="2:3">
      <c r="B255" s="124"/>
      <c r="C255" s="126" t="s">
        <v>120</v>
      </c>
    </row>
    <row r="256" ht="16.35" spans="2:3">
      <c r="B256" s="128" t="s">
        <v>444</v>
      </c>
      <c r="C256" s="130" t="s">
        <v>96</v>
      </c>
    </row>
    <row r="257" ht="16.35" spans="2:3">
      <c r="B257" s="128" t="s">
        <v>445</v>
      </c>
      <c r="C257" s="130" t="s">
        <v>94</v>
      </c>
    </row>
    <row r="258" ht="15.6" spans="2:3">
      <c r="B258" s="116" t="s">
        <v>446</v>
      </c>
      <c r="C258" s="118" t="s">
        <v>90</v>
      </c>
    </row>
    <row r="259" ht="15.6" spans="2:3">
      <c r="B259" s="120"/>
      <c r="C259" s="122" t="s">
        <v>102</v>
      </c>
    </row>
    <row r="260" ht="15.6" spans="2:3">
      <c r="B260" s="120"/>
      <c r="C260" s="122" t="s">
        <v>104</v>
      </c>
    </row>
    <row r="261" ht="15.6" spans="2:3">
      <c r="B261" s="120"/>
      <c r="C261" s="122" t="s">
        <v>106</v>
      </c>
    </row>
    <row r="262" ht="15.6" spans="2:3">
      <c r="B262" s="120"/>
      <c r="C262" s="122" t="s">
        <v>120</v>
      </c>
    </row>
    <row r="263" ht="16.35" spans="2:3">
      <c r="B263" s="124"/>
      <c r="C263" s="126" t="s">
        <v>128</v>
      </c>
    </row>
    <row r="264" ht="15.6" spans="2:3">
      <c r="B264" s="116" t="s">
        <v>447</v>
      </c>
      <c r="C264" s="118" t="s">
        <v>50</v>
      </c>
    </row>
    <row r="265" ht="15.6" spans="2:3">
      <c r="B265" s="120"/>
      <c r="C265" s="122" t="s">
        <v>52</v>
      </c>
    </row>
    <row r="266" ht="15.6" spans="2:3">
      <c r="B266" s="120"/>
      <c r="C266" s="122" t="s">
        <v>70</v>
      </c>
    </row>
    <row r="267" ht="15.6" spans="2:3">
      <c r="B267" s="120"/>
      <c r="C267" s="122" t="s">
        <v>132</v>
      </c>
    </row>
    <row r="268" ht="16.35" spans="2:3">
      <c r="B268" s="124"/>
      <c r="C268" s="126" t="s">
        <v>141</v>
      </c>
    </row>
    <row r="269" ht="15.6" spans="2:3">
      <c r="B269" s="116" t="s">
        <v>448</v>
      </c>
      <c r="C269" s="118" t="s">
        <v>112</v>
      </c>
    </row>
    <row r="270" ht="15.6" spans="2:3">
      <c r="B270" s="120"/>
      <c r="C270" s="122" t="s">
        <v>122</v>
      </c>
    </row>
    <row r="271" ht="16.35" spans="2:3">
      <c r="B271" s="124"/>
      <c r="C271" s="126" t="s">
        <v>132</v>
      </c>
    </row>
    <row r="272" ht="16.35" spans="2:3">
      <c r="B272" s="128" t="s">
        <v>449</v>
      </c>
      <c r="C272" s="130" t="s">
        <v>124</v>
      </c>
    </row>
    <row r="273" ht="15.6" spans="2:3">
      <c r="B273" s="116" t="s">
        <v>450</v>
      </c>
      <c r="C273" s="118" t="s">
        <v>143</v>
      </c>
    </row>
    <row r="274" ht="15.6" spans="2:3">
      <c r="B274" s="120"/>
      <c r="C274" s="122" t="s">
        <v>144</v>
      </c>
    </row>
    <row r="275" ht="16.35" spans="2:3">
      <c r="B275" s="124"/>
      <c r="C275" s="126" t="s">
        <v>149</v>
      </c>
    </row>
    <row r="276" ht="15.6" spans="2:3">
      <c r="B276" s="116" t="s">
        <v>451</v>
      </c>
      <c r="C276" s="118" t="s">
        <v>88</v>
      </c>
    </row>
    <row r="277" ht="15.6" spans="2:3">
      <c r="B277" s="120"/>
      <c r="C277" s="122" t="s">
        <v>92</v>
      </c>
    </row>
    <row r="278" ht="15.6" spans="2:3">
      <c r="B278" s="120"/>
      <c r="C278" s="122" t="s">
        <v>120</v>
      </c>
    </row>
    <row r="279" ht="15.6" spans="2:3">
      <c r="B279" s="120"/>
      <c r="C279" s="122" t="s">
        <v>128</v>
      </c>
    </row>
    <row r="280" ht="15.6" spans="2:3">
      <c r="B280" s="120"/>
      <c r="C280" s="122" t="s">
        <v>130</v>
      </c>
    </row>
    <row r="281" ht="16.35" spans="2:3">
      <c r="B281" s="124"/>
      <c r="C281" s="126" t="s">
        <v>142</v>
      </c>
    </row>
    <row r="282" ht="16.35" spans="2:3">
      <c r="B282" s="128" t="s">
        <v>452</v>
      </c>
      <c r="C282" s="130" t="s">
        <v>146</v>
      </c>
    </row>
    <row r="283" ht="15.6" spans="2:3">
      <c r="B283" s="116" t="s">
        <v>453</v>
      </c>
      <c r="C283" s="118" t="s">
        <v>116</v>
      </c>
    </row>
    <row r="284" ht="15.6" spans="2:3">
      <c r="B284" s="120"/>
      <c r="C284" s="122" t="s">
        <v>118</v>
      </c>
    </row>
    <row r="285" ht="15.6" spans="2:3">
      <c r="B285" s="120"/>
      <c r="C285" s="122" t="s">
        <v>134</v>
      </c>
    </row>
    <row r="286" ht="16.35" spans="2:3">
      <c r="B286" s="124"/>
      <c r="C286" s="126" t="s">
        <v>136</v>
      </c>
    </row>
    <row r="287" ht="15.6" spans="2:3">
      <c r="B287" s="116" t="s">
        <v>454</v>
      </c>
      <c r="C287" s="118" t="s">
        <v>72</v>
      </c>
    </row>
    <row r="288" ht="15.6" spans="2:3">
      <c r="B288" s="120"/>
      <c r="C288" s="122" t="s">
        <v>88</v>
      </c>
    </row>
    <row r="289" ht="15.6" spans="2:6">
      <c r="B289" s="120"/>
      <c r="C289" s="122" t="s">
        <v>98</v>
      </c>
    </row>
    <row r="290" ht="15.6" spans="2:6">
      <c r="B290" s="120"/>
      <c r="C290" s="122" t="s">
        <v>110</v>
      </c>
    </row>
    <row r="291" ht="15.6" spans="2:6">
      <c r="B291" s="120"/>
      <c r="C291" s="122" t="s">
        <v>114</v>
      </c>
    </row>
    <row r="292" ht="15.6" spans="2:6">
      <c r="B292" s="120"/>
      <c r="C292" s="122" t="s">
        <v>130</v>
      </c>
    </row>
    <row r="293" ht="15.6" spans="2:6">
      <c r="B293" s="120"/>
      <c r="C293" s="122" t="s">
        <v>132</v>
      </c>
    </row>
    <row r="294" ht="15.6" spans="2:6">
      <c r="B294" s="120"/>
      <c r="C294" s="122" t="s">
        <v>141</v>
      </c>
    </row>
    <row r="295" ht="15.6" spans="2:6">
      <c r="B295" s="120"/>
      <c r="C295" s="122" t="s">
        <v>147</v>
      </c>
    </row>
    <row r="296" ht="16.35" spans="2:6">
      <c r="B296" s="124"/>
      <c r="C296" s="126" t="s">
        <v>148</v>
      </c>
    </row>
    <row r="299" spans="2:6">
      <c r="B299" s="132" t="s">
        <v>455</v>
      </c>
      <c r="C299" s="132" t="s">
        <v>456</v>
      </c>
      <c r="D299" t="s">
        <v>457</v>
      </c>
      <c r="E299" t="s">
        <v>458</v>
      </c>
      <c r="F299" t="s">
        <v>459</v>
      </c>
    </row>
    <row r="300" spans="2:6">
      <c r="B300" s="133" t="s">
        <v>435</v>
      </c>
      <c r="C300" s="133" t="s">
        <v>42</v>
      </c>
    </row>
    <row r="301" spans="2:6">
      <c r="B301" s="133" t="s">
        <v>438</v>
      </c>
      <c r="C301" s="133" t="s">
        <v>42</v>
      </c>
      <c r="D301">
        <f>IF(B301=B300,1,0)</f>
        <v>0</v>
      </c>
      <c r="E301">
        <f>IF(C301=C300,1,0)</f>
        <v>1</v>
      </c>
      <c r="F301">
        <f>D301*E301</f>
        <v>0</v>
      </c>
    </row>
    <row r="302" spans="2:6">
      <c r="B302" s="133" t="s">
        <v>438</v>
      </c>
      <c r="C302" s="133" t="s">
        <v>42</v>
      </c>
      <c r="D302">
        <f t="shared" ref="D302:D365" si="0">IF(B302=B301,1,0)</f>
        <v>1</v>
      </c>
      <c r="E302">
        <f t="shared" ref="E302:E365" si="1">IF(C302=C301,1,0)</f>
        <v>1</v>
      </c>
      <c r="F302">
        <f t="shared" ref="F302:F365" si="2">D302*E302</f>
        <v>1</v>
      </c>
    </row>
    <row r="303" spans="2:6">
      <c r="B303" s="133" t="s">
        <v>438</v>
      </c>
      <c r="C303" s="133" t="s">
        <v>42</v>
      </c>
      <c r="D303">
        <f t="shared" si="0"/>
        <v>1</v>
      </c>
      <c r="E303">
        <f t="shared" si="1"/>
        <v>1</v>
      </c>
      <c r="F303">
        <f t="shared" si="2"/>
        <v>1</v>
      </c>
    </row>
    <row r="304" spans="2:6">
      <c r="B304" s="133" t="s">
        <v>438</v>
      </c>
      <c r="C304" s="133" t="s">
        <v>42</v>
      </c>
      <c r="D304">
        <f t="shared" si="0"/>
        <v>1</v>
      </c>
      <c r="E304">
        <f t="shared" si="1"/>
        <v>1</v>
      </c>
      <c r="F304">
        <f t="shared" si="2"/>
        <v>1</v>
      </c>
    </row>
    <row r="305" spans="2:6">
      <c r="B305" s="133" t="s">
        <v>438</v>
      </c>
      <c r="C305" s="133" t="s">
        <v>42</v>
      </c>
      <c r="D305">
        <f t="shared" si="0"/>
        <v>1</v>
      </c>
      <c r="E305">
        <f t="shared" si="1"/>
        <v>1</v>
      </c>
      <c r="F305">
        <f t="shared" si="2"/>
        <v>1</v>
      </c>
    </row>
    <row r="306" spans="2:6">
      <c r="B306" s="133" t="s">
        <v>438</v>
      </c>
      <c r="C306" s="133" t="s">
        <v>42</v>
      </c>
      <c r="D306">
        <f t="shared" si="0"/>
        <v>1</v>
      </c>
      <c r="E306">
        <f t="shared" si="1"/>
        <v>1</v>
      </c>
      <c r="F306">
        <f t="shared" si="2"/>
        <v>1</v>
      </c>
    </row>
    <row r="307" spans="2:6">
      <c r="B307" s="133" t="s">
        <v>438</v>
      </c>
      <c r="C307" s="133" t="s">
        <v>42</v>
      </c>
      <c r="D307">
        <f t="shared" si="0"/>
        <v>1</v>
      </c>
      <c r="E307">
        <f t="shared" si="1"/>
        <v>1</v>
      </c>
      <c r="F307">
        <f t="shared" si="2"/>
        <v>1</v>
      </c>
    </row>
    <row r="308" spans="2:6">
      <c r="B308" s="133" t="s">
        <v>438</v>
      </c>
      <c r="C308" s="133" t="s">
        <v>42</v>
      </c>
      <c r="D308">
        <f t="shared" si="0"/>
        <v>1</v>
      </c>
      <c r="E308">
        <f t="shared" si="1"/>
        <v>1</v>
      </c>
      <c r="F308">
        <f t="shared" si="2"/>
        <v>1</v>
      </c>
    </row>
    <row r="309" spans="2:6">
      <c r="B309" s="133" t="s">
        <v>435</v>
      </c>
      <c r="C309" s="133" t="s">
        <v>44</v>
      </c>
      <c r="D309">
        <f t="shared" si="0"/>
        <v>0</v>
      </c>
      <c r="E309">
        <f t="shared" si="1"/>
        <v>0</v>
      </c>
      <c r="F309">
        <f t="shared" si="2"/>
        <v>0</v>
      </c>
    </row>
    <row r="310" spans="2:6">
      <c r="B310" s="133" t="s">
        <v>438</v>
      </c>
      <c r="C310" s="133" t="s">
        <v>44</v>
      </c>
      <c r="D310">
        <f t="shared" si="0"/>
        <v>0</v>
      </c>
      <c r="E310">
        <f t="shared" si="1"/>
        <v>1</v>
      </c>
      <c r="F310">
        <f t="shared" si="2"/>
        <v>0</v>
      </c>
    </row>
    <row r="311" spans="2:6">
      <c r="B311" s="133" t="s">
        <v>438</v>
      </c>
      <c r="C311" s="133" t="s">
        <v>44</v>
      </c>
      <c r="D311">
        <f t="shared" si="0"/>
        <v>1</v>
      </c>
      <c r="E311">
        <f t="shared" si="1"/>
        <v>1</v>
      </c>
      <c r="F311">
        <f t="shared" si="2"/>
        <v>1</v>
      </c>
    </row>
    <row r="312" spans="2:6">
      <c r="B312" s="133" t="s">
        <v>438</v>
      </c>
      <c r="C312" s="133" t="s">
        <v>44</v>
      </c>
      <c r="D312">
        <f t="shared" si="0"/>
        <v>1</v>
      </c>
      <c r="E312">
        <f t="shared" si="1"/>
        <v>1</v>
      </c>
      <c r="F312">
        <f t="shared" si="2"/>
        <v>1</v>
      </c>
    </row>
    <row r="313" spans="2:6">
      <c r="B313" s="133" t="s">
        <v>438</v>
      </c>
      <c r="C313" s="133" t="s">
        <v>44</v>
      </c>
      <c r="D313">
        <f t="shared" si="0"/>
        <v>1</v>
      </c>
      <c r="E313">
        <f t="shared" si="1"/>
        <v>1</v>
      </c>
      <c r="F313">
        <f t="shared" si="2"/>
        <v>1</v>
      </c>
    </row>
    <row r="314" spans="2:6">
      <c r="B314" s="133" t="s">
        <v>438</v>
      </c>
      <c r="C314" s="133" t="s">
        <v>44</v>
      </c>
      <c r="D314">
        <f t="shared" si="0"/>
        <v>1</v>
      </c>
      <c r="E314">
        <f t="shared" si="1"/>
        <v>1</v>
      </c>
      <c r="F314">
        <f t="shared" si="2"/>
        <v>1</v>
      </c>
    </row>
    <row r="315" spans="2:6">
      <c r="B315" s="133" t="s">
        <v>438</v>
      </c>
      <c r="C315" s="133" t="s">
        <v>44</v>
      </c>
      <c r="D315">
        <f t="shared" si="0"/>
        <v>1</v>
      </c>
      <c r="E315">
        <f t="shared" si="1"/>
        <v>1</v>
      </c>
      <c r="F315">
        <f t="shared" si="2"/>
        <v>1</v>
      </c>
    </row>
    <row r="316" spans="2:6">
      <c r="B316" s="133" t="s">
        <v>438</v>
      </c>
      <c r="C316" s="133" t="s">
        <v>44</v>
      </c>
      <c r="D316">
        <f t="shared" si="0"/>
        <v>1</v>
      </c>
      <c r="E316">
        <f t="shared" si="1"/>
        <v>1</v>
      </c>
      <c r="F316">
        <f t="shared" si="2"/>
        <v>1</v>
      </c>
    </row>
    <row r="317" spans="2:6">
      <c r="B317" s="133" t="s">
        <v>435</v>
      </c>
      <c r="C317" s="133" t="s">
        <v>44</v>
      </c>
      <c r="D317">
        <f t="shared" si="0"/>
        <v>0</v>
      </c>
      <c r="E317">
        <f t="shared" si="1"/>
        <v>1</v>
      </c>
      <c r="F317">
        <f t="shared" si="2"/>
        <v>0</v>
      </c>
    </row>
    <row r="318" spans="2:6">
      <c r="B318" s="133" t="s">
        <v>438</v>
      </c>
      <c r="C318" s="133" t="s">
        <v>46</v>
      </c>
      <c r="D318">
        <f t="shared" si="0"/>
        <v>0</v>
      </c>
      <c r="E318">
        <f t="shared" si="1"/>
        <v>0</v>
      </c>
      <c r="F318">
        <f t="shared" si="2"/>
        <v>0</v>
      </c>
    </row>
    <row r="319" spans="2:6">
      <c r="B319" s="133" t="s">
        <v>438</v>
      </c>
      <c r="C319" s="133" t="s">
        <v>46</v>
      </c>
      <c r="D319">
        <f t="shared" si="0"/>
        <v>1</v>
      </c>
      <c r="E319">
        <f t="shared" si="1"/>
        <v>1</v>
      </c>
      <c r="F319">
        <f t="shared" si="2"/>
        <v>1</v>
      </c>
    </row>
    <row r="320" spans="2:6">
      <c r="B320" s="133" t="s">
        <v>438</v>
      </c>
      <c r="C320" s="133" t="s">
        <v>46</v>
      </c>
      <c r="D320">
        <f t="shared" si="0"/>
        <v>1</v>
      </c>
      <c r="E320">
        <f t="shared" si="1"/>
        <v>1</v>
      </c>
      <c r="F320">
        <f t="shared" si="2"/>
        <v>1</v>
      </c>
    </row>
    <row r="321" spans="2:6">
      <c r="B321" s="133" t="s">
        <v>438</v>
      </c>
      <c r="C321" s="133" t="s">
        <v>48</v>
      </c>
      <c r="D321">
        <f t="shared" si="0"/>
        <v>1</v>
      </c>
      <c r="E321">
        <f t="shared" si="1"/>
        <v>0</v>
      </c>
      <c r="F321">
        <f t="shared" si="2"/>
        <v>0</v>
      </c>
    </row>
    <row r="322" spans="2:6">
      <c r="B322" s="133" t="s">
        <v>438</v>
      </c>
      <c r="C322" s="133" t="s">
        <v>48</v>
      </c>
      <c r="D322">
        <f t="shared" si="0"/>
        <v>1</v>
      </c>
      <c r="E322">
        <f t="shared" si="1"/>
        <v>1</v>
      </c>
      <c r="F322">
        <f t="shared" si="2"/>
        <v>1</v>
      </c>
    </row>
    <row r="323" spans="2:6">
      <c r="B323" s="133" t="s">
        <v>438</v>
      </c>
      <c r="C323" s="133" t="s">
        <v>48</v>
      </c>
      <c r="D323">
        <f t="shared" si="0"/>
        <v>1</v>
      </c>
      <c r="E323">
        <f t="shared" si="1"/>
        <v>1</v>
      </c>
      <c r="F323">
        <f t="shared" si="2"/>
        <v>1</v>
      </c>
    </row>
    <row r="324" spans="2:6">
      <c r="B324" s="133" t="s">
        <v>435</v>
      </c>
      <c r="C324" s="133" t="s">
        <v>48</v>
      </c>
      <c r="D324">
        <f t="shared" si="0"/>
        <v>0</v>
      </c>
      <c r="E324">
        <f t="shared" si="1"/>
        <v>1</v>
      </c>
      <c r="F324">
        <f t="shared" si="2"/>
        <v>0</v>
      </c>
    </row>
    <row r="325" spans="2:6">
      <c r="B325" s="133" t="s">
        <v>438</v>
      </c>
      <c r="C325" s="133" t="s">
        <v>48</v>
      </c>
      <c r="D325">
        <f t="shared" si="0"/>
        <v>0</v>
      </c>
      <c r="E325">
        <f t="shared" si="1"/>
        <v>1</v>
      </c>
      <c r="F325">
        <f t="shared" si="2"/>
        <v>0</v>
      </c>
    </row>
    <row r="326" spans="2:6">
      <c r="B326" s="133" t="s">
        <v>438</v>
      </c>
      <c r="C326" s="133" t="s">
        <v>48</v>
      </c>
      <c r="D326">
        <f t="shared" si="0"/>
        <v>1</v>
      </c>
      <c r="E326">
        <f t="shared" si="1"/>
        <v>1</v>
      </c>
      <c r="F326">
        <f t="shared" si="2"/>
        <v>1</v>
      </c>
    </row>
    <row r="327" spans="2:6">
      <c r="B327" s="133" t="s">
        <v>438</v>
      </c>
      <c r="C327" s="133" t="s">
        <v>48</v>
      </c>
      <c r="D327">
        <f t="shared" si="0"/>
        <v>1</v>
      </c>
      <c r="E327">
        <f t="shared" si="1"/>
        <v>1</v>
      </c>
      <c r="F327">
        <f t="shared" si="2"/>
        <v>1</v>
      </c>
    </row>
    <row r="328" spans="2:6">
      <c r="B328" s="133" t="s">
        <v>435</v>
      </c>
      <c r="C328" s="133" t="s">
        <v>48</v>
      </c>
      <c r="D328">
        <f t="shared" si="0"/>
        <v>0</v>
      </c>
      <c r="E328">
        <f t="shared" si="1"/>
        <v>1</v>
      </c>
      <c r="F328">
        <f t="shared" si="2"/>
        <v>0</v>
      </c>
    </row>
    <row r="329" spans="2:6">
      <c r="B329" s="133" t="s">
        <v>435</v>
      </c>
      <c r="C329" s="133" t="s">
        <v>48</v>
      </c>
      <c r="D329">
        <f t="shared" si="0"/>
        <v>1</v>
      </c>
      <c r="E329">
        <f t="shared" si="1"/>
        <v>1</v>
      </c>
      <c r="F329">
        <f t="shared" si="2"/>
        <v>1</v>
      </c>
    </row>
    <row r="330" spans="2:6">
      <c r="B330" s="133" t="s">
        <v>436</v>
      </c>
      <c r="C330" s="133" t="s">
        <v>50</v>
      </c>
      <c r="D330">
        <f t="shared" si="0"/>
        <v>0</v>
      </c>
      <c r="E330">
        <f t="shared" si="1"/>
        <v>0</v>
      </c>
      <c r="F330">
        <f t="shared" si="2"/>
        <v>0</v>
      </c>
    </row>
    <row r="331" spans="2:6">
      <c r="B331" s="133" t="s">
        <v>436</v>
      </c>
      <c r="C331" s="133" t="s">
        <v>50</v>
      </c>
      <c r="D331">
        <f t="shared" si="0"/>
        <v>1</v>
      </c>
      <c r="E331">
        <f t="shared" si="1"/>
        <v>1</v>
      </c>
      <c r="F331">
        <f t="shared" si="2"/>
        <v>1</v>
      </c>
    </row>
    <row r="332" spans="2:6">
      <c r="B332" s="133" t="s">
        <v>438</v>
      </c>
      <c r="C332" s="133" t="s">
        <v>50</v>
      </c>
      <c r="D332">
        <f t="shared" si="0"/>
        <v>0</v>
      </c>
      <c r="E332">
        <f t="shared" si="1"/>
        <v>1</v>
      </c>
      <c r="F332">
        <f t="shared" si="2"/>
        <v>0</v>
      </c>
    </row>
    <row r="333" spans="2:6">
      <c r="B333" s="133" t="s">
        <v>438</v>
      </c>
      <c r="C333" s="133" t="s">
        <v>50</v>
      </c>
      <c r="D333">
        <f t="shared" si="0"/>
        <v>1</v>
      </c>
      <c r="E333">
        <f t="shared" si="1"/>
        <v>1</v>
      </c>
      <c r="F333">
        <f t="shared" si="2"/>
        <v>1</v>
      </c>
    </row>
    <row r="334" spans="2:6">
      <c r="B334" s="133" t="s">
        <v>447</v>
      </c>
      <c r="C334" s="133" t="s">
        <v>50</v>
      </c>
      <c r="D334">
        <f t="shared" si="0"/>
        <v>0</v>
      </c>
      <c r="E334">
        <f t="shared" si="1"/>
        <v>1</v>
      </c>
      <c r="F334">
        <f t="shared" si="2"/>
        <v>0</v>
      </c>
    </row>
    <row r="335" spans="2:6">
      <c r="B335" s="133" t="s">
        <v>435</v>
      </c>
      <c r="C335" s="133" t="s">
        <v>52</v>
      </c>
      <c r="D335">
        <f t="shared" si="0"/>
        <v>0</v>
      </c>
      <c r="E335">
        <f t="shared" si="1"/>
        <v>0</v>
      </c>
      <c r="F335">
        <f t="shared" si="2"/>
        <v>0</v>
      </c>
    </row>
    <row r="336" spans="2:6">
      <c r="B336" s="133" t="s">
        <v>435</v>
      </c>
      <c r="C336" s="133" t="s">
        <v>52</v>
      </c>
      <c r="D336">
        <f t="shared" si="0"/>
        <v>1</v>
      </c>
      <c r="E336">
        <f t="shared" si="1"/>
        <v>1</v>
      </c>
      <c r="F336">
        <f t="shared" si="2"/>
        <v>1</v>
      </c>
    </row>
    <row r="337" spans="2:6">
      <c r="B337" s="133" t="s">
        <v>435</v>
      </c>
      <c r="C337" s="133" t="s">
        <v>52</v>
      </c>
      <c r="D337">
        <f t="shared" si="0"/>
        <v>1</v>
      </c>
      <c r="E337">
        <f t="shared" si="1"/>
        <v>1</v>
      </c>
      <c r="F337">
        <f t="shared" si="2"/>
        <v>1</v>
      </c>
    </row>
    <row r="338" spans="2:6">
      <c r="B338" s="133" t="s">
        <v>435</v>
      </c>
      <c r="C338" s="133" t="s">
        <v>52</v>
      </c>
      <c r="D338">
        <f t="shared" si="0"/>
        <v>1</v>
      </c>
      <c r="E338">
        <f t="shared" si="1"/>
        <v>1</v>
      </c>
      <c r="F338">
        <f t="shared" si="2"/>
        <v>1</v>
      </c>
    </row>
    <row r="339" spans="2:6">
      <c r="B339" s="133" t="s">
        <v>435</v>
      </c>
      <c r="C339" s="133" t="s">
        <v>52</v>
      </c>
      <c r="D339">
        <f t="shared" si="0"/>
        <v>1</v>
      </c>
      <c r="E339">
        <f t="shared" si="1"/>
        <v>1</v>
      </c>
      <c r="F339">
        <f t="shared" si="2"/>
        <v>1</v>
      </c>
    </row>
    <row r="340" spans="2:6">
      <c r="B340" s="133" t="s">
        <v>435</v>
      </c>
      <c r="C340" s="133" t="s">
        <v>52</v>
      </c>
      <c r="D340">
        <f t="shared" si="0"/>
        <v>1</v>
      </c>
      <c r="E340">
        <f t="shared" si="1"/>
        <v>1</v>
      </c>
      <c r="F340">
        <f t="shared" si="2"/>
        <v>1</v>
      </c>
    </row>
    <row r="341" spans="2:6">
      <c r="B341" s="133" t="s">
        <v>435</v>
      </c>
      <c r="C341" s="133" t="s">
        <v>52</v>
      </c>
      <c r="D341">
        <f t="shared" si="0"/>
        <v>1</v>
      </c>
      <c r="E341">
        <f t="shared" si="1"/>
        <v>1</v>
      </c>
      <c r="F341">
        <f t="shared" si="2"/>
        <v>1</v>
      </c>
    </row>
    <row r="342" spans="2:6">
      <c r="B342" s="133" t="s">
        <v>447</v>
      </c>
      <c r="C342" s="133" t="s">
        <v>52</v>
      </c>
      <c r="D342">
        <f t="shared" si="0"/>
        <v>0</v>
      </c>
      <c r="E342">
        <f t="shared" si="1"/>
        <v>1</v>
      </c>
      <c r="F342">
        <f t="shared" si="2"/>
        <v>0</v>
      </c>
    </row>
    <row r="343" spans="2:6">
      <c r="B343" s="133" t="s">
        <v>435</v>
      </c>
      <c r="C343" s="133" t="s">
        <v>54</v>
      </c>
      <c r="D343">
        <f t="shared" si="0"/>
        <v>0</v>
      </c>
      <c r="E343">
        <f t="shared" si="1"/>
        <v>0</v>
      </c>
      <c r="F343">
        <f t="shared" si="2"/>
        <v>0</v>
      </c>
    </row>
    <row r="344" spans="2:6">
      <c r="B344" s="133" t="s">
        <v>435</v>
      </c>
      <c r="C344" s="133" t="s">
        <v>54</v>
      </c>
      <c r="D344">
        <f t="shared" si="0"/>
        <v>1</v>
      </c>
      <c r="E344">
        <f t="shared" si="1"/>
        <v>1</v>
      </c>
      <c r="F344">
        <f t="shared" si="2"/>
        <v>1</v>
      </c>
    </row>
    <row r="345" spans="2:6">
      <c r="B345" s="133" t="s">
        <v>438</v>
      </c>
      <c r="C345" s="133" t="s">
        <v>54</v>
      </c>
      <c r="D345">
        <f t="shared" si="0"/>
        <v>0</v>
      </c>
      <c r="E345">
        <f t="shared" si="1"/>
        <v>1</v>
      </c>
      <c r="F345">
        <f t="shared" si="2"/>
        <v>0</v>
      </c>
    </row>
    <row r="346" spans="2:6">
      <c r="B346" s="133" t="s">
        <v>438</v>
      </c>
      <c r="C346" s="133" t="s">
        <v>54</v>
      </c>
      <c r="D346">
        <f t="shared" si="0"/>
        <v>1</v>
      </c>
      <c r="E346">
        <f t="shared" si="1"/>
        <v>1</v>
      </c>
      <c r="F346">
        <f t="shared" si="2"/>
        <v>1</v>
      </c>
    </row>
    <row r="347" spans="2:6">
      <c r="B347" s="133" t="s">
        <v>438</v>
      </c>
      <c r="C347" s="133" t="s">
        <v>54</v>
      </c>
      <c r="D347">
        <f t="shared" si="0"/>
        <v>1</v>
      </c>
      <c r="E347">
        <f t="shared" si="1"/>
        <v>1</v>
      </c>
      <c r="F347">
        <f t="shared" si="2"/>
        <v>1</v>
      </c>
    </row>
    <row r="348" spans="2:6">
      <c r="B348" s="133" t="s">
        <v>438</v>
      </c>
      <c r="C348" s="133" t="s">
        <v>54</v>
      </c>
      <c r="D348">
        <f t="shared" si="0"/>
        <v>1</v>
      </c>
      <c r="E348">
        <f t="shared" si="1"/>
        <v>1</v>
      </c>
      <c r="F348">
        <f t="shared" si="2"/>
        <v>1</v>
      </c>
    </row>
    <row r="349" spans="2:6">
      <c r="B349" s="133" t="s">
        <v>435</v>
      </c>
      <c r="C349" s="133" t="s">
        <v>56</v>
      </c>
      <c r="D349">
        <f t="shared" si="0"/>
        <v>0</v>
      </c>
      <c r="E349">
        <f t="shared" si="1"/>
        <v>0</v>
      </c>
      <c r="F349">
        <f t="shared" si="2"/>
        <v>0</v>
      </c>
    </row>
    <row r="350" spans="2:6">
      <c r="B350" s="133" t="s">
        <v>435</v>
      </c>
      <c r="C350" s="133" t="s">
        <v>56</v>
      </c>
      <c r="D350">
        <f t="shared" si="0"/>
        <v>1</v>
      </c>
      <c r="E350">
        <f t="shared" si="1"/>
        <v>1</v>
      </c>
      <c r="F350">
        <f t="shared" si="2"/>
        <v>1</v>
      </c>
    </row>
    <row r="351" spans="2:6">
      <c r="B351" s="133" t="s">
        <v>435</v>
      </c>
      <c r="C351" s="133" t="s">
        <v>56</v>
      </c>
      <c r="D351">
        <f t="shared" si="0"/>
        <v>1</v>
      </c>
      <c r="E351">
        <f t="shared" si="1"/>
        <v>1</v>
      </c>
      <c r="F351">
        <f t="shared" si="2"/>
        <v>1</v>
      </c>
    </row>
    <row r="352" spans="2:6">
      <c r="B352" s="133" t="s">
        <v>435</v>
      </c>
      <c r="C352" s="133" t="s">
        <v>56</v>
      </c>
      <c r="D352">
        <f t="shared" si="0"/>
        <v>1</v>
      </c>
      <c r="E352">
        <f t="shared" si="1"/>
        <v>1</v>
      </c>
      <c r="F352">
        <f t="shared" si="2"/>
        <v>1</v>
      </c>
    </row>
    <row r="353" spans="2:6">
      <c r="B353" s="133" t="s">
        <v>435</v>
      </c>
      <c r="C353" s="133" t="s">
        <v>56</v>
      </c>
      <c r="D353">
        <f t="shared" si="0"/>
        <v>1</v>
      </c>
      <c r="E353">
        <f t="shared" si="1"/>
        <v>1</v>
      </c>
      <c r="F353">
        <f t="shared" si="2"/>
        <v>1</v>
      </c>
    </row>
    <row r="354" spans="2:6">
      <c r="B354" s="133" t="s">
        <v>435</v>
      </c>
      <c r="C354" s="133" t="s">
        <v>56</v>
      </c>
      <c r="D354">
        <f t="shared" si="0"/>
        <v>1</v>
      </c>
      <c r="E354">
        <f t="shared" si="1"/>
        <v>1</v>
      </c>
      <c r="F354">
        <f t="shared" si="2"/>
        <v>1</v>
      </c>
    </row>
    <row r="355" spans="2:6">
      <c r="B355" s="133" t="s">
        <v>438</v>
      </c>
      <c r="C355" s="133" t="s">
        <v>56</v>
      </c>
      <c r="D355">
        <f t="shared" si="0"/>
        <v>0</v>
      </c>
      <c r="E355">
        <f t="shared" si="1"/>
        <v>1</v>
      </c>
      <c r="F355">
        <f t="shared" si="2"/>
        <v>0</v>
      </c>
    </row>
    <row r="356" spans="2:6">
      <c r="B356" s="133" t="s">
        <v>435</v>
      </c>
      <c r="C356" s="133" t="s">
        <v>56</v>
      </c>
      <c r="D356">
        <f t="shared" si="0"/>
        <v>0</v>
      </c>
      <c r="E356">
        <f t="shared" si="1"/>
        <v>1</v>
      </c>
      <c r="F356">
        <f t="shared" si="2"/>
        <v>0</v>
      </c>
    </row>
    <row r="357" spans="2:6">
      <c r="B357" s="133" t="s">
        <v>438</v>
      </c>
      <c r="C357" s="133" t="s">
        <v>58</v>
      </c>
      <c r="D357">
        <f t="shared" si="0"/>
        <v>0</v>
      </c>
      <c r="E357">
        <f t="shared" si="1"/>
        <v>0</v>
      </c>
      <c r="F357">
        <f t="shared" si="2"/>
        <v>0</v>
      </c>
    </row>
    <row r="358" spans="2:6">
      <c r="B358" s="133" t="s">
        <v>435</v>
      </c>
      <c r="C358" s="133" t="s">
        <v>58</v>
      </c>
      <c r="D358">
        <f t="shared" si="0"/>
        <v>0</v>
      </c>
      <c r="E358">
        <f t="shared" si="1"/>
        <v>1</v>
      </c>
      <c r="F358">
        <f t="shared" si="2"/>
        <v>0</v>
      </c>
    </row>
    <row r="359" spans="2:6">
      <c r="B359" s="133" t="s">
        <v>438</v>
      </c>
      <c r="C359" s="133" t="s">
        <v>58</v>
      </c>
      <c r="D359">
        <f t="shared" si="0"/>
        <v>0</v>
      </c>
      <c r="E359">
        <f t="shared" si="1"/>
        <v>1</v>
      </c>
      <c r="F359">
        <f t="shared" si="2"/>
        <v>0</v>
      </c>
    </row>
    <row r="360" spans="2:6">
      <c r="B360" s="133" t="s">
        <v>438</v>
      </c>
      <c r="C360" s="133" t="s">
        <v>60</v>
      </c>
      <c r="D360">
        <f t="shared" si="0"/>
        <v>1</v>
      </c>
      <c r="E360">
        <f t="shared" si="1"/>
        <v>0</v>
      </c>
      <c r="F360">
        <f t="shared" si="2"/>
        <v>0</v>
      </c>
    </row>
    <row r="361" spans="2:6">
      <c r="B361" s="133" t="s">
        <v>438</v>
      </c>
      <c r="C361" s="133" t="s">
        <v>62</v>
      </c>
      <c r="D361">
        <f t="shared" si="0"/>
        <v>1</v>
      </c>
      <c r="E361">
        <f t="shared" si="1"/>
        <v>0</v>
      </c>
      <c r="F361">
        <f t="shared" si="2"/>
        <v>0</v>
      </c>
    </row>
    <row r="362" spans="2:6">
      <c r="B362" s="133" t="s">
        <v>438</v>
      </c>
      <c r="C362" s="133" t="s">
        <v>62</v>
      </c>
      <c r="D362">
        <f t="shared" si="0"/>
        <v>1</v>
      </c>
      <c r="E362">
        <f t="shared" si="1"/>
        <v>1</v>
      </c>
      <c r="F362">
        <f t="shared" si="2"/>
        <v>1</v>
      </c>
    </row>
    <row r="363" spans="2:6">
      <c r="B363" s="133" t="s">
        <v>435</v>
      </c>
      <c r="C363" s="133" t="s">
        <v>62</v>
      </c>
      <c r="D363">
        <f t="shared" si="0"/>
        <v>0</v>
      </c>
      <c r="E363">
        <f t="shared" si="1"/>
        <v>1</v>
      </c>
      <c r="F363">
        <f t="shared" si="2"/>
        <v>0</v>
      </c>
    </row>
    <row r="364" spans="2:6">
      <c r="B364" s="133" t="s">
        <v>437</v>
      </c>
      <c r="C364" s="133" t="s">
        <v>64</v>
      </c>
      <c r="D364">
        <f t="shared" si="0"/>
        <v>0</v>
      </c>
      <c r="E364">
        <f t="shared" si="1"/>
        <v>0</v>
      </c>
      <c r="F364">
        <f t="shared" si="2"/>
        <v>0</v>
      </c>
    </row>
    <row r="365" spans="2:6">
      <c r="B365" s="133" t="s">
        <v>438</v>
      </c>
      <c r="C365" s="133" t="s">
        <v>64</v>
      </c>
      <c r="D365">
        <f t="shared" si="0"/>
        <v>0</v>
      </c>
      <c r="E365">
        <f t="shared" si="1"/>
        <v>1</v>
      </c>
      <c r="F365">
        <f t="shared" si="2"/>
        <v>0</v>
      </c>
    </row>
    <row r="366" spans="2:6">
      <c r="B366" s="133" t="s">
        <v>438</v>
      </c>
      <c r="C366" s="133" t="s">
        <v>64</v>
      </c>
      <c r="D366">
        <f t="shared" ref="D366:D429" si="3">IF(B366=B365,1,0)</f>
        <v>1</v>
      </c>
      <c r="E366">
        <f t="shared" ref="E366:E429" si="4">IF(C366=C365,1,0)</f>
        <v>1</v>
      </c>
      <c r="F366">
        <f t="shared" ref="F366:F429" si="5">D366*E366</f>
        <v>1</v>
      </c>
    </row>
    <row r="367" spans="2:6">
      <c r="B367" s="133" t="s">
        <v>438</v>
      </c>
      <c r="C367" s="133" t="s">
        <v>64</v>
      </c>
      <c r="D367">
        <f t="shared" si="3"/>
        <v>1</v>
      </c>
      <c r="E367">
        <f t="shared" si="4"/>
        <v>1</v>
      </c>
      <c r="F367">
        <f t="shared" si="5"/>
        <v>1</v>
      </c>
    </row>
    <row r="368" spans="2:6">
      <c r="B368" s="133" t="s">
        <v>438</v>
      </c>
      <c r="C368" s="133" t="s">
        <v>64</v>
      </c>
      <c r="D368">
        <f t="shared" si="3"/>
        <v>1</v>
      </c>
      <c r="E368">
        <f t="shared" si="4"/>
        <v>1</v>
      </c>
      <c r="F368">
        <f t="shared" si="5"/>
        <v>1</v>
      </c>
    </row>
    <row r="369" spans="2:6">
      <c r="B369" s="133" t="s">
        <v>438</v>
      </c>
      <c r="C369" s="133" t="s">
        <v>64</v>
      </c>
      <c r="D369">
        <f t="shared" si="3"/>
        <v>1</v>
      </c>
      <c r="E369">
        <f t="shared" si="4"/>
        <v>1</v>
      </c>
      <c r="F369">
        <f t="shared" si="5"/>
        <v>1</v>
      </c>
    </row>
    <row r="370" spans="2:6">
      <c r="B370" s="133" t="s">
        <v>438</v>
      </c>
      <c r="C370" s="133" t="s">
        <v>66</v>
      </c>
      <c r="D370">
        <f t="shared" si="3"/>
        <v>1</v>
      </c>
      <c r="E370">
        <f t="shared" si="4"/>
        <v>0</v>
      </c>
      <c r="F370">
        <f t="shared" si="5"/>
        <v>0</v>
      </c>
    </row>
    <row r="371" spans="2:6">
      <c r="B371" s="133" t="s">
        <v>438</v>
      </c>
      <c r="C371" s="133" t="s">
        <v>66</v>
      </c>
      <c r="D371">
        <f t="shared" si="3"/>
        <v>1</v>
      </c>
      <c r="E371">
        <f t="shared" si="4"/>
        <v>1</v>
      </c>
      <c r="F371">
        <f t="shared" si="5"/>
        <v>1</v>
      </c>
    </row>
    <row r="372" spans="2:6">
      <c r="B372" s="133" t="s">
        <v>438</v>
      </c>
      <c r="C372" s="133" t="s">
        <v>68</v>
      </c>
      <c r="D372">
        <f t="shared" si="3"/>
        <v>1</v>
      </c>
      <c r="E372">
        <f t="shared" si="4"/>
        <v>0</v>
      </c>
      <c r="F372">
        <f t="shared" si="5"/>
        <v>0</v>
      </c>
    </row>
    <row r="373" spans="2:6">
      <c r="B373" s="133" t="s">
        <v>438</v>
      </c>
      <c r="C373" s="133" t="s">
        <v>68</v>
      </c>
      <c r="D373">
        <f t="shared" si="3"/>
        <v>1</v>
      </c>
      <c r="E373">
        <f t="shared" si="4"/>
        <v>1</v>
      </c>
      <c r="F373">
        <f t="shared" si="5"/>
        <v>1</v>
      </c>
    </row>
    <row r="374" spans="2:6">
      <c r="B374" s="133" t="s">
        <v>438</v>
      </c>
      <c r="C374" s="133" t="s">
        <v>68</v>
      </c>
      <c r="D374">
        <f t="shared" si="3"/>
        <v>1</v>
      </c>
      <c r="E374">
        <f t="shared" si="4"/>
        <v>1</v>
      </c>
      <c r="F374">
        <f t="shared" si="5"/>
        <v>1</v>
      </c>
    </row>
    <row r="375" spans="2:6">
      <c r="B375" s="133" t="s">
        <v>447</v>
      </c>
      <c r="C375" s="133" t="s">
        <v>70</v>
      </c>
      <c r="D375">
        <f t="shared" si="3"/>
        <v>0</v>
      </c>
      <c r="E375">
        <f t="shared" si="4"/>
        <v>0</v>
      </c>
      <c r="F375">
        <f t="shared" si="5"/>
        <v>0</v>
      </c>
    </row>
    <row r="376" spans="2:6">
      <c r="B376" s="133" t="s">
        <v>447</v>
      </c>
      <c r="C376" s="133" t="s">
        <v>70</v>
      </c>
      <c r="D376">
        <f t="shared" si="3"/>
        <v>1</v>
      </c>
      <c r="E376">
        <f t="shared" si="4"/>
        <v>1</v>
      </c>
      <c r="F376">
        <f t="shared" si="5"/>
        <v>1</v>
      </c>
    </row>
    <row r="377" spans="2:6">
      <c r="B377" s="133" t="s">
        <v>447</v>
      </c>
      <c r="C377" s="133" t="s">
        <v>70</v>
      </c>
      <c r="D377">
        <f t="shared" si="3"/>
        <v>1</v>
      </c>
      <c r="E377">
        <f t="shared" si="4"/>
        <v>1</v>
      </c>
      <c r="F377">
        <f t="shared" si="5"/>
        <v>1</v>
      </c>
    </row>
    <row r="378" spans="2:6">
      <c r="B378" s="133" t="s">
        <v>447</v>
      </c>
      <c r="C378" s="133" t="s">
        <v>70</v>
      </c>
      <c r="D378">
        <f t="shared" si="3"/>
        <v>1</v>
      </c>
      <c r="E378">
        <f t="shared" si="4"/>
        <v>1</v>
      </c>
      <c r="F378">
        <f t="shared" si="5"/>
        <v>1</v>
      </c>
    </row>
    <row r="379" spans="2:6">
      <c r="B379" s="133" t="s">
        <v>447</v>
      </c>
      <c r="C379" s="133" t="s">
        <v>70</v>
      </c>
      <c r="D379">
        <f t="shared" si="3"/>
        <v>1</v>
      </c>
      <c r="E379">
        <f t="shared" si="4"/>
        <v>1</v>
      </c>
      <c r="F379">
        <f t="shared" si="5"/>
        <v>1</v>
      </c>
    </row>
    <row r="380" spans="2:6">
      <c r="B380" s="133" t="s">
        <v>447</v>
      </c>
      <c r="C380" s="133" t="s">
        <v>70</v>
      </c>
      <c r="D380">
        <f t="shared" si="3"/>
        <v>1</v>
      </c>
      <c r="E380">
        <f t="shared" si="4"/>
        <v>1</v>
      </c>
      <c r="F380">
        <f t="shared" si="5"/>
        <v>1</v>
      </c>
    </row>
    <row r="381" spans="2:6">
      <c r="B381" s="133" t="s">
        <v>438</v>
      </c>
      <c r="C381" s="133" t="s">
        <v>460</v>
      </c>
      <c r="D381">
        <f t="shared" si="3"/>
        <v>0</v>
      </c>
      <c r="E381">
        <f t="shared" si="4"/>
        <v>0</v>
      </c>
      <c r="F381">
        <f t="shared" si="5"/>
        <v>0</v>
      </c>
    </row>
    <row r="382" spans="2:6">
      <c r="B382" s="133" t="s">
        <v>438</v>
      </c>
      <c r="C382" s="133" t="s">
        <v>460</v>
      </c>
      <c r="D382">
        <f t="shared" si="3"/>
        <v>1</v>
      </c>
      <c r="E382">
        <f t="shared" si="4"/>
        <v>1</v>
      </c>
      <c r="F382">
        <f t="shared" si="5"/>
        <v>1</v>
      </c>
    </row>
    <row r="383" spans="2:6">
      <c r="B383" s="133" t="s">
        <v>438</v>
      </c>
      <c r="C383" s="133" t="s">
        <v>460</v>
      </c>
      <c r="D383">
        <f t="shared" si="3"/>
        <v>1</v>
      </c>
      <c r="E383">
        <f t="shared" si="4"/>
        <v>1</v>
      </c>
      <c r="F383">
        <f t="shared" si="5"/>
        <v>1</v>
      </c>
    </row>
    <row r="384" spans="2:6">
      <c r="B384" s="133" t="s">
        <v>438</v>
      </c>
      <c r="C384" s="133" t="s">
        <v>460</v>
      </c>
      <c r="D384">
        <f t="shared" si="3"/>
        <v>1</v>
      </c>
      <c r="E384">
        <f t="shared" si="4"/>
        <v>1</v>
      </c>
      <c r="F384">
        <f t="shared" si="5"/>
        <v>1</v>
      </c>
    </row>
    <row r="385" spans="2:6">
      <c r="B385" s="133" t="s">
        <v>454</v>
      </c>
      <c r="C385" s="133" t="s">
        <v>72</v>
      </c>
      <c r="D385">
        <f t="shared" si="3"/>
        <v>0</v>
      </c>
      <c r="E385">
        <f t="shared" si="4"/>
        <v>0</v>
      </c>
      <c r="F385">
        <f t="shared" si="5"/>
        <v>0</v>
      </c>
    </row>
    <row r="386" spans="2:6">
      <c r="B386" s="133" t="s">
        <v>438</v>
      </c>
      <c r="C386" s="133" t="s">
        <v>74</v>
      </c>
      <c r="D386">
        <f t="shared" si="3"/>
        <v>0</v>
      </c>
      <c r="E386">
        <f t="shared" si="4"/>
        <v>0</v>
      </c>
      <c r="F386">
        <f t="shared" si="5"/>
        <v>0</v>
      </c>
    </row>
    <row r="387" spans="2:6">
      <c r="B387" s="133" t="s">
        <v>439</v>
      </c>
      <c r="C387" s="133" t="s">
        <v>76</v>
      </c>
      <c r="D387">
        <f t="shared" si="3"/>
        <v>0</v>
      </c>
      <c r="E387">
        <f t="shared" si="4"/>
        <v>0</v>
      </c>
      <c r="F387">
        <f t="shared" si="5"/>
        <v>0</v>
      </c>
    </row>
    <row r="388" spans="2:6">
      <c r="B388" s="133" t="s">
        <v>439</v>
      </c>
      <c r="C388" s="133" t="s">
        <v>76</v>
      </c>
      <c r="D388">
        <f t="shared" si="3"/>
        <v>1</v>
      </c>
      <c r="E388">
        <f t="shared" si="4"/>
        <v>1</v>
      </c>
      <c r="F388">
        <f t="shared" si="5"/>
        <v>1</v>
      </c>
    </row>
    <row r="389" spans="2:6">
      <c r="B389" s="133" t="s">
        <v>439</v>
      </c>
      <c r="C389" s="133" t="s">
        <v>76</v>
      </c>
      <c r="D389">
        <f t="shared" si="3"/>
        <v>1</v>
      </c>
      <c r="E389">
        <f t="shared" si="4"/>
        <v>1</v>
      </c>
      <c r="F389">
        <f t="shared" si="5"/>
        <v>1</v>
      </c>
    </row>
    <row r="390" spans="2:6">
      <c r="B390" s="133" t="s">
        <v>439</v>
      </c>
      <c r="C390" s="133" t="s">
        <v>76</v>
      </c>
      <c r="D390">
        <f t="shared" si="3"/>
        <v>1</v>
      </c>
      <c r="E390">
        <f t="shared" si="4"/>
        <v>1</v>
      </c>
      <c r="F390">
        <f t="shared" si="5"/>
        <v>1</v>
      </c>
    </row>
    <row r="391" spans="2:6">
      <c r="B391" s="133" t="s">
        <v>439</v>
      </c>
      <c r="C391" s="133" t="s">
        <v>76</v>
      </c>
      <c r="D391">
        <f t="shared" si="3"/>
        <v>1</v>
      </c>
      <c r="E391">
        <f t="shared" si="4"/>
        <v>1</v>
      </c>
      <c r="F391">
        <f t="shared" si="5"/>
        <v>1</v>
      </c>
    </row>
    <row r="392" spans="2:6">
      <c r="B392" s="133" t="s">
        <v>439</v>
      </c>
      <c r="C392" s="133" t="s">
        <v>76</v>
      </c>
      <c r="D392">
        <f t="shared" si="3"/>
        <v>1</v>
      </c>
      <c r="E392">
        <f t="shared" si="4"/>
        <v>1</v>
      </c>
      <c r="F392">
        <f t="shared" si="5"/>
        <v>1</v>
      </c>
    </row>
    <row r="393" spans="2:6">
      <c r="B393" s="133" t="s">
        <v>439</v>
      </c>
      <c r="C393" s="133" t="s">
        <v>76</v>
      </c>
      <c r="D393">
        <f t="shared" si="3"/>
        <v>1</v>
      </c>
      <c r="E393">
        <f t="shared" si="4"/>
        <v>1</v>
      </c>
      <c r="F393">
        <f t="shared" si="5"/>
        <v>1</v>
      </c>
    </row>
    <row r="394" spans="2:6">
      <c r="B394" s="133" t="s">
        <v>439</v>
      </c>
      <c r="C394" s="133" t="s">
        <v>76</v>
      </c>
      <c r="D394">
        <f t="shared" si="3"/>
        <v>1</v>
      </c>
      <c r="E394">
        <f t="shared" si="4"/>
        <v>1</v>
      </c>
      <c r="F394">
        <f t="shared" si="5"/>
        <v>1</v>
      </c>
    </row>
    <row r="395" spans="2:6">
      <c r="B395" s="133" t="s">
        <v>439</v>
      </c>
      <c r="C395" s="133" t="s">
        <v>78</v>
      </c>
      <c r="D395">
        <f t="shared" si="3"/>
        <v>1</v>
      </c>
      <c r="E395">
        <f t="shared" si="4"/>
        <v>0</v>
      </c>
      <c r="F395">
        <f t="shared" si="5"/>
        <v>0</v>
      </c>
    </row>
    <row r="396" spans="2:6">
      <c r="B396" s="133" t="s">
        <v>439</v>
      </c>
      <c r="C396" s="133" t="s">
        <v>78</v>
      </c>
      <c r="D396">
        <f t="shared" si="3"/>
        <v>1</v>
      </c>
      <c r="E396">
        <f t="shared" si="4"/>
        <v>1</v>
      </c>
      <c r="F396">
        <f t="shared" si="5"/>
        <v>1</v>
      </c>
    </row>
    <row r="397" spans="2:6">
      <c r="B397" s="133" t="s">
        <v>439</v>
      </c>
      <c r="C397" s="133" t="s">
        <v>78</v>
      </c>
      <c r="D397">
        <f t="shared" si="3"/>
        <v>1</v>
      </c>
      <c r="E397">
        <f t="shared" si="4"/>
        <v>1</v>
      </c>
      <c r="F397">
        <f t="shared" si="5"/>
        <v>1</v>
      </c>
    </row>
    <row r="398" spans="2:6">
      <c r="B398" s="133" t="s">
        <v>439</v>
      </c>
      <c r="C398" s="133" t="s">
        <v>78</v>
      </c>
      <c r="D398">
        <f t="shared" si="3"/>
        <v>1</v>
      </c>
      <c r="E398">
        <f t="shared" si="4"/>
        <v>1</v>
      </c>
      <c r="F398">
        <f t="shared" si="5"/>
        <v>1</v>
      </c>
    </row>
    <row r="399" spans="2:6">
      <c r="B399" s="133" t="s">
        <v>439</v>
      </c>
      <c r="C399" s="133" t="s">
        <v>78</v>
      </c>
      <c r="D399">
        <f t="shared" si="3"/>
        <v>1</v>
      </c>
      <c r="E399">
        <f t="shared" si="4"/>
        <v>1</v>
      </c>
      <c r="F399">
        <f t="shared" si="5"/>
        <v>1</v>
      </c>
    </row>
    <row r="400" spans="2:6">
      <c r="B400" s="133" t="s">
        <v>439</v>
      </c>
      <c r="C400" s="133" t="s">
        <v>78</v>
      </c>
      <c r="D400">
        <f t="shared" si="3"/>
        <v>1</v>
      </c>
      <c r="E400">
        <f t="shared" si="4"/>
        <v>1</v>
      </c>
      <c r="F400">
        <f t="shared" si="5"/>
        <v>1</v>
      </c>
    </row>
    <row r="401" spans="2:6">
      <c r="B401" s="133" t="s">
        <v>439</v>
      </c>
      <c r="C401" s="133" t="s">
        <v>78</v>
      </c>
      <c r="D401">
        <f t="shared" si="3"/>
        <v>1</v>
      </c>
      <c r="E401">
        <f t="shared" si="4"/>
        <v>1</v>
      </c>
      <c r="F401">
        <f t="shared" si="5"/>
        <v>1</v>
      </c>
    </row>
    <row r="402" spans="2:6">
      <c r="B402" s="133" t="s">
        <v>439</v>
      </c>
      <c r="C402" s="133" t="s">
        <v>78</v>
      </c>
      <c r="D402">
        <f t="shared" si="3"/>
        <v>1</v>
      </c>
      <c r="E402">
        <f t="shared" si="4"/>
        <v>1</v>
      </c>
      <c r="F402">
        <f t="shared" si="5"/>
        <v>1</v>
      </c>
    </row>
    <row r="403" spans="2:6">
      <c r="B403" s="133" t="s">
        <v>439</v>
      </c>
      <c r="C403" s="133" t="s">
        <v>80</v>
      </c>
      <c r="D403">
        <f t="shared" si="3"/>
        <v>1</v>
      </c>
      <c r="E403">
        <f t="shared" si="4"/>
        <v>0</v>
      </c>
      <c r="F403">
        <f t="shared" si="5"/>
        <v>0</v>
      </c>
    </row>
    <row r="404" spans="2:6">
      <c r="B404" s="133" t="s">
        <v>439</v>
      </c>
      <c r="C404" s="133" t="s">
        <v>80</v>
      </c>
      <c r="D404">
        <f t="shared" si="3"/>
        <v>1</v>
      </c>
      <c r="E404">
        <f t="shared" si="4"/>
        <v>1</v>
      </c>
      <c r="F404">
        <f t="shared" si="5"/>
        <v>1</v>
      </c>
    </row>
    <row r="405" spans="2:6">
      <c r="B405" s="133" t="s">
        <v>439</v>
      </c>
      <c r="C405" s="133" t="s">
        <v>80</v>
      </c>
      <c r="D405">
        <f t="shared" si="3"/>
        <v>1</v>
      </c>
      <c r="E405">
        <f t="shared" si="4"/>
        <v>1</v>
      </c>
      <c r="F405">
        <f t="shared" si="5"/>
        <v>1</v>
      </c>
    </row>
    <row r="406" spans="2:6">
      <c r="B406" s="133" t="s">
        <v>439</v>
      </c>
      <c r="C406" s="133" t="s">
        <v>80</v>
      </c>
      <c r="D406">
        <f t="shared" si="3"/>
        <v>1</v>
      </c>
      <c r="E406">
        <f t="shared" si="4"/>
        <v>1</v>
      </c>
      <c r="F406">
        <f t="shared" si="5"/>
        <v>1</v>
      </c>
    </row>
    <row r="407" spans="2:6">
      <c r="B407" s="133" t="s">
        <v>439</v>
      </c>
      <c r="C407" s="133" t="s">
        <v>82</v>
      </c>
      <c r="D407">
        <f t="shared" si="3"/>
        <v>1</v>
      </c>
      <c r="E407">
        <f t="shared" si="4"/>
        <v>0</v>
      </c>
      <c r="F407">
        <f t="shared" si="5"/>
        <v>0</v>
      </c>
    </row>
    <row r="408" spans="2:6">
      <c r="B408" s="133" t="s">
        <v>439</v>
      </c>
      <c r="C408" s="133" t="s">
        <v>82</v>
      </c>
      <c r="D408">
        <f t="shared" si="3"/>
        <v>1</v>
      </c>
      <c r="E408">
        <f t="shared" si="4"/>
        <v>1</v>
      </c>
      <c r="F408">
        <f t="shared" si="5"/>
        <v>1</v>
      </c>
    </row>
    <row r="409" spans="2:6">
      <c r="B409" s="133" t="s">
        <v>439</v>
      </c>
      <c r="C409" s="133" t="s">
        <v>82</v>
      </c>
      <c r="D409">
        <f t="shared" si="3"/>
        <v>1</v>
      </c>
      <c r="E409">
        <f t="shared" si="4"/>
        <v>1</v>
      </c>
      <c r="F409">
        <f t="shared" si="5"/>
        <v>1</v>
      </c>
    </row>
    <row r="410" spans="2:6">
      <c r="B410" s="133" t="s">
        <v>439</v>
      </c>
      <c r="C410" s="133" t="s">
        <v>82</v>
      </c>
      <c r="D410">
        <f t="shared" si="3"/>
        <v>1</v>
      </c>
      <c r="E410">
        <f t="shared" si="4"/>
        <v>1</v>
      </c>
      <c r="F410">
        <f t="shared" si="5"/>
        <v>1</v>
      </c>
    </row>
    <row r="411" spans="2:6">
      <c r="B411" s="133" t="s">
        <v>439</v>
      </c>
      <c r="C411" s="133" t="s">
        <v>84</v>
      </c>
      <c r="D411">
        <f t="shared" si="3"/>
        <v>1</v>
      </c>
      <c r="E411">
        <f t="shared" si="4"/>
        <v>0</v>
      </c>
      <c r="F411">
        <f t="shared" si="5"/>
        <v>0</v>
      </c>
    </row>
    <row r="412" spans="2:6">
      <c r="B412" s="133" t="s">
        <v>439</v>
      </c>
      <c r="C412" s="133" t="s">
        <v>84</v>
      </c>
      <c r="D412">
        <f t="shared" si="3"/>
        <v>1</v>
      </c>
      <c r="E412">
        <f t="shared" si="4"/>
        <v>1</v>
      </c>
      <c r="F412">
        <f t="shared" si="5"/>
        <v>1</v>
      </c>
    </row>
    <row r="413" spans="2:6">
      <c r="B413" s="133" t="s">
        <v>439</v>
      </c>
      <c r="C413" s="133" t="s">
        <v>84</v>
      </c>
      <c r="D413">
        <f t="shared" si="3"/>
        <v>1</v>
      </c>
      <c r="E413">
        <f t="shared" si="4"/>
        <v>1</v>
      </c>
      <c r="F413">
        <f t="shared" si="5"/>
        <v>1</v>
      </c>
    </row>
    <row r="414" spans="2:6">
      <c r="B414" s="133" t="s">
        <v>439</v>
      </c>
      <c r="C414" s="133" t="s">
        <v>84</v>
      </c>
      <c r="D414">
        <f t="shared" si="3"/>
        <v>1</v>
      </c>
      <c r="E414">
        <f t="shared" si="4"/>
        <v>1</v>
      </c>
      <c r="F414">
        <f t="shared" si="5"/>
        <v>1</v>
      </c>
    </row>
    <row r="415" spans="2:6">
      <c r="B415" s="133" t="s">
        <v>441</v>
      </c>
      <c r="C415" s="133" t="s">
        <v>84</v>
      </c>
      <c r="D415">
        <f t="shared" si="3"/>
        <v>0</v>
      </c>
      <c r="E415">
        <f t="shared" si="4"/>
        <v>1</v>
      </c>
      <c r="F415">
        <f t="shared" si="5"/>
        <v>0</v>
      </c>
    </row>
    <row r="416" spans="2:6">
      <c r="B416" s="133" t="s">
        <v>439</v>
      </c>
      <c r="C416" s="133" t="s">
        <v>86</v>
      </c>
      <c r="D416">
        <f t="shared" si="3"/>
        <v>0</v>
      </c>
      <c r="E416">
        <f t="shared" si="4"/>
        <v>0</v>
      </c>
      <c r="F416">
        <f t="shared" si="5"/>
        <v>0</v>
      </c>
    </row>
    <row r="417" spans="2:6">
      <c r="B417" s="133" t="s">
        <v>439</v>
      </c>
      <c r="C417" s="133" t="s">
        <v>86</v>
      </c>
      <c r="D417">
        <f t="shared" si="3"/>
        <v>1</v>
      </c>
      <c r="E417">
        <f t="shared" si="4"/>
        <v>1</v>
      </c>
      <c r="F417">
        <f t="shared" si="5"/>
        <v>1</v>
      </c>
    </row>
    <row r="418" spans="2:6">
      <c r="B418" s="133" t="s">
        <v>439</v>
      </c>
      <c r="C418" s="133" t="s">
        <v>88</v>
      </c>
      <c r="D418">
        <f t="shared" si="3"/>
        <v>1</v>
      </c>
      <c r="E418">
        <f t="shared" si="4"/>
        <v>0</v>
      </c>
      <c r="F418">
        <f t="shared" si="5"/>
        <v>0</v>
      </c>
    </row>
    <row r="419" spans="2:6">
      <c r="B419" s="133" t="s">
        <v>454</v>
      </c>
      <c r="C419" s="133" t="s">
        <v>88</v>
      </c>
      <c r="D419">
        <f t="shared" si="3"/>
        <v>0</v>
      </c>
      <c r="E419">
        <f t="shared" si="4"/>
        <v>1</v>
      </c>
      <c r="F419">
        <f t="shared" si="5"/>
        <v>0</v>
      </c>
    </row>
    <row r="420" spans="2:6">
      <c r="B420" s="133" t="s">
        <v>451</v>
      </c>
      <c r="C420" s="133" t="s">
        <v>88</v>
      </c>
      <c r="D420">
        <f t="shared" si="3"/>
        <v>0</v>
      </c>
      <c r="E420">
        <f t="shared" si="4"/>
        <v>1</v>
      </c>
      <c r="F420">
        <f t="shared" si="5"/>
        <v>0</v>
      </c>
    </row>
    <row r="421" spans="2:6">
      <c r="B421" s="133" t="s">
        <v>439</v>
      </c>
      <c r="C421" s="133" t="s">
        <v>90</v>
      </c>
      <c r="D421">
        <f t="shared" si="3"/>
        <v>0</v>
      </c>
      <c r="E421">
        <f t="shared" si="4"/>
        <v>0</v>
      </c>
      <c r="F421">
        <f t="shared" si="5"/>
        <v>0</v>
      </c>
    </row>
    <row r="422" spans="2:6">
      <c r="B422" s="133" t="s">
        <v>439</v>
      </c>
      <c r="C422" s="133" t="s">
        <v>90</v>
      </c>
      <c r="D422">
        <f t="shared" si="3"/>
        <v>1</v>
      </c>
      <c r="E422">
        <f t="shared" si="4"/>
        <v>1</v>
      </c>
      <c r="F422">
        <f t="shared" si="5"/>
        <v>1</v>
      </c>
    </row>
    <row r="423" spans="2:6">
      <c r="B423" s="133" t="s">
        <v>439</v>
      </c>
      <c r="C423" s="133" t="s">
        <v>90</v>
      </c>
      <c r="D423">
        <f t="shared" si="3"/>
        <v>1</v>
      </c>
      <c r="E423">
        <f t="shared" si="4"/>
        <v>1</v>
      </c>
      <c r="F423">
        <f t="shared" si="5"/>
        <v>1</v>
      </c>
    </row>
    <row r="424" spans="2:6">
      <c r="B424" s="133" t="s">
        <v>439</v>
      </c>
      <c r="C424" s="133" t="s">
        <v>90</v>
      </c>
      <c r="D424">
        <f t="shared" si="3"/>
        <v>1</v>
      </c>
      <c r="E424">
        <f t="shared" si="4"/>
        <v>1</v>
      </c>
      <c r="F424">
        <f t="shared" si="5"/>
        <v>1</v>
      </c>
    </row>
    <row r="425" spans="2:6">
      <c r="B425" s="133" t="s">
        <v>439</v>
      </c>
      <c r="C425" s="133" t="s">
        <v>90</v>
      </c>
      <c r="D425">
        <f t="shared" si="3"/>
        <v>1</v>
      </c>
      <c r="E425">
        <f t="shared" si="4"/>
        <v>1</v>
      </c>
      <c r="F425">
        <f t="shared" si="5"/>
        <v>1</v>
      </c>
    </row>
    <row r="426" spans="2:6">
      <c r="B426" s="133" t="s">
        <v>446</v>
      </c>
      <c r="C426" s="133" t="s">
        <v>90</v>
      </c>
      <c r="D426">
        <f t="shared" si="3"/>
        <v>0</v>
      </c>
      <c r="E426">
        <f t="shared" si="4"/>
        <v>1</v>
      </c>
      <c r="F426">
        <f t="shared" si="5"/>
        <v>0</v>
      </c>
    </row>
    <row r="427" spans="2:6">
      <c r="B427" s="133" t="s">
        <v>439</v>
      </c>
      <c r="C427" s="133" t="s">
        <v>90</v>
      </c>
      <c r="D427">
        <f t="shared" si="3"/>
        <v>0</v>
      </c>
      <c r="E427">
        <f t="shared" si="4"/>
        <v>1</v>
      </c>
      <c r="F427">
        <f t="shared" si="5"/>
        <v>0</v>
      </c>
    </row>
    <row r="428" spans="2:6">
      <c r="B428" s="133" t="s">
        <v>451</v>
      </c>
      <c r="C428" s="133" t="s">
        <v>92</v>
      </c>
      <c r="D428">
        <f t="shared" si="3"/>
        <v>0</v>
      </c>
      <c r="E428">
        <f t="shared" si="4"/>
        <v>0</v>
      </c>
      <c r="F428">
        <f t="shared" si="5"/>
        <v>0</v>
      </c>
    </row>
    <row r="429" spans="2:6">
      <c r="B429" s="133" t="s">
        <v>451</v>
      </c>
      <c r="C429" s="133" t="s">
        <v>92</v>
      </c>
      <c r="D429">
        <f t="shared" si="3"/>
        <v>1</v>
      </c>
      <c r="E429">
        <f t="shared" si="4"/>
        <v>1</v>
      </c>
      <c r="F429">
        <f t="shared" si="5"/>
        <v>1</v>
      </c>
    </row>
    <row r="430" spans="2:6">
      <c r="B430" s="133" t="s">
        <v>451</v>
      </c>
      <c r="C430" s="133" t="s">
        <v>92</v>
      </c>
      <c r="D430">
        <f t="shared" ref="D430:D493" si="6">IF(B430=B429,1,0)</f>
        <v>1</v>
      </c>
      <c r="E430">
        <f t="shared" ref="E430:E493" si="7">IF(C430=C429,1,0)</f>
        <v>1</v>
      </c>
      <c r="F430">
        <f t="shared" ref="F430:F493" si="8">D430*E430</f>
        <v>1</v>
      </c>
    </row>
    <row r="431" spans="2:6">
      <c r="B431" s="133" t="s">
        <v>451</v>
      </c>
      <c r="C431" s="133" t="s">
        <v>92</v>
      </c>
      <c r="D431">
        <f t="shared" si="6"/>
        <v>1</v>
      </c>
      <c r="E431">
        <f t="shared" si="7"/>
        <v>1</v>
      </c>
      <c r="F431">
        <f t="shared" si="8"/>
        <v>1</v>
      </c>
    </row>
    <row r="432" spans="2:6">
      <c r="B432" s="133" t="s">
        <v>451</v>
      </c>
      <c r="C432" s="133" t="s">
        <v>92</v>
      </c>
      <c r="D432">
        <f t="shared" si="6"/>
        <v>1</v>
      </c>
      <c r="E432">
        <f t="shared" si="7"/>
        <v>1</v>
      </c>
      <c r="F432">
        <f t="shared" si="8"/>
        <v>1</v>
      </c>
    </row>
    <row r="433" spans="2:6">
      <c r="B433" s="133" t="s">
        <v>445</v>
      </c>
      <c r="C433" s="133" t="s">
        <v>94</v>
      </c>
      <c r="D433">
        <f t="shared" si="6"/>
        <v>0</v>
      </c>
      <c r="E433">
        <f t="shared" si="7"/>
        <v>0</v>
      </c>
      <c r="F433">
        <f t="shared" si="8"/>
        <v>0</v>
      </c>
    </row>
    <row r="434" spans="2:6">
      <c r="B434" s="133" t="s">
        <v>445</v>
      </c>
      <c r="C434" s="133" t="s">
        <v>94</v>
      </c>
      <c r="D434">
        <f t="shared" si="6"/>
        <v>1</v>
      </c>
      <c r="E434">
        <f t="shared" si="7"/>
        <v>1</v>
      </c>
      <c r="F434">
        <f t="shared" si="8"/>
        <v>1</v>
      </c>
    </row>
    <row r="435" spans="2:6">
      <c r="B435" s="133" t="s">
        <v>445</v>
      </c>
      <c r="C435" s="133" t="s">
        <v>94</v>
      </c>
      <c r="D435">
        <f t="shared" si="6"/>
        <v>1</v>
      </c>
      <c r="E435">
        <f t="shared" si="7"/>
        <v>1</v>
      </c>
      <c r="F435">
        <f t="shared" si="8"/>
        <v>1</v>
      </c>
    </row>
    <row r="436" spans="2:6">
      <c r="B436" s="133" t="s">
        <v>445</v>
      </c>
      <c r="C436" s="133" t="s">
        <v>94</v>
      </c>
      <c r="D436">
        <f t="shared" si="6"/>
        <v>1</v>
      </c>
      <c r="E436">
        <f t="shared" si="7"/>
        <v>1</v>
      </c>
      <c r="F436">
        <f t="shared" si="8"/>
        <v>1</v>
      </c>
    </row>
    <row r="437" spans="2:6">
      <c r="B437" s="133" t="s">
        <v>445</v>
      </c>
      <c r="C437" s="133" t="s">
        <v>94</v>
      </c>
      <c r="D437">
        <f t="shared" si="6"/>
        <v>1</v>
      </c>
      <c r="E437">
        <f t="shared" si="7"/>
        <v>1</v>
      </c>
      <c r="F437">
        <f t="shared" si="8"/>
        <v>1</v>
      </c>
    </row>
    <row r="438" spans="2:6">
      <c r="B438" s="133" t="s">
        <v>445</v>
      </c>
      <c r="C438" s="133" t="s">
        <v>94</v>
      </c>
      <c r="D438">
        <f t="shared" si="6"/>
        <v>1</v>
      </c>
      <c r="E438">
        <f t="shared" si="7"/>
        <v>1</v>
      </c>
      <c r="F438">
        <f t="shared" si="8"/>
        <v>1</v>
      </c>
    </row>
    <row r="439" spans="2:6">
      <c r="B439" s="133" t="s">
        <v>444</v>
      </c>
      <c r="C439" s="133" t="s">
        <v>96</v>
      </c>
      <c r="D439">
        <f t="shared" si="6"/>
        <v>0</v>
      </c>
      <c r="E439">
        <f t="shared" si="7"/>
        <v>0</v>
      </c>
      <c r="F439">
        <f t="shared" si="8"/>
        <v>0</v>
      </c>
    </row>
    <row r="440" spans="2:6">
      <c r="B440" s="133" t="s">
        <v>444</v>
      </c>
      <c r="C440" s="133" t="s">
        <v>96</v>
      </c>
      <c r="D440">
        <f t="shared" si="6"/>
        <v>1</v>
      </c>
      <c r="E440">
        <f t="shared" si="7"/>
        <v>1</v>
      </c>
      <c r="F440">
        <f t="shared" si="8"/>
        <v>1</v>
      </c>
    </row>
    <row r="441" spans="2:6">
      <c r="B441" s="133" t="s">
        <v>443</v>
      </c>
      <c r="C441" s="133" t="s">
        <v>96</v>
      </c>
      <c r="D441">
        <f t="shared" si="6"/>
        <v>0</v>
      </c>
      <c r="E441">
        <f t="shared" si="7"/>
        <v>1</v>
      </c>
      <c r="F441">
        <f t="shared" si="8"/>
        <v>0</v>
      </c>
    </row>
    <row r="442" spans="2:6">
      <c r="B442" s="133" t="s">
        <v>443</v>
      </c>
      <c r="C442" s="133" t="s">
        <v>96</v>
      </c>
      <c r="D442">
        <f t="shared" si="6"/>
        <v>1</v>
      </c>
      <c r="E442">
        <f t="shared" si="7"/>
        <v>1</v>
      </c>
      <c r="F442">
        <f t="shared" si="8"/>
        <v>1</v>
      </c>
    </row>
    <row r="443" spans="2:6">
      <c r="B443" s="133" t="s">
        <v>435</v>
      </c>
      <c r="C443" s="133" t="s">
        <v>96</v>
      </c>
      <c r="D443">
        <f t="shared" si="6"/>
        <v>0</v>
      </c>
      <c r="E443">
        <f t="shared" si="7"/>
        <v>1</v>
      </c>
      <c r="F443">
        <f t="shared" si="8"/>
        <v>0</v>
      </c>
    </row>
    <row r="444" spans="2:6">
      <c r="B444" s="133" t="s">
        <v>440</v>
      </c>
      <c r="C444" s="133" t="s">
        <v>96</v>
      </c>
      <c r="D444">
        <f t="shared" si="6"/>
        <v>0</v>
      </c>
      <c r="E444">
        <f t="shared" si="7"/>
        <v>1</v>
      </c>
      <c r="F444">
        <f t="shared" si="8"/>
        <v>0</v>
      </c>
    </row>
    <row r="445" spans="2:6">
      <c r="B445" s="133" t="s">
        <v>441</v>
      </c>
      <c r="C445" s="133" t="s">
        <v>96</v>
      </c>
      <c r="D445">
        <f t="shared" si="6"/>
        <v>0</v>
      </c>
      <c r="E445">
        <f t="shared" si="7"/>
        <v>1</v>
      </c>
      <c r="F445">
        <f t="shared" si="8"/>
        <v>0</v>
      </c>
    </row>
    <row r="446" spans="2:6">
      <c r="B446" s="133" t="s">
        <v>435</v>
      </c>
      <c r="C446" s="133" t="s">
        <v>96</v>
      </c>
      <c r="D446">
        <f t="shared" si="6"/>
        <v>0</v>
      </c>
      <c r="E446">
        <f t="shared" si="7"/>
        <v>1</v>
      </c>
      <c r="F446">
        <f t="shared" si="8"/>
        <v>0</v>
      </c>
    </row>
    <row r="447" spans="2:6">
      <c r="B447" s="133" t="s">
        <v>454</v>
      </c>
      <c r="C447" s="133" t="s">
        <v>98</v>
      </c>
      <c r="D447">
        <f t="shared" si="6"/>
        <v>0</v>
      </c>
      <c r="E447">
        <f t="shared" si="7"/>
        <v>0</v>
      </c>
      <c r="F447">
        <f t="shared" si="8"/>
        <v>0</v>
      </c>
    </row>
    <row r="448" spans="2:6">
      <c r="B448" s="133" t="s">
        <v>442</v>
      </c>
      <c r="C448" s="133" t="s">
        <v>100</v>
      </c>
      <c r="D448">
        <f t="shared" si="6"/>
        <v>0</v>
      </c>
      <c r="E448">
        <f t="shared" si="7"/>
        <v>0</v>
      </c>
      <c r="F448">
        <f t="shared" si="8"/>
        <v>0</v>
      </c>
    </row>
    <row r="449" spans="2:6">
      <c r="B449" s="133" t="s">
        <v>442</v>
      </c>
      <c r="C449" s="133" t="s">
        <v>100</v>
      </c>
      <c r="D449">
        <f t="shared" si="6"/>
        <v>1</v>
      </c>
      <c r="E449">
        <f t="shared" si="7"/>
        <v>1</v>
      </c>
      <c r="F449">
        <f t="shared" si="8"/>
        <v>1</v>
      </c>
    </row>
    <row r="450" spans="2:6">
      <c r="B450" s="133" t="s">
        <v>439</v>
      </c>
      <c r="C450" s="133" t="s">
        <v>100</v>
      </c>
      <c r="D450">
        <f t="shared" si="6"/>
        <v>0</v>
      </c>
      <c r="E450">
        <f t="shared" si="7"/>
        <v>1</v>
      </c>
      <c r="F450">
        <f t="shared" si="8"/>
        <v>0</v>
      </c>
    </row>
    <row r="451" spans="2:6">
      <c r="B451" s="133" t="s">
        <v>442</v>
      </c>
      <c r="C451" s="133" t="s">
        <v>100</v>
      </c>
      <c r="D451">
        <f t="shared" si="6"/>
        <v>0</v>
      </c>
      <c r="E451">
        <f t="shared" si="7"/>
        <v>1</v>
      </c>
      <c r="F451">
        <f t="shared" si="8"/>
        <v>0</v>
      </c>
    </row>
    <row r="452" spans="2:6">
      <c r="B452" s="133" t="s">
        <v>439</v>
      </c>
      <c r="C452" s="133" t="s">
        <v>100</v>
      </c>
      <c r="D452">
        <f t="shared" si="6"/>
        <v>0</v>
      </c>
      <c r="E452">
        <f t="shared" si="7"/>
        <v>1</v>
      </c>
      <c r="F452">
        <f t="shared" si="8"/>
        <v>0</v>
      </c>
    </row>
    <row r="453" spans="2:6">
      <c r="B453" s="133" t="s">
        <v>439</v>
      </c>
      <c r="C453" s="133" t="s">
        <v>100</v>
      </c>
      <c r="D453">
        <f t="shared" si="6"/>
        <v>1</v>
      </c>
      <c r="E453">
        <f t="shared" si="7"/>
        <v>1</v>
      </c>
      <c r="F453">
        <f t="shared" si="8"/>
        <v>1</v>
      </c>
    </row>
    <row r="454" spans="2:6">
      <c r="B454" s="133" t="s">
        <v>439</v>
      </c>
      <c r="C454" s="133" t="s">
        <v>100</v>
      </c>
      <c r="D454">
        <f t="shared" si="6"/>
        <v>1</v>
      </c>
      <c r="E454">
        <f t="shared" si="7"/>
        <v>1</v>
      </c>
      <c r="F454">
        <f t="shared" si="8"/>
        <v>1</v>
      </c>
    </row>
    <row r="455" spans="2:6">
      <c r="B455" s="133" t="s">
        <v>442</v>
      </c>
      <c r="C455" s="133" t="s">
        <v>100</v>
      </c>
      <c r="D455">
        <f t="shared" si="6"/>
        <v>0</v>
      </c>
      <c r="E455">
        <f t="shared" si="7"/>
        <v>1</v>
      </c>
      <c r="F455">
        <f t="shared" si="8"/>
        <v>0</v>
      </c>
    </row>
    <row r="456" spans="2:6">
      <c r="B456" s="133" t="s">
        <v>442</v>
      </c>
      <c r="C456" s="133" t="s">
        <v>100</v>
      </c>
      <c r="D456">
        <f t="shared" si="6"/>
        <v>1</v>
      </c>
      <c r="E456">
        <f t="shared" si="7"/>
        <v>1</v>
      </c>
      <c r="F456">
        <f t="shared" si="8"/>
        <v>1</v>
      </c>
    </row>
    <row r="457" spans="2:6">
      <c r="B457" s="133" t="s">
        <v>441</v>
      </c>
      <c r="C457" s="133" t="s">
        <v>102</v>
      </c>
      <c r="D457">
        <f t="shared" si="6"/>
        <v>0</v>
      </c>
      <c r="E457">
        <f t="shared" si="7"/>
        <v>0</v>
      </c>
      <c r="F457">
        <f t="shared" si="8"/>
        <v>0</v>
      </c>
    </row>
    <row r="458" spans="2:6">
      <c r="B458" s="133" t="s">
        <v>442</v>
      </c>
      <c r="C458" s="133" t="s">
        <v>102</v>
      </c>
      <c r="D458">
        <f t="shared" si="6"/>
        <v>0</v>
      </c>
      <c r="E458">
        <f t="shared" si="7"/>
        <v>1</v>
      </c>
      <c r="F458">
        <f t="shared" si="8"/>
        <v>0</v>
      </c>
    </row>
    <row r="459" spans="2:6">
      <c r="B459" s="133" t="s">
        <v>442</v>
      </c>
      <c r="C459" s="133" t="s">
        <v>102</v>
      </c>
      <c r="D459">
        <f t="shared" si="6"/>
        <v>1</v>
      </c>
      <c r="E459">
        <f t="shared" si="7"/>
        <v>1</v>
      </c>
      <c r="F459">
        <f t="shared" si="8"/>
        <v>1</v>
      </c>
    </row>
    <row r="460" spans="2:6">
      <c r="B460" s="133" t="s">
        <v>442</v>
      </c>
      <c r="C460" s="133" t="s">
        <v>102</v>
      </c>
      <c r="D460">
        <f t="shared" si="6"/>
        <v>1</v>
      </c>
      <c r="E460">
        <f t="shared" si="7"/>
        <v>1</v>
      </c>
      <c r="F460">
        <f t="shared" si="8"/>
        <v>1</v>
      </c>
    </row>
    <row r="461" spans="2:6">
      <c r="B461" s="133" t="s">
        <v>442</v>
      </c>
      <c r="C461" s="133" t="s">
        <v>102</v>
      </c>
      <c r="D461">
        <f t="shared" si="6"/>
        <v>1</v>
      </c>
      <c r="E461">
        <f t="shared" si="7"/>
        <v>1</v>
      </c>
      <c r="F461">
        <f t="shared" si="8"/>
        <v>1</v>
      </c>
    </row>
    <row r="462" spans="2:6">
      <c r="B462" s="133" t="s">
        <v>442</v>
      </c>
      <c r="C462" s="133" t="s">
        <v>102</v>
      </c>
      <c r="D462">
        <f t="shared" si="6"/>
        <v>1</v>
      </c>
      <c r="E462">
        <f t="shared" si="7"/>
        <v>1</v>
      </c>
      <c r="F462">
        <f t="shared" si="8"/>
        <v>1</v>
      </c>
    </row>
    <row r="463" spans="2:6">
      <c r="B463" s="133" t="s">
        <v>442</v>
      </c>
      <c r="C463" s="133" t="s">
        <v>102</v>
      </c>
      <c r="D463">
        <f t="shared" si="6"/>
        <v>1</v>
      </c>
      <c r="E463">
        <f t="shared" si="7"/>
        <v>1</v>
      </c>
      <c r="F463">
        <f t="shared" si="8"/>
        <v>1</v>
      </c>
    </row>
    <row r="464" spans="2:6">
      <c r="B464" s="133" t="s">
        <v>446</v>
      </c>
      <c r="C464" s="133" t="s">
        <v>102</v>
      </c>
      <c r="D464">
        <f t="shared" si="6"/>
        <v>0</v>
      </c>
      <c r="E464">
        <f t="shared" si="7"/>
        <v>1</v>
      </c>
      <c r="F464">
        <f t="shared" si="8"/>
        <v>0</v>
      </c>
    </row>
    <row r="465" spans="2:6">
      <c r="B465" s="133" t="s">
        <v>441</v>
      </c>
      <c r="C465" s="133" t="s">
        <v>104</v>
      </c>
      <c r="D465">
        <f t="shared" si="6"/>
        <v>0</v>
      </c>
      <c r="E465">
        <f t="shared" si="7"/>
        <v>0</v>
      </c>
      <c r="F465">
        <f t="shared" si="8"/>
        <v>0</v>
      </c>
    </row>
    <row r="466" spans="2:6">
      <c r="B466" s="133" t="s">
        <v>441</v>
      </c>
      <c r="C466" s="133" t="s">
        <v>104</v>
      </c>
      <c r="D466">
        <f t="shared" si="6"/>
        <v>1</v>
      </c>
      <c r="E466">
        <f t="shared" si="7"/>
        <v>1</v>
      </c>
      <c r="F466">
        <f t="shared" si="8"/>
        <v>1</v>
      </c>
    </row>
    <row r="467" spans="2:6">
      <c r="B467" s="133" t="s">
        <v>441</v>
      </c>
      <c r="C467" s="133" t="s">
        <v>104</v>
      </c>
      <c r="D467">
        <f t="shared" si="6"/>
        <v>1</v>
      </c>
      <c r="E467">
        <f t="shared" si="7"/>
        <v>1</v>
      </c>
      <c r="F467">
        <f t="shared" si="8"/>
        <v>1</v>
      </c>
    </row>
    <row r="468" spans="2:6">
      <c r="B468" s="133" t="s">
        <v>441</v>
      </c>
      <c r="C468" s="133" t="s">
        <v>104</v>
      </c>
      <c r="D468">
        <f t="shared" si="6"/>
        <v>1</v>
      </c>
      <c r="E468">
        <f t="shared" si="7"/>
        <v>1</v>
      </c>
      <c r="F468">
        <f t="shared" si="8"/>
        <v>1</v>
      </c>
    </row>
    <row r="469" spans="2:6">
      <c r="B469" s="133" t="s">
        <v>441</v>
      </c>
      <c r="C469" s="133" t="s">
        <v>104</v>
      </c>
      <c r="D469">
        <f t="shared" si="6"/>
        <v>1</v>
      </c>
      <c r="E469">
        <f t="shared" si="7"/>
        <v>1</v>
      </c>
      <c r="F469">
        <f t="shared" si="8"/>
        <v>1</v>
      </c>
    </row>
    <row r="470" spans="2:6">
      <c r="B470" s="133" t="s">
        <v>446</v>
      </c>
      <c r="C470" s="133" t="s">
        <v>104</v>
      </c>
      <c r="D470">
        <f t="shared" si="6"/>
        <v>0</v>
      </c>
      <c r="E470">
        <f t="shared" si="7"/>
        <v>1</v>
      </c>
      <c r="F470">
        <f t="shared" si="8"/>
        <v>0</v>
      </c>
    </row>
    <row r="471" spans="2:6">
      <c r="B471" s="133" t="s">
        <v>441</v>
      </c>
      <c r="C471" s="133" t="s">
        <v>106</v>
      </c>
      <c r="D471">
        <f t="shared" si="6"/>
        <v>0</v>
      </c>
      <c r="E471">
        <f t="shared" si="7"/>
        <v>0</v>
      </c>
      <c r="F471">
        <f t="shared" si="8"/>
        <v>0</v>
      </c>
    </row>
    <row r="472" spans="2:6">
      <c r="B472" s="133" t="s">
        <v>441</v>
      </c>
      <c r="C472" s="133" t="s">
        <v>106</v>
      </c>
      <c r="D472">
        <f t="shared" si="6"/>
        <v>1</v>
      </c>
      <c r="E472">
        <f t="shared" si="7"/>
        <v>1</v>
      </c>
      <c r="F472">
        <f t="shared" si="8"/>
        <v>1</v>
      </c>
    </row>
    <row r="473" spans="2:6">
      <c r="B473" s="133" t="s">
        <v>446</v>
      </c>
      <c r="C473" s="133" t="s">
        <v>106</v>
      </c>
      <c r="D473">
        <f t="shared" si="6"/>
        <v>0</v>
      </c>
      <c r="E473">
        <f t="shared" si="7"/>
        <v>1</v>
      </c>
      <c r="F473">
        <f t="shared" si="8"/>
        <v>0</v>
      </c>
    </row>
    <row r="474" spans="2:6">
      <c r="B474" s="133" t="s">
        <v>441</v>
      </c>
      <c r="C474" s="133" t="s">
        <v>108</v>
      </c>
      <c r="D474">
        <f t="shared" si="6"/>
        <v>0</v>
      </c>
      <c r="E474">
        <f t="shared" si="7"/>
        <v>0</v>
      </c>
      <c r="F474">
        <f t="shared" si="8"/>
        <v>0</v>
      </c>
    </row>
    <row r="475" spans="2:6">
      <c r="B475" s="133" t="s">
        <v>440</v>
      </c>
      <c r="C475" s="133" t="s">
        <v>110</v>
      </c>
      <c r="D475">
        <f t="shared" si="6"/>
        <v>0</v>
      </c>
      <c r="E475">
        <f t="shared" si="7"/>
        <v>0</v>
      </c>
      <c r="F475">
        <f t="shared" si="8"/>
        <v>0</v>
      </c>
    </row>
    <row r="476" spans="2:6">
      <c r="B476" s="133" t="s">
        <v>442</v>
      </c>
      <c r="C476" s="133" t="s">
        <v>110</v>
      </c>
      <c r="D476">
        <f t="shared" si="6"/>
        <v>0</v>
      </c>
      <c r="E476">
        <f t="shared" si="7"/>
        <v>1</v>
      </c>
      <c r="F476">
        <f t="shared" si="8"/>
        <v>0</v>
      </c>
    </row>
    <row r="477" spans="2:6">
      <c r="B477" s="133" t="s">
        <v>442</v>
      </c>
      <c r="C477" s="133" t="s">
        <v>110</v>
      </c>
      <c r="D477">
        <f t="shared" si="6"/>
        <v>1</v>
      </c>
      <c r="E477">
        <f t="shared" si="7"/>
        <v>1</v>
      </c>
      <c r="F477">
        <f t="shared" si="8"/>
        <v>1</v>
      </c>
    </row>
    <row r="478" spans="2:6">
      <c r="B478" s="133" t="s">
        <v>454</v>
      </c>
      <c r="C478" s="133" t="s">
        <v>110</v>
      </c>
      <c r="D478">
        <f t="shared" si="6"/>
        <v>0</v>
      </c>
      <c r="E478">
        <f t="shared" si="7"/>
        <v>1</v>
      </c>
      <c r="F478">
        <f t="shared" si="8"/>
        <v>0</v>
      </c>
    </row>
    <row r="479" spans="2:6">
      <c r="B479" s="133" t="s">
        <v>448</v>
      </c>
      <c r="C479" s="133" t="s">
        <v>112</v>
      </c>
      <c r="D479">
        <f t="shared" si="6"/>
        <v>0</v>
      </c>
      <c r="E479">
        <f t="shared" si="7"/>
        <v>0</v>
      </c>
      <c r="F479">
        <f t="shared" si="8"/>
        <v>0</v>
      </c>
    </row>
    <row r="480" spans="2:6">
      <c r="B480" s="133" t="s">
        <v>454</v>
      </c>
      <c r="C480" s="133" t="s">
        <v>114</v>
      </c>
      <c r="D480">
        <f t="shared" si="6"/>
        <v>0</v>
      </c>
      <c r="E480">
        <f t="shared" si="7"/>
        <v>0</v>
      </c>
      <c r="F480">
        <f t="shared" si="8"/>
        <v>0</v>
      </c>
    </row>
    <row r="481" spans="2:6">
      <c r="B481" s="133" t="s">
        <v>454</v>
      </c>
      <c r="C481" s="133" t="s">
        <v>114</v>
      </c>
      <c r="D481">
        <f t="shared" si="6"/>
        <v>1</v>
      </c>
      <c r="E481">
        <f t="shared" si="7"/>
        <v>1</v>
      </c>
      <c r="F481">
        <f t="shared" si="8"/>
        <v>1</v>
      </c>
    </row>
    <row r="482" spans="2:6">
      <c r="B482" s="133" t="s">
        <v>441</v>
      </c>
      <c r="C482" s="133" t="s">
        <v>114</v>
      </c>
      <c r="D482">
        <f t="shared" si="6"/>
        <v>0</v>
      </c>
      <c r="E482">
        <f t="shared" si="7"/>
        <v>1</v>
      </c>
      <c r="F482">
        <f t="shared" si="8"/>
        <v>0</v>
      </c>
    </row>
    <row r="483" spans="2:6">
      <c r="B483" s="133" t="s">
        <v>440</v>
      </c>
      <c r="C483" s="133" t="s">
        <v>114</v>
      </c>
      <c r="D483">
        <f t="shared" si="6"/>
        <v>0</v>
      </c>
      <c r="E483">
        <f t="shared" si="7"/>
        <v>1</v>
      </c>
      <c r="F483">
        <f t="shared" si="8"/>
        <v>0</v>
      </c>
    </row>
    <row r="484" spans="2:6">
      <c r="B484" s="133" t="s">
        <v>440</v>
      </c>
      <c r="C484" s="133" t="s">
        <v>114</v>
      </c>
      <c r="D484">
        <f t="shared" si="6"/>
        <v>1</v>
      </c>
      <c r="E484">
        <f t="shared" si="7"/>
        <v>1</v>
      </c>
      <c r="F484">
        <f t="shared" si="8"/>
        <v>1</v>
      </c>
    </row>
    <row r="485" spans="2:6">
      <c r="B485" s="133" t="s">
        <v>440</v>
      </c>
      <c r="C485" s="133" t="s">
        <v>114</v>
      </c>
      <c r="D485">
        <f t="shared" si="6"/>
        <v>1</v>
      </c>
      <c r="E485">
        <f t="shared" si="7"/>
        <v>1</v>
      </c>
      <c r="F485">
        <f t="shared" si="8"/>
        <v>1</v>
      </c>
    </row>
    <row r="486" spans="2:6">
      <c r="B486" s="133" t="s">
        <v>440</v>
      </c>
      <c r="C486" s="133" t="s">
        <v>114</v>
      </c>
      <c r="D486">
        <f t="shared" si="6"/>
        <v>1</v>
      </c>
      <c r="E486">
        <f t="shared" si="7"/>
        <v>1</v>
      </c>
      <c r="F486">
        <f t="shared" si="8"/>
        <v>1</v>
      </c>
    </row>
    <row r="487" spans="2:6">
      <c r="B487" s="133" t="s">
        <v>453</v>
      </c>
      <c r="C487" s="133" t="s">
        <v>116</v>
      </c>
      <c r="D487">
        <f t="shared" si="6"/>
        <v>0</v>
      </c>
      <c r="E487">
        <f t="shared" si="7"/>
        <v>0</v>
      </c>
      <c r="F487">
        <f t="shared" si="8"/>
        <v>0</v>
      </c>
    </row>
    <row r="488" spans="2:6">
      <c r="B488" s="133" t="s">
        <v>453</v>
      </c>
      <c r="C488" s="133" t="s">
        <v>116</v>
      </c>
      <c r="D488">
        <f t="shared" si="6"/>
        <v>1</v>
      </c>
      <c r="E488">
        <f t="shared" si="7"/>
        <v>1</v>
      </c>
      <c r="F488">
        <f t="shared" si="8"/>
        <v>1</v>
      </c>
    </row>
    <row r="489" spans="2:6">
      <c r="B489" s="133" t="s">
        <v>440</v>
      </c>
      <c r="C489" s="133" t="s">
        <v>116</v>
      </c>
      <c r="D489">
        <f t="shared" si="6"/>
        <v>0</v>
      </c>
      <c r="E489">
        <f t="shared" si="7"/>
        <v>1</v>
      </c>
      <c r="F489">
        <f t="shared" si="8"/>
        <v>0</v>
      </c>
    </row>
    <row r="490" spans="2:6">
      <c r="B490" s="133" t="s">
        <v>453</v>
      </c>
      <c r="C490" s="133" t="s">
        <v>116</v>
      </c>
      <c r="D490">
        <f t="shared" si="6"/>
        <v>0</v>
      </c>
      <c r="E490">
        <f t="shared" si="7"/>
        <v>1</v>
      </c>
      <c r="F490">
        <f t="shared" si="8"/>
        <v>0</v>
      </c>
    </row>
    <row r="491" spans="2:6">
      <c r="B491" s="133" t="s">
        <v>441</v>
      </c>
      <c r="C491" s="133" t="s">
        <v>116</v>
      </c>
      <c r="D491">
        <f t="shared" si="6"/>
        <v>0</v>
      </c>
      <c r="E491">
        <f t="shared" si="7"/>
        <v>1</v>
      </c>
      <c r="F491">
        <f t="shared" si="8"/>
        <v>0</v>
      </c>
    </row>
    <row r="492" spans="2:6">
      <c r="B492" s="133" t="s">
        <v>453</v>
      </c>
      <c r="C492" s="133" t="s">
        <v>118</v>
      </c>
      <c r="D492">
        <f t="shared" si="6"/>
        <v>0</v>
      </c>
      <c r="E492">
        <f t="shared" si="7"/>
        <v>0</v>
      </c>
      <c r="F492">
        <f t="shared" si="8"/>
        <v>0</v>
      </c>
    </row>
    <row r="493" spans="2:6">
      <c r="B493" s="133" t="s">
        <v>441</v>
      </c>
      <c r="C493" s="133" t="s">
        <v>120</v>
      </c>
      <c r="D493">
        <f t="shared" si="6"/>
        <v>0</v>
      </c>
      <c r="E493">
        <f t="shared" si="7"/>
        <v>0</v>
      </c>
      <c r="F493">
        <f t="shared" si="8"/>
        <v>0</v>
      </c>
    </row>
    <row r="494" spans="2:6">
      <c r="B494" s="133" t="s">
        <v>446</v>
      </c>
      <c r="C494" s="133" t="s">
        <v>120</v>
      </c>
      <c r="D494">
        <f t="shared" ref="D494:D557" si="9">IF(B494=B493,1,0)</f>
        <v>0</v>
      </c>
      <c r="E494">
        <f t="shared" ref="E494:E557" si="10">IF(C494=C493,1,0)</f>
        <v>1</v>
      </c>
      <c r="F494">
        <f t="shared" ref="F494:F557" si="11">D494*E494</f>
        <v>0</v>
      </c>
    </row>
    <row r="495" spans="2:6">
      <c r="B495" s="133" t="s">
        <v>443</v>
      </c>
      <c r="C495" s="133" t="s">
        <v>120</v>
      </c>
      <c r="D495">
        <f t="shared" si="9"/>
        <v>0</v>
      </c>
      <c r="E495">
        <f t="shared" si="10"/>
        <v>1</v>
      </c>
      <c r="F495">
        <f t="shared" si="11"/>
        <v>0</v>
      </c>
    </row>
    <row r="496" spans="2:6">
      <c r="B496" s="133" t="s">
        <v>451</v>
      </c>
      <c r="C496" s="133" t="s">
        <v>120</v>
      </c>
      <c r="D496">
        <f t="shared" si="9"/>
        <v>0</v>
      </c>
      <c r="E496">
        <f t="shared" si="10"/>
        <v>1</v>
      </c>
      <c r="F496">
        <f t="shared" si="11"/>
        <v>0</v>
      </c>
    </row>
    <row r="497" spans="2:6">
      <c r="B497" s="133" t="s">
        <v>435</v>
      </c>
      <c r="C497" s="133" t="s">
        <v>120</v>
      </c>
      <c r="D497">
        <f t="shared" si="9"/>
        <v>0</v>
      </c>
      <c r="E497">
        <f t="shared" si="10"/>
        <v>1</v>
      </c>
      <c r="F497">
        <f t="shared" si="11"/>
        <v>0</v>
      </c>
    </row>
    <row r="498" spans="2:6">
      <c r="B498" s="133" t="s">
        <v>448</v>
      </c>
      <c r="C498" s="133" t="s">
        <v>122</v>
      </c>
      <c r="D498">
        <f t="shared" si="9"/>
        <v>0</v>
      </c>
      <c r="E498">
        <f t="shared" si="10"/>
        <v>0</v>
      </c>
      <c r="F498">
        <f t="shared" si="11"/>
        <v>0</v>
      </c>
    </row>
    <row r="499" spans="2:6">
      <c r="B499" s="133" t="s">
        <v>448</v>
      </c>
      <c r="C499" s="133" t="s">
        <v>122</v>
      </c>
      <c r="D499">
        <f t="shared" si="9"/>
        <v>1</v>
      </c>
      <c r="E499">
        <f t="shared" si="10"/>
        <v>1</v>
      </c>
      <c r="F499">
        <f t="shared" si="11"/>
        <v>1</v>
      </c>
    </row>
    <row r="500" spans="2:6">
      <c r="B500" s="133" t="s">
        <v>448</v>
      </c>
      <c r="C500" s="133" t="s">
        <v>122</v>
      </c>
      <c r="D500">
        <f t="shared" si="9"/>
        <v>1</v>
      </c>
      <c r="E500">
        <f t="shared" si="10"/>
        <v>1</v>
      </c>
      <c r="F500">
        <f t="shared" si="11"/>
        <v>1</v>
      </c>
    </row>
    <row r="501" spans="2:6">
      <c r="B501" s="133" t="s">
        <v>448</v>
      </c>
      <c r="C501" s="133" t="s">
        <v>122</v>
      </c>
      <c r="D501">
        <f t="shared" si="9"/>
        <v>1</v>
      </c>
      <c r="E501">
        <f t="shared" si="10"/>
        <v>1</v>
      </c>
      <c r="F501">
        <f t="shared" si="11"/>
        <v>1</v>
      </c>
    </row>
    <row r="502" spans="2:6">
      <c r="B502" s="133" t="s">
        <v>448</v>
      </c>
      <c r="C502" s="133" t="s">
        <v>122</v>
      </c>
      <c r="D502">
        <f t="shared" si="9"/>
        <v>1</v>
      </c>
      <c r="E502">
        <f t="shared" si="10"/>
        <v>1</v>
      </c>
      <c r="F502">
        <f t="shared" si="11"/>
        <v>1</v>
      </c>
    </row>
    <row r="503" spans="2:6">
      <c r="B503" s="133" t="s">
        <v>448</v>
      </c>
      <c r="C503" s="133" t="s">
        <v>122</v>
      </c>
      <c r="D503">
        <f t="shared" si="9"/>
        <v>1</v>
      </c>
      <c r="E503">
        <f t="shared" si="10"/>
        <v>1</v>
      </c>
      <c r="F503">
        <f t="shared" si="11"/>
        <v>1</v>
      </c>
    </row>
    <row r="504" spans="2:6">
      <c r="B504" s="133" t="s">
        <v>448</v>
      </c>
      <c r="C504" s="133" t="s">
        <v>122</v>
      </c>
      <c r="D504">
        <f t="shared" si="9"/>
        <v>1</v>
      </c>
      <c r="E504">
        <f t="shared" si="10"/>
        <v>1</v>
      </c>
      <c r="F504">
        <f t="shared" si="11"/>
        <v>1</v>
      </c>
    </row>
    <row r="505" spans="2:6">
      <c r="B505" s="133" t="s">
        <v>448</v>
      </c>
      <c r="C505" s="133" t="s">
        <v>122</v>
      </c>
      <c r="D505">
        <f t="shared" si="9"/>
        <v>1</v>
      </c>
      <c r="E505">
        <f t="shared" si="10"/>
        <v>1</v>
      </c>
      <c r="F505">
        <f t="shared" si="11"/>
        <v>1</v>
      </c>
    </row>
    <row r="506" spans="2:6">
      <c r="B506" s="133" t="s">
        <v>448</v>
      </c>
      <c r="C506" s="133" t="s">
        <v>122</v>
      </c>
      <c r="D506">
        <f t="shared" si="9"/>
        <v>1</v>
      </c>
      <c r="E506">
        <f t="shared" si="10"/>
        <v>1</v>
      </c>
      <c r="F506">
        <f t="shared" si="11"/>
        <v>1</v>
      </c>
    </row>
    <row r="507" spans="2:6">
      <c r="B507" s="133" t="s">
        <v>441</v>
      </c>
      <c r="C507" s="133" t="s">
        <v>124</v>
      </c>
      <c r="D507">
        <f t="shared" si="9"/>
        <v>0</v>
      </c>
      <c r="E507">
        <f t="shared" si="10"/>
        <v>0</v>
      </c>
      <c r="F507">
        <f t="shared" si="11"/>
        <v>0</v>
      </c>
    </row>
    <row r="508" spans="2:6">
      <c r="B508" s="133" t="s">
        <v>449</v>
      </c>
      <c r="C508" s="133" t="s">
        <v>124</v>
      </c>
      <c r="D508">
        <f t="shared" si="9"/>
        <v>0</v>
      </c>
      <c r="E508">
        <f t="shared" si="10"/>
        <v>1</v>
      </c>
      <c r="F508">
        <f t="shared" si="11"/>
        <v>0</v>
      </c>
    </row>
    <row r="509" spans="2:6">
      <c r="B509" s="133" t="s">
        <v>449</v>
      </c>
      <c r="C509" s="133" t="s">
        <v>124</v>
      </c>
      <c r="D509">
        <f t="shared" si="9"/>
        <v>1</v>
      </c>
      <c r="E509">
        <f t="shared" si="10"/>
        <v>1</v>
      </c>
      <c r="F509">
        <f t="shared" si="11"/>
        <v>1</v>
      </c>
    </row>
    <row r="510" spans="2:6">
      <c r="B510" s="133" t="s">
        <v>441</v>
      </c>
      <c r="C510" s="133" t="s">
        <v>126</v>
      </c>
      <c r="D510">
        <f t="shared" si="9"/>
        <v>0</v>
      </c>
      <c r="E510">
        <f t="shared" si="10"/>
        <v>0</v>
      </c>
      <c r="F510">
        <f t="shared" si="11"/>
        <v>0</v>
      </c>
    </row>
    <row r="511" spans="2:6">
      <c r="B511" s="133" t="s">
        <v>441</v>
      </c>
      <c r="C511" s="133" t="s">
        <v>126</v>
      </c>
      <c r="D511">
        <f t="shared" si="9"/>
        <v>1</v>
      </c>
      <c r="E511">
        <f t="shared" si="10"/>
        <v>1</v>
      </c>
      <c r="F511">
        <f t="shared" si="11"/>
        <v>1</v>
      </c>
    </row>
    <row r="512" spans="2:6">
      <c r="B512" s="133" t="s">
        <v>441</v>
      </c>
      <c r="C512" s="133" t="s">
        <v>126</v>
      </c>
      <c r="D512">
        <f t="shared" si="9"/>
        <v>1</v>
      </c>
      <c r="E512">
        <f t="shared" si="10"/>
        <v>1</v>
      </c>
      <c r="F512">
        <f t="shared" si="11"/>
        <v>1</v>
      </c>
    </row>
    <row r="513" spans="2:6">
      <c r="B513" s="133" t="s">
        <v>442</v>
      </c>
      <c r="C513" s="133" t="s">
        <v>126</v>
      </c>
      <c r="D513">
        <f t="shared" si="9"/>
        <v>0</v>
      </c>
      <c r="E513">
        <f t="shared" si="10"/>
        <v>1</v>
      </c>
      <c r="F513">
        <f t="shared" si="11"/>
        <v>0</v>
      </c>
    </row>
    <row r="514" spans="2:6">
      <c r="B514" s="133" t="s">
        <v>441</v>
      </c>
      <c r="C514" s="133" t="s">
        <v>126</v>
      </c>
      <c r="D514">
        <f t="shared" si="9"/>
        <v>0</v>
      </c>
      <c r="E514">
        <f t="shared" si="10"/>
        <v>1</v>
      </c>
      <c r="F514">
        <f t="shared" si="11"/>
        <v>0</v>
      </c>
    </row>
    <row r="515" spans="2:6">
      <c r="B515" s="133" t="s">
        <v>441</v>
      </c>
      <c r="C515" s="133" t="s">
        <v>126</v>
      </c>
      <c r="D515">
        <f t="shared" si="9"/>
        <v>1</v>
      </c>
      <c r="E515">
        <f t="shared" si="10"/>
        <v>1</v>
      </c>
      <c r="F515">
        <f t="shared" si="11"/>
        <v>1</v>
      </c>
    </row>
    <row r="516" spans="2:6">
      <c r="B516" s="133" t="s">
        <v>441</v>
      </c>
      <c r="C516" s="133" t="s">
        <v>126</v>
      </c>
      <c r="D516">
        <f t="shared" si="9"/>
        <v>1</v>
      </c>
      <c r="E516">
        <f t="shared" si="10"/>
        <v>1</v>
      </c>
      <c r="F516">
        <f t="shared" si="11"/>
        <v>1</v>
      </c>
    </row>
    <row r="517" spans="2:6">
      <c r="B517" s="133" t="s">
        <v>442</v>
      </c>
      <c r="C517" s="133" t="s">
        <v>128</v>
      </c>
      <c r="D517">
        <f t="shared" si="9"/>
        <v>0</v>
      </c>
      <c r="E517">
        <f t="shared" si="10"/>
        <v>0</v>
      </c>
      <c r="F517">
        <f t="shared" si="11"/>
        <v>0</v>
      </c>
    </row>
    <row r="518" spans="2:6">
      <c r="B518" s="133" t="s">
        <v>442</v>
      </c>
      <c r="C518" s="133" t="s">
        <v>128</v>
      </c>
      <c r="D518">
        <f t="shared" si="9"/>
        <v>1</v>
      </c>
      <c r="E518">
        <f t="shared" si="10"/>
        <v>1</v>
      </c>
      <c r="F518">
        <f t="shared" si="11"/>
        <v>1</v>
      </c>
    </row>
    <row r="519" spans="2:6">
      <c r="B519" s="133" t="s">
        <v>442</v>
      </c>
      <c r="C519" s="133" t="s">
        <v>128</v>
      </c>
      <c r="D519">
        <f t="shared" si="9"/>
        <v>1</v>
      </c>
      <c r="E519">
        <f t="shared" si="10"/>
        <v>1</v>
      </c>
      <c r="F519">
        <f t="shared" si="11"/>
        <v>1</v>
      </c>
    </row>
    <row r="520" spans="2:6">
      <c r="B520" s="133" t="s">
        <v>438</v>
      </c>
      <c r="C520" s="133" t="s">
        <v>128</v>
      </c>
      <c r="D520">
        <f t="shared" si="9"/>
        <v>0</v>
      </c>
      <c r="E520">
        <f t="shared" si="10"/>
        <v>1</v>
      </c>
      <c r="F520">
        <f t="shared" si="11"/>
        <v>0</v>
      </c>
    </row>
    <row r="521" spans="2:6">
      <c r="B521" s="133" t="s">
        <v>435</v>
      </c>
      <c r="C521" s="133" t="s">
        <v>128</v>
      </c>
      <c r="D521">
        <f t="shared" si="9"/>
        <v>0</v>
      </c>
      <c r="E521">
        <f t="shared" si="10"/>
        <v>1</v>
      </c>
      <c r="F521">
        <f t="shared" si="11"/>
        <v>0</v>
      </c>
    </row>
    <row r="522" spans="2:6">
      <c r="B522" s="133" t="s">
        <v>446</v>
      </c>
      <c r="C522" s="133" t="s">
        <v>128</v>
      </c>
      <c r="D522">
        <f t="shared" si="9"/>
        <v>0</v>
      </c>
      <c r="E522">
        <f t="shared" si="10"/>
        <v>1</v>
      </c>
      <c r="F522">
        <f t="shared" si="11"/>
        <v>0</v>
      </c>
    </row>
    <row r="523" spans="2:6">
      <c r="B523" s="133" t="s">
        <v>451</v>
      </c>
      <c r="C523" s="133" t="s">
        <v>128</v>
      </c>
      <c r="D523">
        <f t="shared" si="9"/>
        <v>0</v>
      </c>
      <c r="E523">
        <f t="shared" si="10"/>
        <v>1</v>
      </c>
      <c r="F523">
        <f t="shared" si="11"/>
        <v>0</v>
      </c>
    </row>
    <row r="524" spans="2:6">
      <c r="B524" s="133" t="s">
        <v>454</v>
      </c>
      <c r="C524" s="133" t="s">
        <v>130</v>
      </c>
      <c r="D524">
        <f t="shared" si="9"/>
        <v>0</v>
      </c>
      <c r="E524">
        <f t="shared" si="10"/>
        <v>0</v>
      </c>
      <c r="F524">
        <f t="shared" si="11"/>
        <v>0</v>
      </c>
    </row>
    <row r="525" spans="2:6">
      <c r="B525" s="133" t="s">
        <v>454</v>
      </c>
      <c r="C525" s="133" t="s">
        <v>130</v>
      </c>
      <c r="D525">
        <f t="shared" si="9"/>
        <v>1</v>
      </c>
      <c r="E525">
        <f t="shared" si="10"/>
        <v>1</v>
      </c>
      <c r="F525">
        <f t="shared" si="11"/>
        <v>1</v>
      </c>
    </row>
    <row r="526" spans="2:6">
      <c r="B526" s="133" t="s">
        <v>454</v>
      </c>
      <c r="C526" s="133" t="s">
        <v>130</v>
      </c>
      <c r="D526">
        <f t="shared" si="9"/>
        <v>1</v>
      </c>
      <c r="E526">
        <f t="shared" si="10"/>
        <v>1</v>
      </c>
      <c r="F526">
        <f t="shared" si="11"/>
        <v>1</v>
      </c>
    </row>
    <row r="527" spans="2:6">
      <c r="B527" s="133" t="s">
        <v>454</v>
      </c>
      <c r="C527" s="133" t="s">
        <v>130</v>
      </c>
      <c r="D527">
        <f t="shared" si="9"/>
        <v>1</v>
      </c>
      <c r="E527">
        <f t="shared" si="10"/>
        <v>1</v>
      </c>
      <c r="F527">
        <f t="shared" si="11"/>
        <v>1</v>
      </c>
    </row>
    <row r="528" spans="2:6">
      <c r="B528" s="133" t="s">
        <v>442</v>
      </c>
      <c r="C528" s="133" t="s">
        <v>130</v>
      </c>
      <c r="D528">
        <f t="shared" si="9"/>
        <v>0</v>
      </c>
      <c r="E528">
        <f t="shared" si="10"/>
        <v>1</v>
      </c>
      <c r="F528">
        <f t="shared" si="11"/>
        <v>0</v>
      </c>
    </row>
    <row r="529" spans="2:6">
      <c r="B529" s="133" t="s">
        <v>440</v>
      </c>
      <c r="C529" s="133" t="s">
        <v>130</v>
      </c>
      <c r="D529">
        <f t="shared" si="9"/>
        <v>0</v>
      </c>
      <c r="E529">
        <f t="shared" si="10"/>
        <v>1</v>
      </c>
      <c r="F529">
        <f t="shared" si="11"/>
        <v>0</v>
      </c>
    </row>
    <row r="530" spans="2:6">
      <c r="B530" s="133" t="s">
        <v>454</v>
      </c>
      <c r="C530" s="133" t="s">
        <v>130</v>
      </c>
      <c r="D530">
        <f t="shared" si="9"/>
        <v>0</v>
      </c>
      <c r="E530">
        <f t="shared" si="10"/>
        <v>1</v>
      </c>
      <c r="F530">
        <f t="shared" si="11"/>
        <v>0</v>
      </c>
    </row>
    <row r="531" spans="2:6">
      <c r="B531" s="133" t="s">
        <v>454</v>
      </c>
      <c r="C531" s="133" t="s">
        <v>130</v>
      </c>
      <c r="D531">
        <f t="shared" si="9"/>
        <v>1</v>
      </c>
      <c r="E531">
        <f t="shared" si="10"/>
        <v>1</v>
      </c>
      <c r="F531">
        <f t="shared" si="11"/>
        <v>1</v>
      </c>
    </row>
    <row r="532" spans="2:6">
      <c r="B532" s="133" t="s">
        <v>451</v>
      </c>
      <c r="C532" s="133" t="s">
        <v>130</v>
      </c>
      <c r="D532">
        <f t="shared" si="9"/>
        <v>0</v>
      </c>
      <c r="E532">
        <f t="shared" si="10"/>
        <v>1</v>
      </c>
      <c r="F532">
        <f t="shared" si="11"/>
        <v>0</v>
      </c>
    </row>
    <row r="533" spans="2:6">
      <c r="B533" s="133" t="s">
        <v>448</v>
      </c>
      <c r="C533" s="133" t="s">
        <v>132</v>
      </c>
      <c r="D533">
        <f t="shared" si="9"/>
        <v>0</v>
      </c>
      <c r="E533">
        <f t="shared" si="10"/>
        <v>0</v>
      </c>
      <c r="F533">
        <f t="shared" si="11"/>
        <v>0</v>
      </c>
    </row>
    <row r="534" spans="2:6">
      <c r="B534" s="133" t="s">
        <v>448</v>
      </c>
      <c r="C534" s="133" t="s">
        <v>132</v>
      </c>
      <c r="D534">
        <f t="shared" si="9"/>
        <v>1</v>
      </c>
      <c r="E534">
        <f t="shared" si="10"/>
        <v>1</v>
      </c>
      <c r="F534">
        <f t="shared" si="11"/>
        <v>1</v>
      </c>
    </row>
    <row r="535" spans="2:6">
      <c r="B535" s="133" t="s">
        <v>447</v>
      </c>
      <c r="C535" s="133" t="s">
        <v>132</v>
      </c>
      <c r="D535">
        <f t="shared" si="9"/>
        <v>0</v>
      </c>
      <c r="E535">
        <f t="shared" si="10"/>
        <v>1</v>
      </c>
      <c r="F535">
        <f t="shared" si="11"/>
        <v>0</v>
      </c>
    </row>
    <row r="536" spans="2:6">
      <c r="B536" s="133" t="s">
        <v>447</v>
      </c>
      <c r="C536" s="133" t="s">
        <v>132</v>
      </c>
      <c r="D536">
        <f t="shared" si="9"/>
        <v>1</v>
      </c>
      <c r="E536">
        <f t="shared" si="10"/>
        <v>1</v>
      </c>
      <c r="F536">
        <f t="shared" si="11"/>
        <v>1</v>
      </c>
    </row>
    <row r="537" spans="2:6">
      <c r="B537" s="133" t="s">
        <v>454</v>
      </c>
      <c r="C537" s="133" t="s">
        <v>132</v>
      </c>
      <c r="D537">
        <f t="shared" si="9"/>
        <v>0</v>
      </c>
      <c r="E537">
        <f t="shared" si="10"/>
        <v>1</v>
      </c>
      <c r="F537">
        <f t="shared" si="11"/>
        <v>0</v>
      </c>
    </row>
    <row r="538" spans="2:6">
      <c r="B538" s="133" t="s">
        <v>453</v>
      </c>
      <c r="C538" s="133" t="s">
        <v>134</v>
      </c>
      <c r="D538">
        <f t="shared" si="9"/>
        <v>0</v>
      </c>
      <c r="E538">
        <f t="shared" si="10"/>
        <v>0</v>
      </c>
      <c r="F538">
        <f t="shared" si="11"/>
        <v>0</v>
      </c>
    </row>
    <row r="539" spans="2:6">
      <c r="B539" s="133" t="s">
        <v>453</v>
      </c>
      <c r="C539" s="133" t="s">
        <v>134</v>
      </c>
      <c r="D539">
        <f t="shared" si="9"/>
        <v>1</v>
      </c>
      <c r="E539">
        <f t="shared" si="10"/>
        <v>1</v>
      </c>
      <c r="F539">
        <f t="shared" si="11"/>
        <v>1</v>
      </c>
    </row>
    <row r="540" spans="2:6">
      <c r="B540" s="133" t="s">
        <v>453</v>
      </c>
      <c r="C540" s="133" t="s">
        <v>134</v>
      </c>
      <c r="D540">
        <f t="shared" si="9"/>
        <v>1</v>
      </c>
      <c r="E540">
        <f t="shared" si="10"/>
        <v>1</v>
      </c>
      <c r="F540">
        <f t="shared" si="11"/>
        <v>1</v>
      </c>
    </row>
    <row r="541" spans="2:6">
      <c r="B541" s="133" t="s">
        <v>453</v>
      </c>
      <c r="C541" s="133" t="s">
        <v>134</v>
      </c>
      <c r="D541">
        <f t="shared" si="9"/>
        <v>1</v>
      </c>
      <c r="E541">
        <f t="shared" si="10"/>
        <v>1</v>
      </c>
      <c r="F541">
        <f t="shared" si="11"/>
        <v>1</v>
      </c>
    </row>
    <row r="542" spans="2:6">
      <c r="B542" s="133" t="s">
        <v>453</v>
      </c>
      <c r="C542" s="133" t="s">
        <v>134</v>
      </c>
      <c r="D542">
        <f t="shared" si="9"/>
        <v>1</v>
      </c>
      <c r="E542">
        <f t="shared" si="10"/>
        <v>1</v>
      </c>
      <c r="F542">
        <f t="shared" si="11"/>
        <v>1</v>
      </c>
    </row>
    <row r="543" spans="2:6">
      <c r="B543" s="133" t="s">
        <v>453</v>
      </c>
      <c r="C543" s="133" t="s">
        <v>134</v>
      </c>
      <c r="D543">
        <f t="shared" si="9"/>
        <v>1</v>
      </c>
      <c r="E543">
        <f t="shared" si="10"/>
        <v>1</v>
      </c>
      <c r="F543">
        <f t="shared" si="11"/>
        <v>1</v>
      </c>
    </row>
    <row r="544" spans="2:6">
      <c r="B544" s="133" t="s">
        <v>453</v>
      </c>
      <c r="C544" s="133" t="s">
        <v>134</v>
      </c>
      <c r="D544">
        <f t="shared" si="9"/>
        <v>1</v>
      </c>
      <c r="E544">
        <f t="shared" si="10"/>
        <v>1</v>
      </c>
      <c r="F544">
        <f t="shared" si="11"/>
        <v>1</v>
      </c>
    </row>
    <row r="545" spans="2:6">
      <c r="B545" s="133" t="s">
        <v>453</v>
      </c>
      <c r="C545" s="133" t="s">
        <v>134</v>
      </c>
      <c r="D545">
        <f t="shared" si="9"/>
        <v>1</v>
      </c>
      <c r="E545">
        <f t="shared" si="10"/>
        <v>1</v>
      </c>
      <c r="F545">
        <f t="shared" si="11"/>
        <v>1</v>
      </c>
    </row>
    <row r="546" spans="2:6">
      <c r="B546" s="133" t="s">
        <v>453</v>
      </c>
      <c r="C546" s="133" t="s">
        <v>134</v>
      </c>
      <c r="D546">
        <f t="shared" si="9"/>
        <v>1</v>
      </c>
      <c r="E546">
        <f t="shared" si="10"/>
        <v>1</v>
      </c>
      <c r="F546">
        <f t="shared" si="11"/>
        <v>1</v>
      </c>
    </row>
    <row r="547" spans="2:6">
      <c r="B547" s="133" t="s">
        <v>453</v>
      </c>
      <c r="C547" s="133" t="s">
        <v>136</v>
      </c>
      <c r="D547">
        <f t="shared" si="9"/>
        <v>1</v>
      </c>
      <c r="E547">
        <f t="shared" si="10"/>
        <v>0</v>
      </c>
      <c r="F547">
        <f t="shared" si="11"/>
        <v>0</v>
      </c>
    </row>
    <row r="548" spans="2:6">
      <c r="B548" s="133" t="s">
        <v>453</v>
      </c>
      <c r="C548" s="133" t="s">
        <v>136</v>
      </c>
      <c r="D548">
        <f t="shared" si="9"/>
        <v>1</v>
      </c>
      <c r="E548">
        <f t="shared" si="10"/>
        <v>1</v>
      </c>
      <c r="F548">
        <f t="shared" si="11"/>
        <v>1</v>
      </c>
    </row>
    <row r="549" spans="2:6">
      <c r="B549" s="133" t="s">
        <v>453</v>
      </c>
      <c r="C549" s="133" t="s">
        <v>136</v>
      </c>
      <c r="D549">
        <f t="shared" si="9"/>
        <v>1</v>
      </c>
      <c r="E549">
        <f t="shared" si="10"/>
        <v>1</v>
      </c>
      <c r="F549">
        <f t="shared" si="11"/>
        <v>1</v>
      </c>
    </row>
    <row r="550" spans="2:6">
      <c r="B550" s="133" t="s">
        <v>442</v>
      </c>
      <c r="C550" s="133" t="s">
        <v>137</v>
      </c>
      <c r="D550">
        <f t="shared" si="9"/>
        <v>0</v>
      </c>
      <c r="E550">
        <f t="shared" si="10"/>
        <v>0</v>
      </c>
      <c r="F550">
        <f t="shared" si="11"/>
        <v>0</v>
      </c>
    </row>
    <row r="551" spans="2:6">
      <c r="B551" s="133" t="s">
        <v>441</v>
      </c>
      <c r="C551" s="133" t="s">
        <v>137</v>
      </c>
      <c r="D551">
        <f t="shared" si="9"/>
        <v>0</v>
      </c>
      <c r="E551">
        <f t="shared" si="10"/>
        <v>1</v>
      </c>
      <c r="F551">
        <f t="shared" si="11"/>
        <v>0</v>
      </c>
    </row>
    <row r="552" spans="2:6">
      <c r="B552" s="133" t="s">
        <v>442</v>
      </c>
      <c r="C552" s="133" t="s">
        <v>138</v>
      </c>
      <c r="D552">
        <f t="shared" si="9"/>
        <v>0</v>
      </c>
      <c r="E552">
        <f t="shared" si="10"/>
        <v>0</v>
      </c>
      <c r="F552">
        <f t="shared" si="11"/>
        <v>0</v>
      </c>
    </row>
    <row r="553" spans="2:6">
      <c r="B553" s="133" t="s">
        <v>442</v>
      </c>
      <c r="C553" s="133" t="s">
        <v>138</v>
      </c>
      <c r="D553">
        <f t="shared" si="9"/>
        <v>1</v>
      </c>
      <c r="E553">
        <f t="shared" si="10"/>
        <v>1</v>
      </c>
      <c r="F553">
        <f t="shared" si="11"/>
        <v>1</v>
      </c>
    </row>
    <row r="554" spans="2:6">
      <c r="B554" s="133" t="s">
        <v>442</v>
      </c>
      <c r="C554" s="133" t="s">
        <v>138</v>
      </c>
      <c r="D554">
        <f t="shared" si="9"/>
        <v>1</v>
      </c>
      <c r="E554">
        <f t="shared" si="10"/>
        <v>1</v>
      </c>
      <c r="F554">
        <f t="shared" si="11"/>
        <v>1</v>
      </c>
    </row>
    <row r="555" spans="2:6">
      <c r="B555" s="133" t="s">
        <v>442</v>
      </c>
      <c r="C555" s="133" t="s">
        <v>138</v>
      </c>
      <c r="D555">
        <f t="shared" si="9"/>
        <v>1</v>
      </c>
      <c r="E555">
        <f t="shared" si="10"/>
        <v>1</v>
      </c>
      <c r="F555">
        <f t="shared" si="11"/>
        <v>1</v>
      </c>
    </row>
    <row r="556" spans="2:6">
      <c r="B556" s="133" t="s">
        <v>442</v>
      </c>
      <c r="C556" s="133" t="s">
        <v>138</v>
      </c>
      <c r="D556">
        <f t="shared" si="9"/>
        <v>1</v>
      </c>
      <c r="E556">
        <f t="shared" si="10"/>
        <v>1</v>
      </c>
      <c r="F556">
        <f t="shared" si="11"/>
        <v>1</v>
      </c>
    </row>
    <row r="557" spans="2:6">
      <c r="B557" s="133" t="s">
        <v>439</v>
      </c>
      <c r="C557" s="133" t="s">
        <v>139</v>
      </c>
      <c r="D557">
        <f t="shared" si="9"/>
        <v>0</v>
      </c>
      <c r="E557">
        <f t="shared" si="10"/>
        <v>0</v>
      </c>
      <c r="F557">
        <f t="shared" si="11"/>
        <v>0</v>
      </c>
    </row>
    <row r="558" spans="2:6">
      <c r="B558" s="133" t="s">
        <v>442</v>
      </c>
      <c r="C558" s="133" t="s">
        <v>140</v>
      </c>
      <c r="D558">
        <f t="shared" ref="D558:D585" si="12">IF(B558=B557,1,0)</f>
        <v>0</v>
      </c>
      <c r="E558">
        <f t="shared" ref="E558:E585" si="13">IF(C558=C557,1,0)</f>
        <v>0</v>
      </c>
      <c r="F558">
        <f t="shared" ref="F558:F585" si="14">D558*E558</f>
        <v>0</v>
      </c>
    </row>
    <row r="559" spans="2:6">
      <c r="B559" s="133" t="s">
        <v>441</v>
      </c>
      <c r="C559" s="133" t="s">
        <v>140</v>
      </c>
      <c r="D559">
        <f t="shared" si="12"/>
        <v>0</v>
      </c>
      <c r="E559">
        <f t="shared" si="13"/>
        <v>1</v>
      </c>
      <c r="F559">
        <f t="shared" si="14"/>
        <v>0</v>
      </c>
    </row>
    <row r="560" spans="2:6">
      <c r="B560" s="133" t="s">
        <v>442</v>
      </c>
      <c r="C560" s="133" t="s">
        <v>140</v>
      </c>
      <c r="D560">
        <f t="shared" si="12"/>
        <v>0</v>
      </c>
      <c r="E560">
        <f t="shared" si="13"/>
        <v>1</v>
      </c>
      <c r="F560">
        <f t="shared" si="14"/>
        <v>0</v>
      </c>
    </row>
    <row r="561" spans="2:6">
      <c r="B561" s="133" t="s">
        <v>454</v>
      </c>
      <c r="C561" s="133" t="s">
        <v>141</v>
      </c>
      <c r="D561">
        <f t="shared" si="12"/>
        <v>0</v>
      </c>
      <c r="E561">
        <f t="shared" si="13"/>
        <v>0</v>
      </c>
      <c r="F561">
        <f t="shared" si="14"/>
        <v>0</v>
      </c>
    </row>
    <row r="562" spans="2:6">
      <c r="B562" s="133" t="s">
        <v>447</v>
      </c>
      <c r="C562" s="133" t="s">
        <v>141</v>
      </c>
      <c r="D562">
        <f t="shared" si="12"/>
        <v>0</v>
      </c>
      <c r="E562">
        <f t="shared" si="13"/>
        <v>1</v>
      </c>
      <c r="F562">
        <f t="shared" si="14"/>
        <v>0</v>
      </c>
    </row>
    <row r="563" spans="2:6">
      <c r="B563" s="133" t="s">
        <v>447</v>
      </c>
      <c r="C563" s="133" t="s">
        <v>141</v>
      </c>
      <c r="D563">
        <f t="shared" si="12"/>
        <v>1</v>
      </c>
      <c r="E563">
        <f t="shared" si="13"/>
        <v>1</v>
      </c>
      <c r="F563">
        <f t="shared" si="14"/>
        <v>1</v>
      </c>
    </row>
    <row r="564" spans="2:6">
      <c r="B564" s="133" t="s">
        <v>454</v>
      </c>
      <c r="C564" s="133" t="s">
        <v>141</v>
      </c>
      <c r="D564">
        <f t="shared" si="12"/>
        <v>0</v>
      </c>
      <c r="E564">
        <f t="shared" si="13"/>
        <v>1</v>
      </c>
      <c r="F564">
        <f t="shared" si="14"/>
        <v>0</v>
      </c>
    </row>
    <row r="565" spans="2:6">
      <c r="B565" s="133" t="s">
        <v>454</v>
      </c>
      <c r="C565" s="133" t="s">
        <v>141</v>
      </c>
      <c r="D565">
        <f t="shared" si="12"/>
        <v>1</v>
      </c>
      <c r="E565">
        <f t="shared" si="13"/>
        <v>1</v>
      </c>
      <c r="F565">
        <f t="shared" si="14"/>
        <v>1</v>
      </c>
    </row>
    <row r="566" spans="2:6">
      <c r="B566" s="133" t="s">
        <v>451</v>
      </c>
      <c r="C566" s="133" t="s">
        <v>142</v>
      </c>
      <c r="D566">
        <f t="shared" si="12"/>
        <v>0</v>
      </c>
      <c r="E566">
        <f t="shared" si="13"/>
        <v>0</v>
      </c>
      <c r="F566">
        <f t="shared" si="14"/>
        <v>0</v>
      </c>
    </row>
    <row r="567" spans="2:6">
      <c r="B567" s="133" t="s">
        <v>450</v>
      </c>
      <c r="C567" s="133" t="s">
        <v>143</v>
      </c>
      <c r="D567">
        <f t="shared" si="12"/>
        <v>0</v>
      </c>
      <c r="E567">
        <f t="shared" si="13"/>
        <v>0</v>
      </c>
      <c r="F567">
        <f t="shared" si="14"/>
        <v>0</v>
      </c>
    </row>
    <row r="568" spans="2:6">
      <c r="B568" s="133" t="s">
        <v>450</v>
      </c>
      <c r="C568" s="133" t="s">
        <v>143</v>
      </c>
      <c r="D568">
        <f t="shared" si="12"/>
        <v>1</v>
      </c>
      <c r="E568">
        <f t="shared" si="13"/>
        <v>1</v>
      </c>
      <c r="F568">
        <f t="shared" si="14"/>
        <v>1</v>
      </c>
    </row>
    <row r="569" spans="2:6">
      <c r="B569" s="133" t="s">
        <v>450</v>
      </c>
      <c r="C569" s="133" t="s">
        <v>143</v>
      </c>
      <c r="D569">
        <f t="shared" si="12"/>
        <v>1</v>
      </c>
      <c r="E569">
        <f t="shared" si="13"/>
        <v>1</v>
      </c>
      <c r="F569">
        <f t="shared" si="14"/>
        <v>1</v>
      </c>
    </row>
    <row r="570" spans="2:6">
      <c r="B570" s="133" t="s">
        <v>450</v>
      </c>
      <c r="C570" s="133" t="s">
        <v>143</v>
      </c>
      <c r="D570">
        <f t="shared" si="12"/>
        <v>1</v>
      </c>
      <c r="E570">
        <f t="shared" si="13"/>
        <v>1</v>
      </c>
      <c r="F570">
        <f t="shared" si="14"/>
        <v>1</v>
      </c>
    </row>
    <row r="571" spans="2:6">
      <c r="B571" s="133" t="s">
        <v>450</v>
      </c>
      <c r="C571" s="133" t="s">
        <v>144</v>
      </c>
      <c r="D571">
        <f t="shared" si="12"/>
        <v>1</v>
      </c>
      <c r="E571">
        <f t="shared" si="13"/>
        <v>0</v>
      </c>
      <c r="F571">
        <f t="shared" si="14"/>
        <v>0</v>
      </c>
    </row>
    <row r="572" spans="2:6">
      <c r="B572" s="133" t="s">
        <v>450</v>
      </c>
      <c r="C572" s="133" t="s">
        <v>144</v>
      </c>
      <c r="D572">
        <f t="shared" si="12"/>
        <v>1</v>
      </c>
      <c r="E572">
        <f t="shared" si="13"/>
        <v>1</v>
      </c>
      <c r="F572">
        <f t="shared" si="14"/>
        <v>1</v>
      </c>
    </row>
    <row r="573" spans="2:6">
      <c r="B573" s="133" t="s">
        <v>450</v>
      </c>
      <c r="C573" s="133" t="s">
        <v>144</v>
      </c>
      <c r="D573">
        <f t="shared" si="12"/>
        <v>1</v>
      </c>
      <c r="E573">
        <f t="shared" si="13"/>
        <v>1</v>
      </c>
      <c r="F573">
        <f t="shared" si="14"/>
        <v>1</v>
      </c>
    </row>
    <row r="574" spans="2:6">
      <c r="B574" s="133" t="s">
        <v>452</v>
      </c>
      <c r="C574" s="133" t="s">
        <v>146</v>
      </c>
      <c r="D574">
        <f t="shared" si="12"/>
        <v>0</v>
      </c>
      <c r="E574">
        <f t="shared" si="13"/>
        <v>0</v>
      </c>
      <c r="F574">
        <f t="shared" si="14"/>
        <v>0</v>
      </c>
    </row>
    <row r="575" spans="2:6">
      <c r="B575" s="133" t="s">
        <v>454</v>
      </c>
      <c r="C575" s="133" t="s">
        <v>147</v>
      </c>
      <c r="D575">
        <f t="shared" si="12"/>
        <v>0</v>
      </c>
      <c r="E575">
        <f t="shared" si="13"/>
        <v>0</v>
      </c>
      <c r="F575">
        <f t="shared" si="14"/>
        <v>0</v>
      </c>
    </row>
    <row r="576" spans="2:6">
      <c r="B576" s="133" t="s">
        <v>454</v>
      </c>
      <c r="C576" s="133" t="s">
        <v>147</v>
      </c>
      <c r="D576">
        <f t="shared" si="12"/>
        <v>1</v>
      </c>
      <c r="E576">
        <f t="shared" si="13"/>
        <v>1</v>
      </c>
      <c r="F576">
        <f t="shared" si="14"/>
        <v>1</v>
      </c>
    </row>
    <row r="577" spans="2:6">
      <c r="B577" s="133" t="s">
        <v>454</v>
      </c>
      <c r="C577" s="133" t="s">
        <v>147</v>
      </c>
      <c r="D577">
        <f t="shared" si="12"/>
        <v>1</v>
      </c>
      <c r="E577">
        <f t="shared" si="13"/>
        <v>1</v>
      </c>
      <c r="F577">
        <f t="shared" si="14"/>
        <v>1</v>
      </c>
    </row>
    <row r="578" spans="2:6">
      <c r="B578" s="133" t="s">
        <v>454</v>
      </c>
      <c r="C578" s="133" t="s">
        <v>147</v>
      </c>
      <c r="D578">
        <f t="shared" si="12"/>
        <v>1</v>
      </c>
      <c r="E578">
        <f t="shared" si="13"/>
        <v>1</v>
      </c>
      <c r="F578">
        <f t="shared" si="14"/>
        <v>1</v>
      </c>
    </row>
    <row r="579" spans="2:6">
      <c r="B579" s="133" t="s">
        <v>438</v>
      </c>
      <c r="C579" s="133" t="s">
        <v>148</v>
      </c>
      <c r="D579">
        <f t="shared" si="12"/>
        <v>0</v>
      </c>
      <c r="E579">
        <f t="shared" si="13"/>
        <v>0</v>
      </c>
      <c r="F579">
        <f t="shared" si="14"/>
        <v>0</v>
      </c>
    </row>
    <row r="580" spans="2:6">
      <c r="B580" s="133" t="s">
        <v>439</v>
      </c>
      <c r="C580" s="133" t="s">
        <v>148</v>
      </c>
      <c r="D580">
        <f t="shared" si="12"/>
        <v>0</v>
      </c>
      <c r="E580">
        <f t="shared" si="13"/>
        <v>1</v>
      </c>
      <c r="F580">
        <f t="shared" si="14"/>
        <v>0</v>
      </c>
    </row>
    <row r="581" spans="2:6">
      <c r="B581" s="133" t="s">
        <v>454</v>
      </c>
      <c r="C581" s="133" t="s">
        <v>148</v>
      </c>
      <c r="D581">
        <f t="shared" si="12"/>
        <v>0</v>
      </c>
      <c r="E581">
        <f t="shared" si="13"/>
        <v>1</v>
      </c>
      <c r="F581">
        <f t="shared" si="14"/>
        <v>0</v>
      </c>
    </row>
    <row r="582" spans="2:6">
      <c r="B582" s="133" t="s">
        <v>454</v>
      </c>
      <c r="C582" s="133" t="s">
        <v>148</v>
      </c>
      <c r="D582">
        <f t="shared" si="12"/>
        <v>1</v>
      </c>
      <c r="E582">
        <f t="shared" si="13"/>
        <v>1</v>
      </c>
      <c r="F582">
        <f t="shared" si="14"/>
        <v>1</v>
      </c>
    </row>
    <row r="583" spans="2:6">
      <c r="B583" s="133" t="s">
        <v>438</v>
      </c>
      <c r="C583" s="133" t="s">
        <v>148</v>
      </c>
      <c r="D583">
        <f t="shared" si="12"/>
        <v>0</v>
      </c>
      <c r="E583">
        <f t="shared" si="13"/>
        <v>1</v>
      </c>
      <c r="F583">
        <f t="shared" si="14"/>
        <v>0</v>
      </c>
    </row>
    <row r="584" spans="2:6">
      <c r="B584" s="133" t="s">
        <v>450</v>
      </c>
      <c r="C584" s="133" t="s">
        <v>149</v>
      </c>
      <c r="D584">
        <f t="shared" si="12"/>
        <v>0</v>
      </c>
      <c r="E584">
        <f t="shared" si="13"/>
        <v>0</v>
      </c>
      <c r="F584">
        <f t="shared" si="14"/>
        <v>0</v>
      </c>
    </row>
    <row r="585" spans="2:6">
      <c r="B585" s="133" t="s">
        <v>450</v>
      </c>
      <c r="C585" s="133" t="s">
        <v>149</v>
      </c>
      <c r="D585">
        <f t="shared" si="12"/>
        <v>1</v>
      </c>
      <c r="E585">
        <f t="shared" si="13"/>
        <v>1</v>
      </c>
      <c r="F585">
        <f t="shared" si="14"/>
        <v>1</v>
      </c>
    </row>
    <row r="588" spans="2:6">
      <c r="B588" s="132" t="s">
        <v>455</v>
      </c>
      <c r="C588" s="132" t="s">
        <v>456</v>
      </c>
      <c r="D588" t="s">
        <v>459</v>
      </c>
    </row>
    <row r="589" spans="2:6">
      <c r="B589" s="133" t="s">
        <v>435</v>
      </c>
      <c r="C589" s="133" t="s">
        <v>42</v>
      </c>
    </row>
    <row r="590" spans="2:6">
      <c r="B590" s="133" t="s">
        <v>438</v>
      </c>
      <c r="C590" s="133" t="s">
        <v>42</v>
      </c>
      <c r="D590">
        <v>0</v>
      </c>
    </row>
    <row r="591" spans="2:6">
      <c r="B591" s="133" t="s">
        <v>435</v>
      </c>
      <c r="C591" s="133" t="s">
        <v>44</v>
      </c>
      <c r="D591">
        <v>0</v>
      </c>
    </row>
    <row r="592" spans="2:6">
      <c r="B592" s="133" t="s">
        <v>438</v>
      </c>
      <c r="C592" s="133" t="s">
        <v>44</v>
      </c>
      <c r="D592">
        <v>0</v>
      </c>
    </row>
    <row r="593" spans="2:4">
      <c r="B593" s="133" t="s">
        <v>435</v>
      </c>
      <c r="C593" s="133" t="s">
        <v>44</v>
      </c>
      <c r="D593">
        <v>0</v>
      </c>
    </row>
    <row r="594" spans="2:4">
      <c r="B594" s="133" t="s">
        <v>438</v>
      </c>
      <c r="C594" s="133" t="s">
        <v>46</v>
      </c>
      <c r="D594">
        <v>0</v>
      </c>
    </row>
    <row r="595" spans="2:4">
      <c r="B595" s="133" t="s">
        <v>438</v>
      </c>
      <c r="C595" s="133" t="s">
        <v>48</v>
      </c>
      <c r="D595">
        <v>0</v>
      </c>
    </row>
    <row r="596" spans="2:4">
      <c r="B596" s="133" t="s">
        <v>435</v>
      </c>
      <c r="C596" s="133" t="s">
        <v>48</v>
      </c>
      <c r="D596">
        <v>0</v>
      </c>
    </row>
    <row r="597" spans="2:4">
      <c r="B597" s="133" t="s">
        <v>438</v>
      </c>
      <c r="C597" s="133" t="s">
        <v>48</v>
      </c>
      <c r="D597">
        <v>0</v>
      </c>
    </row>
    <row r="598" spans="2:4">
      <c r="B598" s="133" t="s">
        <v>435</v>
      </c>
      <c r="C598" s="133" t="s">
        <v>48</v>
      </c>
      <c r="D598">
        <v>0</v>
      </c>
    </row>
    <row r="599" spans="2:4">
      <c r="B599" s="133" t="s">
        <v>436</v>
      </c>
      <c r="C599" s="133" t="s">
        <v>50</v>
      </c>
      <c r="D599">
        <v>0</v>
      </c>
    </row>
    <row r="600" spans="2:4">
      <c r="B600" s="133" t="s">
        <v>438</v>
      </c>
      <c r="C600" s="133" t="s">
        <v>50</v>
      </c>
      <c r="D600">
        <v>0</v>
      </c>
    </row>
    <row r="601" spans="2:4">
      <c r="B601" s="133" t="s">
        <v>447</v>
      </c>
      <c r="C601" s="133" t="s">
        <v>50</v>
      </c>
      <c r="D601">
        <v>0</v>
      </c>
    </row>
    <row r="602" spans="2:4">
      <c r="B602" s="133" t="s">
        <v>435</v>
      </c>
      <c r="C602" s="133" t="s">
        <v>52</v>
      </c>
      <c r="D602">
        <v>0</v>
      </c>
    </row>
    <row r="603" spans="2:4">
      <c r="B603" s="133" t="s">
        <v>447</v>
      </c>
      <c r="C603" s="133" t="s">
        <v>52</v>
      </c>
      <c r="D603">
        <v>0</v>
      </c>
    </row>
    <row r="604" spans="2:4">
      <c r="B604" s="133" t="s">
        <v>435</v>
      </c>
      <c r="C604" s="133" t="s">
        <v>54</v>
      </c>
      <c r="D604">
        <v>0</v>
      </c>
    </row>
    <row r="605" spans="2:4">
      <c r="B605" s="133" t="s">
        <v>438</v>
      </c>
      <c r="C605" s="133" t="s">
        <v>54</v>
      </c>
      <c r="D605">
        <v>0</v>
      </c>
    </row>
    <row r="606" spans="2:4">
      <c r="B606" s="133" t="s">
        <v>435</v>
      </c>
      <c r="C606" s="133" t="s">
        <v>56</v>
      </c>
      <c r="D606">
        <v>0</v>
      </c>
    </row>
    <row r="607" spans="2:4">
      <c r="B607" s="133" t="s">
        <v>438</v>
      </c>
      <c r="C607" s="133" t="s">
        <v>56</v>
      </c>
      <c r="D607">
        <v>0</v>
      </c>
    </row>
    <row r="608" spans="2:4">
      <c r="B608" s="133" t="s">
        <v>435</v>
      </c>
      <c r="C608" s="133" t="s">
        <v>56</v>
      </c>
      <c r="D608">
        <v>0</v>
      </c>
    </row>
    <row r="609" spans="2:4">
      <c r="B609" s="133" t="s">
        <v>438</v>
      </c>
      <c r="C609" s="133" t="s">
        <v>58</v>
      </c>
      <c r="D609">
        <v>0</v>
      </c>
    </row>
    <row r="610" spans="2:4">
      <c r="B610" s="133" t="s">
        <v>435</v>
      </c>
      <c r="C610" s="133" t="s">
        <v>58</v>
      </c>
      <c r="D610">
        <v>0</v>
      </c>
    </row>
    <row r="611" spans="2:4">
      <c r="B611" s="133" t="s">
        <v>438</v>
      </c>
      <c r="C611" s="133" t="s">
        <v>58</v>
      </c>
      <c r="D611">
        <v>0</v>
      </c>
    </row>
    <row r="612" spans="2:4">
      <c r="B612" s="133" t="s">
        <v>438</v>
      </c>
      <c r="C612" s="133" t="s">
        <v>60</v>
      </c>
      <c r="D612">
        <v>0</v>
      </c>
    </row>
    <row r="613" spans="2:4">
      <c r="B613" s="133" t="s">
        <v>438</v>
      </c>
      <c r="C613" s="133" t="s">
        <v>62</v>
      </c>
      <c r="D613">
        <v>0</v>
      </c>
    </row>
    <row r="614" spans="2:4">
      <c r="B614" s="133" t="s">
        <v>435</v>
      </c>
      <c r="C614" s="133" t="s">
        <v>62</v>
      </c>
      <c r="D614">
        <v>0</v>
      </c>
    </row>
    <row r="615" spans="2:4">
      <c r="B615" s="133" t="s">
        <v>437</v>
      </c>
      <c r="C615" s="133" t="s">
        <v>64</v>
      </c>
      <c r="D615">
        <v>0</v>
      </c>
    </row>
    <row r="616" spans="2:4">
      <c r="B616" s="133" t="s">
        <v>438</v>
      </c>
      <c r="C616" s="133" t="s">
        <v>64</v>
      </c>
      <c r="D616">
        <v>0</v>
      </c>
    </row>
    <row r="617" spans="2:4">
      <c r="B617" s="133" t="s">
        <v>438</v>
      </c>
      <c r="C617" s="133" t="s">
        <v>66</v>
      </c>
      <c r="D617">
        <v>0</v>
      </c>
    </row>
    <row r="618" spans="2:4">
      <c r="B618" s="133" t="s">
        <v>438</v>
      </c>
      <c r="C618" s="133" t="s">
        <v>68</v>
      </c>
      <c r="D618">
        <v>0</v>
      </c>
    </row>
    <row r="619" spans="2:4">
      <c r="B619" s="133" t="s">
        <v>447</v>
      </c>
      <c r="C619" s="133" t="s">
        <v>70</v>
      </c>
      <c r="D619">
        <v>0</v>
      </c>
    </row>
    <row r="620" spans="2:4">
      <c r="B620" s="133" t="s">
        <v>438</v>
      </c>
      <c r="C620" s="133" t="s">
        <v>460</v>
      </c>
      <c r="D620">
        <v>0</v>
      </c>
    </row>
    <row r="621" spans="2:4">
      <c r="B621" s="133" t="s">
        <v>454</v>
      </c>
      <c r="C621" s="133" t="s">
        <v>72</v>
      </c>
      <c r="D621">
        <v>0</v>
      </c>
    </row>
    <row r="622" spans="2:4">
      <c r="B622" s="133" t="s">
        <v>438</v>
      </c>
      <c r="C622" s="133" t="s">
        <v>74</v>
      </c>
      <c r="D622">
        <v>0</v>
      </c>
    </row>
    <row r="623" spans="2:4">
      <c r="B623" s="133" t="s">
        <v>439</v>
      </c>
      <c r="C623" s="133" t="s">
        <v>76</v>
      </c>
      <c r="D623">
        <v>0</v>
      </c>
    </row>
    <row r="624" spans="2:4">
      <c r="B624" s="133" t="s">
        <v>439</v>
      </c>
      <c r="C624" s="133" t="s">
        <v>78</v>
      </c>
      <c r="D624">
        <v>0</v>
      </c>
    </row>
    <row r="625" spans="2:4">
      <c r="B625" s="133" t="s">
        <v>439</v>
      </c>
      <c r="C625" s="133" t="s">
        <v>80</v>
      </c>
      <c r="D625">
        <v>0</v>
      </c>
    </row>
    <row r="626" spans="2:4">
      <c r="B626" s="133" t="s">
        <v>439</v>
      </c>
      <c r="C626" s="133" t="s">
        <v>82</v>
      </c>
      <c r="D626">
        <v>0</v>
      </c>
    </row>
    <row r="627" spans="2:4">
      <c r="B627" s="133" t="s">
        <v>439</v>
      </c>
      <c r="C627" s="133" t="s">
        <v>84</v>
      </c>
      <c r="D627">
        <v>0</v>
      </c>
    </row>
    <row r="628" spans="2:4">
      <c r="B628" s="133" t="s">
        <v>441</v>
      </c>
      <c r="C628" s="133" t="s">
        <v>84</v>
      </c>
      <c r="D628">
        <v>0</v>
      </c>
    </row>
    <row r="629" spans="2:4">
      <c r="B629" s="133" t="s">
        <v>439</v>
      </c>
      <c r="C629" s="133" t="s">
        <v>86</v>
      </c>
      <c r="D629">
        <v>0</v>
      </c>
    </row>
    <row r="630" spans="2:4">
      <c r="B630" s="133" t="s">
        <v>439</v>
      </c>
      <c r="C630" s="133" t="s">
        <v>88</v>
      </c>
      <c r="D630">
        <v>0</v>
      </c>
    </row>
    <row r="631" spans="2:4">
      <c r="B631" s="133" t="s">
        <v>454</v>
      </c>
      <c r="C631" s="133" t="s">
        <v>88</v>
      </c>
      <c r="D631">
        <v>0</v>
      </c>
    </row>
    <row r="632" spans="2:4">
      <c r="B632" s="133" t="s">
        <v>451</v>
      </c>
      <c r="C632" s="133" t="s">
        <v>88</v>
      </c>
      <c r="D632">
        <v>0</v>
      </c>
    </row>
    <row r="633" spans="2:4">
      <c r="B633" s="133" t="s">
        <v>439</v>
      </c>
      <c r="C633" s="133" t="s">
        <v>90</v>
      </c>
      <c r="D633">
        <v>0</v>
      </c>
    </row>
    <row r="634" spans="2:4">
      <c r="B634" s="133" t="s">
        <v>446</v>
      </c>
      <c r="C634" s="133" t="s">
        <v>90</v>
      </c>
      <c r="D634">
        <v>0</v>
      </c>
    </row>
    <row r="635" spans="2:4">
      <c r="B635" s="133" t="s">
        <v>439</v>
      </c>
      <c r="C635" s="133" t="s">
        <v>90</v>
      </c>
      <c r="D635">
        <v>0</v>
      </c>
    </row>
    <row r="636" spans="2:4">
      <c r="B636" s="133" t="s">
        <v>451</v>
      </c>
      <c r="C636" s="133" t="s">
        <v>92</v>
      </c>
      <c r="D636">
        <v>0</v>
      </c>
    </row>
    <row r="637" spans="2:4">
      <c r="B637" s="133" t="s">
        <v>445</v>
      </c>
      <c r="C637" s="133" t="s">
        <v>94</v>
      </c>
      <c r="D637">
        <v>0</v>
      </c>
    </row>
    <row r="638" spans="2:4">
      <c r="B638" s="133" t="s">
        <v>444</v>
      </c>
      <c r="C638" s="133" t="s">
        <v>96</v>
      </c>
      <c r="D638">
        <v>0</v>
      </c>
    </row>
    <row r="639" spans="2:4">
      <c r="B639" s="133" t="s">
        <v>443</v>
      </c>
      <c r="C639" s="133" t="s">
        <v>96</v>
      </c>
      <c r="D639">
        <v>0</v>
      </c>
    </row>
    <row r="640" spans="2:4">
      <c r="B640" s="133" t="s">
        <v>435</v>
      </c>
      <c r="C640" s="133" t="s">
        <v>96</v>
      </c>
      <c r="D640">
        <v>0</v>
      </c>
    </row>
    <row r="641" spans="2:4">
      <c r="B641" s="133" t="s">
        <v>440</v>
      </c>
      <c r="C641" s="133" t="s">
        <v>96</v>
      </c>
      <c r="D641">
        <v>0</v>
      </c>
    </row>
    <row r="642" spans="2:4">
      <c r="B642" s="133" t="s">
        <v>441</v>
      </c>
      <c r="C642" s="133" t="s">
        <v>96</v>
      </c>
      <c r="D642">
        <v>0</v>
      </c>
    </row>
    <row r="643" spans="2:4">
      <c r="B643" s="133" t="s">
        <v>435</v>
      </c>
      <c r="C643" s="133" t="s">
        <v>96</v>
      </c>
      <c r="D643">
        <v>0</v>
      </c>
    </row>
    <row r="644" spans="2:4">
      <c r="B644" s="133" t="s">
        <v>454</v>
      </c>
      <c r="C644" s="133" t="s">
        <v>98</v>
      </c>
      <c r="D644">
        <v>0</v>
      </c>
    </row>
    <row r="645" spans="2:4">
      <c r="B645" s="133" t="s">
        <v>442</v>
      </c>
      <c r="C645" s="133" t="s">
        <v>100</v>
      </c>
      <c r="D645">
        <v>0</v>
      </c>
    </row>
    <row r="646" spans="2:4">
      <c r="B646" s="133" t="s">
        <v>439</v>
      </c>
      <c r="C646" s="133" t="s">
        <v>100</v>
      </c>
      <c r="D646">
        <v>0</v>
      </c>
    </row>
    <row r="647" spans="2:4">
      <c r="B647" s="133" t="s">
        <v>442</v>
      </c>
      <c r="C647" s="133" t="s">
        <v>100</v>
      </c>
      <c r="D647">
        <v>0</v>
      </c>
    </row>
    <row r="648" spans="2:4">
      <c r="B648" s="133" t="s">
        <v>439</v>
      </c>
      <c r="C648" s="133" t="s">
        <v>100</v>
      </c>
      <c r="D648">
        <v>0</v>
      </c>
    </row>
    <row r="649" spans="2:4">
      <c r="B649" s="133" t="s">
        <v>442</v>
      </c>
      <c r="C649" s="133" t="s">
        <v>100</v>
      </c>
      <c r="D649">
        <v>0</v>
      </c>
    </row>
    <row r="650" spans="2:4">
      <c r="B650" s="133" t="s">
        <v>441</v>
      </c>
      <c r="C650" s="133" t="s">
        <v>102</v>
      </c>
      <c r="D650">
        <v>0</v>
      </c>
    </row>
    <row r="651" spans="2:4">
      <c r="B651" s="133" t="s">
        <v>442</v>
      </c>
      <c r="C651" s="133" t="s">
        <v>102</v>
      </c>
      <c r="D651">
        <v>0</v>
      </c>
    </row>
    <row r="652" spans="2:4">
      <c r="B652" s="133" t="s">
        <v>446</v>
      </c>
      <c r="C652" s="133" t="s">
        <v>102</v>
      </c>
      <c r="D652">
        <v>0</v>
      </c>
    </row>
    <row r="653" spans="2:4">
      <c r="B653" s="133" t="s">
        <v>441</v>
      </c>
      <c r="C653" s="133" t="s">
        <v>104</v>
      </c>
      <c r="D653">
        <v>0</v>
      </c>
    </row>
    <row r="654" spans="2:4">
      <c r="B654" s="133" t="s">
        <v>446</v>
      </c>
      <c r="C654" s="133" t="s">
        <v>104</v>
      </c>
      <c r="D654">
        <v>0</v>
      </c>
    </row>
    <row r="655" spans="2:4">
      <c r="B655" s="133" t="s">
        <v>441</v>
      </c>
      <c r="C655" s="133" t="s">
        <v>106</v>
      </c>
      <c r="D655">
        <v>0</v>
      </c>
    </row>
    <row r="656" spans="2:4">
      <c r="B656" s="133" t="s">
        <v>446</v>
      </c>
      <c r="C656" s="133" t="s">
        <v>106</v>
      </c>
      <c r="D656">
        <v>0</v>
      </c>
    </row>
    <row r="657" spans="2:4">
      <c r="B657" s="133" t="s">
        <v>441</v>
      </c>
      <c r="C657" s="133" t="s">
        <v>108</v>
      </c>
      <c r="D657">
        <v>0</v>
      </c>
    </row>
    <row r="658" spans="2:4">
      <c r="B658" s="133" t="s">
        <v>440</v>
      </c>
      <c r="C658" s="133" t="s">
        <v>110</v>
      </c>
      <c r="D658">
        <v>0</v>
      </c>
    </row>
    <row r="659" spans="2:4">
      <c r="B659" s="133" t="s">
        <v>442</v>
      </c>
      <c r="C659" s="133" t="s">
        <v>110</v>
      </c>
      <c r="D659">
        <v>0</v>
      </c>
    </row>
    <row r="660" spans="2:4">
      <c r="B660" s="133" t="s">
        <v>454</v>
      </c>
      <c r="C660" s="133" t="s">
        <v>110</v>
      </c>
      <c r="D660">
        <v>0</v>
      </c>
    </row>
    <row r="661" spans="2:4">
      <c r="B661" s="133" t="s">
        <v>448</v>
      </c>
      <c r="C661" s="133" t="s">
        <v>112</v>
      </c>
      <c r="D661">
        <v>0</v>
      </c>
    </row>
    <row r="662" spans="2:4">
      <c r="B662" s="133" t="s">
        <v>454</v>
      </c>
      <c r="C662" s="133" t="s">
        <v>114</v>
      </c>
      <c r="D662">
        <v>0</v>
      </c>
    </row>
    <row r="663" spans="2:4">
      <c r="B663" s="133" t="s">
        <v>441</v>
      </c>
      <c r="C663" s="133" t="s">
        <v>114</v>
      </c>
      <c r="D663">
        <v>0</v>
      </c>
    </row>
    <row r="664" spans="2:4">
      <c r="B664" s="133" t="s">
        <v>440</v>
      </c>
      <c r="C664" s="133" t="s">
        <v>114</v>
      </c>
      <c r="D664">
        <v>0</v>
      </c>
    </row>
    <row r="665" spans="2:4">
      <c r="B665" s="133" t="s">
        <v>453</v>
      </c>
      <c r="C665" s="133" t="s">
        <v>116</v>
      </c>
      <c r="D665">
        <v>0</v>
      </c>
    </row>
    <row r="666" spans="2:4">
      <c r="B666" s="133" t="s">
        <v>440</v>
      </c>
      <c r="C666" s="133" t="s">
        <v>116</v>
      </c>
      <c r="D666">
        <v>0</v>
      </c>
    </row>
    <row r="667" spans="2:4">
      <c r="B667" s="133" t="s">
        <v>453</v>
      </c>
      <c r="C667" s="133" t="s">
        <v>116</v>
      </c>
      <c r="D667">
        <v>0</v>
      </c>
    </row>
    <row r="668" spans="2:4">
      <c r="B668" s="133" t="s">
        <v>441</v>
      </c>
      <c r="C668" s="133" t="s">
        <v>116</v>
      </c>
      <c r="D668">
        <v>0</v>
      </c>
    </row>
    <row r="669" spans="2:4">
      <c r="B669" s="133" t="s">
        <v>453</v>
      </c>
      <c r="C669" s="133" t="s">
        <v>118</v>
      </c>
      <c r="D669">
        <v>0</v>
      </c>
    </row>
    <row r="670" spans="2:4">
      <c r="B670" s="133" t="s">
        <v>441</v>
      </c>
      <c r="C670" s="133" t="s">
        <v>120</v>
      </c>
      <c r="D670">
        <v>0</v>
      </c>
    </row>
    <row r="671" spans="2:4">
      <c r="B671" s="133" t="s">
        <v>446</v>
      </c>
      <c r="C671" s="133" t="s">
        <v>120</v>
      </c>
      <c r="D671">
        <v>0</v>
      </c>
    </row>
    <row r="672" spans="2:4">
      <c r="B672" s="133" t="s">
        <v>443</v>
      </c>
      <c r="C672" s="133" t="s">
        <v>120</v>
      </c>
      <c r="D672">
        <v>0</v>
      </c>
    </row>
    <row r="673" spans="2:4">
      <c r="B673" s="133" t="s">
        <v>451</v>
      </c>
      <c r="C673" s="133" t="s">
        <v>120</v>
      </c>
      <c r="D673">
        <v>0</v>
      </c>
    </row>
    <row r="674" spans="2:4">
      <c r="B674" s="133" t="s">
        <v>435</v>
      </c>
      <c r="C674" s="133" t="s">
        <v>120</v>
      </c>
      <c r="D674">
        <v>0</v>
      </c>
    </row>
    <row r="675" spans="2:4">
      <c r="B675" s="133" t="s">
        <v>448</v>
      </c>
      <c r="C675" s="133" t="s">
        <v>122</v>
      </c>
      <c r="D675">
        <v>0</v>
      </c>
    </row>
    <row r="676" spans="2:4">
      <c r="B676" s="133" t="s">
        <v>441</v>
      </c>
      <c r="C676" s="133" t="s">
        <v>124</v>
      </c>
      <c r="D676">
        <v>0</v>
      </c>
    </row>
    <row r="677" spans="2:4">
      <c r="B677" s="133" t="s">
        <v>449</v>
      </c>
      <c r="C677" s="133" t="s">
        <v>124</v>
      </c>
      <c r="D677">
        <v>0</v>
      </c>
    </row>
    <row r="678" spans="2:4">
      <c r="B678" s="133" t="s">
        <v>441</v>
      </c>
      <c r="C678" s="133" t="s">
        <v>126</v>
      </c>
      <c r="D678">
        <v>0</v>
      </c>
    </row>
    <row r="679" spans="2:4">
      <c r="B679" s="133" t="s">
        <v>442</v>
      </c>
      <c r="C679" s="133" t="s">
        <v>126</v>
      </c>
      <c r="D679">
        <v>0</v>
      </c>
    </row>
    <row r="680" spans="2:4">
      <c r="B680" s="133" t="s">
        <v>441</v>
      </c>
      <c r="C680" s="133" t="s">
        <v>126</v>
      </c>
      <c r="D680">
        <v>0</v>
      </c>
    </row>
    <row r="681" spans="2:4">
      <c r="B681" s="133" t="s">
        <v>442</v>
      </c>
      <c r="C681" s="133" t="s">
        <v>128</v>
      </c>
      <c r="D681">
        <v>0</v>
      </c>
    </row>
    <row r="682" spans="2:4">
      <c r="B682" s="133" t="s">
        <v>438</v>
      </c>
      <c r="C682" s="133" t="s">
        <v>128</v>
      </c>
      <c r="D682">
        <v>0</v>
      </c>
    </row>
    <row r="683" spans="2:4">
      <c r="B683" s="133" t="s">
        <v>435</v>
      </c>
      <c r="C683" s="133" t="s">
        <v>128</v>
      </c>
      <c r="D683">
        <v>0</v>
      </c>
    </row>
    <row r="684" spans="2:4">
      <c r="B684" s="133" t="s">
        <v>446</v>
      </c>
      <c r="C684" s="133" t="s">
        <v>128</v>
      </c>
      <c r="D684">
        <v>0</v>
      </c>
    </row>
    <row r="685" spans="2:4">
      <c r="B685" s="133" t="s">
        <v>451</v>
      </c>
      <c r="C685" s="133" t="s">
        <v>128</v>
      </c>
      <c r="D685">
        <v>0</v>
      </c>
    </row>
    <row r="686" spans="2:4">
      <c r="B686" s="133" t="s">
        <v>454</v>
      </c>
      <c r="C686" s="133" t="s">
        <v>130</v>
      </c>
      <c r="D686">
        <v>0</v>
      </c>
    </row>
    <row r="687" spans="2:4">
      <c r="B687" s="133" t="s">
        <v>442</v>
      </c>
      <c r="C687" s="133" t="s">
        <v>130</v>
      </c>
      <c r="D687">
        <v>0</v>
      </c>
    </row>
    <row r="688" spans="2:4">
      <c r="B688" s="133" t="s">
        <v>440</v>
      </c>
      <c r="C688" s="133" t="s">
        <v>130</v>
      </c>
      <c r="D688">
        <v>0</v>
      </c>
    </row>
    <row r="689" spans="2:4">
      <c r="B689" s="133" t="s">
        <v>454</v>
      </c>
      <c r="C689" s="133" t="s">
        <v>130</v>
      </c>
      <c r="D689">
        <v>0</v>
      </c>
    </row>
    <row r="690" spans="2:4">
      <c r="B690" s="133" t="s">
        <v>451</v>
      </c>
      <c r="C690" s="133" t="s">
        <v>130</v>
      </c>
      <c r="D690">
        <v>0</v>
      </c>
    </row>
    <row r="691" spans="2:4">
      <c r="B691" s="133" t="s">
        <v>448</v>
      </c>
      <c r="C691" s="133" t="s">
        <v>132</v>
      </c>
      <c r="D691">
        <v>0</v>
      </c>
    </row>
    <row r="692" spans="2:4">
      <c r="B692" s="133" t="s">
        <v>447</v>
      </c>
      <c r="C692" s="133" t="s">
        <v>132</v>
      </c>
      <c r="D692">
        <v>0</v>
      </c>
    </row>
    <row r="693" spans="2:4">
      <c r="B693" s="133" t="s">
        <v>454</v>
      </c>
      <c r="C693" s="133" t="s">
        <v>132</v>
      </c>
      <c r="D693">
        <v>0</v>
      </c>
    </row>
    <row r="694" spans="2:4">
      <c r="B694" s="133" t="s">
        <v>453</v>
      </c>
      <c r="C694" s="133" t="s">
        <v>134</v>
      </c>
      <c r="D694">
        <v>0</v>
      </c>
    </row>
    <row r="695" spans="2:4">
      <c r="B695" s="133" t="s">
        <v>453</v>
      </c>
      <c r="C695" s="133" t="s">
        <v>136</v>
      </c>
      <c r="D695">
        <v>0</v>
      </c>
    </row>
    <row r="696" spans="2:4">
      <c r="B696" s="133" t="s">
        <v>442</v>
      </c>
      <c r="C696" s="133" t="s">
        <v>137</v>
      </c>
      <c r="D696">
        <v>0</v>
      </c>
    </row>
    <row r="697" spans="2:4">
      <c r="B697" s="133" t="s">
        <v>441</v>
      </c>
      <c r="C697" s="133" t="s">
        <v>137</v>
      </c>
      <c r="D697">
        <v>0</v>
      </c>
    </row>
    <row r="698" spans="2:4">
      <c r="B698" s="133" t="s">
        <v>442</v>
      </c>
      <c r="C698" s="133" t="s">
        <v>138</v>
      </c>
      <c r="D698">
        <v>0</v>
      </c>
    </row>
    <row r="699" spans="2:4">
      <c r="B699" s="133" t="s">
        <v>439</v>
      </c>
      <c r="C699" s="133" t="s">
        <v>139</v>
      </c>
      <c r="D699">
        <v>0</v>
      </c>
    </row>
    <row r="700" spans="2:4">
      <c r="B700" s="133" t="s">
        <v>442</v>
      </c>
      <c r="C700" s="133" t="s">
        <v>140</v>
      </c>
      <c r="D700">
        <v>0</v>
      </c>
    </row>
    <row r="701" spans="2:4">
      <c r="B701" s="133" t="s">
        <v>441</v>
      </c>
      <c r="C701" s="133" t="s">
        <v>140</v>
      </c>
      <c r="D701">
        <v>0</v>
      </c>
    </row>
    <row r="702" spans="2:4">
      <c r="B702" s="133" t="s">
        <v>442</v>
      </c>
      <c r="C702" s="133" t="s">
        <v>140</v>
      </c>
      <c r="D702">
        <v>0</v>
      </c>
    </row>
    <row r="703" spans="2:4">
      <c r="B703" s="133" t="s">
        <v>454</v>
      </c>
      <c r="C703" s="133" t="s">
        <v>141</v>
      </c>
      <c r="D703">
        <v>0</v>
      </c>
    </row>
    <row r="704" spans="2:4">
      <c r="B704" s="133" t="s">
        <v>447</v>
      </c>
      <c r="C704" s="133" t="s">
        <v>141</v>
      </c>
      <c r="D704">
        <v>0</v>
      </c>
    </row>
    <row r="705" spans="1:6">
      <c r="B705" s="133" t="s">
        <v>454</v>
      </c>
      <c r="C705" s="133" t="s">
        <v>141</v>
      </c>
      <c r="D705">
        <v>0</v>
      </c>
    </row>
    <row r="706" spans="1:6">
      <c r="B706" s="133" t="s">
        <v>451</v>
      </c>
      <c r="C706" s="133" t="s">
        <v>142</v>
      </c>
      <c r="D706">
        <v>0</v>
      </c>
    </row>
    <row r="707" spans="1:6">
      <c r="B707" s="133" t="s">
        <v>450</v>
      </c>
      <c r="C707" s="133" t="s">
        <v>143</v>
      </c>
      <c r="D707">
        <v>0</v>
      </c>
    </row>
    <row r="708" spans="1:6">
      <c r="B708" s="133" t="s">
        <v>450</v>
      </c>
      <c r="C708" s="133" t="s">
        <v>144</v>
      </c>
      <c r="D708">
        <v>0</v>
      </c>
    </row>
    <row r="709" spans="1:6">
      <c r="B709" s="133" t="s">
        <v>452</v>
      </c>
      <c r="C709" s="133" t="s">
        <v>146</v>
      </c>
      <c r="D709">
        <v>0</v>
      </c>
    </row>
    <row r="710" spans="1:6">
      <c r="B710" s="133" t="s">
        <v>454</v>
      </c>
      <c r="C710" s="133" t="s">
        <v>147</v>
      </c>
      <c r="D710">
        <v>0</v>
      </c>
    </row>
    <row r="711" spans="1:6">
      <c r="B711" s="133" t="s">
        <v>438</v>
      </c>
      <c r="C711" s="133" t="s">
        <v>148</v>
      </c>
      <c r="D711">
        <v>0</v>
      </c>
    </row>
    <row r="712" spans="1:6">
      <c r="B712" s="133" t="s">
        <v>439</v>
      </c>
      <c r="C712" s="133" t="s">
        <v>148</v>
      </c>
      <c r="D712">
        <v>0</v>
      </c>
    </row>
    <row r="713" spans="1:6">
      <c r="B713" s="133" t="s">
        <v>454</v>
      </c>
      <c r="C713" s="133" t="s">
        <v>148</v>
      </c>
      <c r="D713">
        <v>0</v>
      </c>
    </row>
    <row r="714" spans="1:6">
      <c r="B714" s="133" t="s">
        <v>438</v>
      </c>
      <c r="C714" s="133" t="s">
        <v>148</v>
      </c>
      <c r="D714">
        <v>0</v>
      </c>
    </row>
    <row r="715" spans="1:6">
      <c r="B715" s="133" t="s">
        <v>450</v>
      </c>
      <c r="C715" s="133" t="s">
        <v>149</v>
      </c>
      <c r="D715">
        <v>0</v>
      </c>
    </row>
    <row r="718" ht="15.6" spans="1:6">
      <c r="A718" s="112" t="s">
        <v>333</v>
      </c>
      <c r="B718" s="132" t="s">
        <v>455</v>
      </c>
      <c r="C718" s="132" t="s">
        <v>456</v>
      </c>
      <c r="E718" s="132" t="s">
        <v>456</v>
      </c>
      <c r="F718" s="132" t="s">
        <v>455</v>
      </c>
    </row>
    <row r="719" spans="1:6">
      <c r="A719" s="113" t="s">
        <v>335</v>
      </c>
      <c r="B719" s="133" t="s">
        <v>15</v>
      </c>
      <c r="C719" s="133" t="s">
        <v>42</v>
      </c>
      <c r="D719" s="133">
        <v>0</v>
      </c>
      <c r="E719" s="133" t="s">
        <v>42</v>
      </c>
      <c r="F719" s="133" t="s">
        <v>15</v>
      </c>
    </row>
    <row r="720" spans="1:6">
      <c r="A720" s="113" t="s">
        <v>337</v>
      </c>
      <c r="B720" s="133" t="s">
        <v>15</v>
      </c>
      <c r="C720" s="133" t="s">
        <v>44</v>
      </c>
      <c r="D720" s="133">
        <f>IF(C720=C719,1,0)</f>
        <v>0</v>
      </c>
      <c r="E720" s="133" t="s">
        <v>44</v>
      </c>
      <c r="F720" s="133" t="s">
        <v>15</v>
      </c>
    </row>
    <row r="721" spans="1:6">
      <c r="A721" s="113" t="s">
        <v>339</v>
      </c>
      <c r="B721" s="134" t="s">
        <v>15</v>
      </c>
      <c r="C721" s="134" t="s">
        <v>46</v>
      </c>
      <c r="D721" s="133">
        <f t="shared" ref="D721:D756" si="15">IF(C721=C720,1,0)</f>
        <v>0</v>
      </c>
      <c r="E721" s="134" t="s">
        <v>46</v>
      </c>
      <c r="F721" s="134" t="s">
        <v>15</v>
      </c>
    </row>
    <row r="722" spans="1:6">
      <c r="A722" s="113" t="s">
        <v>341</v>
      </c>
      <c r="B722" s="133" t="s">
        <v>15</v>
      </c>
      <c r="C722" s="133" t="s">
        <v>48</v>
      </c>
      <c r="D722" s="133">
        <f t="shared" si="15"/>
        <v>0</v>
      </c>
      <c r="E722" s="133" t="s">
        <v>48</v>
      </c>
      <c r="F722" s="133" t="s">
        <v>15</v>
      </c>
    </row>
    <row r="723" spans="1:6">
      <c r="A723" s="113" t="s">
        <v>343</v>
      </c>
      <c r="B723" s="133" t="s">
        <v>13</v>
      </c>
      <c r="C723" s="133" t="s">
        <v>50</v>
      </c>
      <c r="D723" s="133">
        <f t="shared" si="15"/>
        <v>0</v>
      </c>
      <c r="E723" s="133" t="s">
        <v>50</v>
      </c>
      <c r="F723" s="133" t="s">
        <v>13</v>
      </c>
    </row>
    <row r="724" spans="1:6">
      <c r="A724" s="113" t="s">
        <v>345</v>
      </c>
      <c r="B724" s="133" t="s">
        <v>12</v>
      </c>
      <c r="C724" s="133" t="s">
        <v>52</v>
      </c>
      <c r="D724" s="133">
        <f t="shared" si="15"/>
        <v>0</v>
      </c>
      <c r="E724" s="133" t="s">
        <v>52</v>
      </c>
      <c r="F724" s="133" t="s">
        <v>12</v>
      </c>
    </row>
    <row r="725" spans="1:6">
      <c r="A725" s="113" t="s">
        <v>347</v>
      </c>
      <c r="B725" s="133" t="s">
        <v>15</v>
      </c>
      <c r="C725" s="133" t="s">
        <v>54</v>
      </c>
      <c r="D725" s="133">
        <f t="shared" si="15"/>
        <v>0</v>
      </c>
      <c r="E725" s="133" t="s">
        <v>54</v>
      </c>
      <c r="F725" s="133" t="s">
        <v>15</v>
      </c>
    </row>
    <row r="726" spans="1:6">
      <c r="A726" s="113" t="s">
        <v>349</v>
      </c>
      <c r="B726" s="133" t="s">
        <v>12</v>
      </c>
      <c r="C726" s="133" t="s">
        <v>56</v>
      </c>
      <c r="D726" s="133">
        <f t="shared" si="15"/>
        <v>0</v>
      </c>
      <c r="E726" s="133" t="s">
        <v>56</v>
      </c>
      <c r="F726" s="133" t="s">
        <v>12</v>
      </c>
    </row>
    <row r="727" spans="1:6">
      <c r="A727" s="113" t="s">
        <v>352</v>
      </c>
      <c r="B727" s="133" t="s">
        <v>15</v>
      </c>
      <c r="C727" s="133" t="s">
        <v>58</v>
      </c>
      <c r="D727" s="133">
        <f t="shared" si="15"/>
        <v>0</v>
      </c>
      <c r="E727" s="133" t="s">
        <v>58</v>
      </c>
      <c r="F727" s="133" t="s">
        <v>15</v>
      </c>
    </row>
    <row r="728" spans="1:6">
      <c r="A728" s="113" t="s">
        <v>354</v>
      </c>
      <c r="B728" s="134" t="s">
        <v>15</v>
      </c>
      <c r="C728" s="134" t="s">
        <v>60</v>
      </c>
      <c r="D728" s="133">
        <f t="shared" si="15"/>
        <v>0</v>
      </c>
      <c r="E728" s="134" t="s">
        <v>60</v>
      </c>
      <c r="F728" s="134" t="s">
        <v>15</v>
      </c>
    </row>
    <row r="729" spans="1:6">
      <c r="A729" s="113" t="s">
        <v>356</v>
      </c>
      <c r="B729" s="133" t="s">
        <v>15</v>
      </c>
      <c r="C729" s="133" t="s">
        <v>62</v>
      </c>
      <c r="D729" s="133">
        <f t="shared" si="15"/>
        <v>0</v>
      </c>
      <c r="E729" s="133" t="s">
        <v>62</v>
      </c>
      <c r="F729" s="133" t="s">
        <v>15</v>
      </c>
    </row>
    <row r="730" spans="1:6">
      <c r="A730" s="113" t="s">
        <v>358</v>
      </c>
      <c r="B730" s="133" t="s">
        <v>15</v>
      </c>
      <c r="C730" s="133" t="s">
        <v>64</v>
      </c>
      <c r="D730" s="133">
        <f t="shared" si="15"/>
        <v>0</v>
      </c>
      <c r="E730" s="133" t="s">
        <v>64</v>
      </c>
      <c r="F730" s="133" t="s">
        <v>15</v>
      </c>
    </row>
    <row r="731" spans="1:6">
      <c r="A731" s="113" t="s">
        <v>360</v>
      </c>
      <c r="B731" s="134" t="s">
        <v>15</v>
      </c>
      <c r="C731" s="134" t="s">
        <v>66</v>
      </c>
      <c r="D731" s="133">
        <f t="shared" si="15"/>
        <v>0</v>
      </c>
      <c r="E731" s="134" t="s">
        <v>66</v>
      </c>
      <c r="F731" s="134" t="s">
        <v>15</v>
      </c>
    </row>
    <row r="732" spans="1:6">
      <c r="A732" s="113" t="s">
        <v>362</v>
      </c>
      <c r="B732" s="134" t="s">
        <v>15</v>
      </c>
      <c r="C732" s="134" t="s">
        <v>68</v>
      </c>
      <c r="D732" s="133">
        <f t="shared" si="15"/>
        <v>0</v>
      </c>
      <c r="E732" s="134" t="s">
        <v>68</v>
      </c>
      <c r="F732" s="134" t="s">
        <v>15</v>
      </c>
    </row>
    <row r="733" spans="1:6">
      <c r="A733" s="113" t="s">
        <v>364</v>
      </c>
      <c r="B733" s="134" t="s">
        <v>24</v>
      </c>
      <c r="C733" s="134" t="s">
        <v>70</v>
      </c>
      <c r="D733" s="133">
        <f t="shared" si="15"/>
        <v>0</v>
      </c>
      <c r="E733" s="134" t="s">
        <v>70</v>
      </c>
      <c r="F733" s="134" t="s">
        <v>24</v>
      </c>
    </row>
    <row r="734" spans="1:6">
      <c r="A734" s="113" t="s">
        <v>366</v>
      </c>
      <c r="B734" s="134" t="s">
        <v>15</v>
      </c>
      <c r="C734" s="134" t="s">
        <v>460</v>
      </c>
      <c r="D734" s="133">
        <f t="shared" si="15"/>
        <v>0</v>
      </c>
      <c r="E734" s="134" t="s">
        <v>460</v>
      </c>
      <c r="F734" s="134" t="s">
        <v>15</v>
      </c>
    </row>
    <row r="735" spans="1:6">
      <c r="A735" s="113" t="s">
        <v>368</v>
      </c>
      <c r="B735" s="134" t="s">
        <v>31</v>
      </c>
      <c r="C735" s="134" t="s">
        <v>72</v>
      </c>
      <c r="D735" s="133">
        <f t="shared" si="15"/>
        <v>0</v>
      </c>
      <c r="E735" s="134" t="s">
        <v>72</v>
      </c>
      <c r="F735" s="134" t="s">
        <v>31</v>
      </c>
    </row>
    <row r="736" spans="1:6">
      <c r="A736" s="113" t="s">
        <v>370</v>
      </c>
      <c r="B736" s="134" t="s">
        <v>15</v>
      </c>
      <c r="C736" s="134" t="s">
        <v>74</v>
      </c>
      <c r="D736" s="133">
        <f t="shared" si="15"/>
        <v>0</v>
      </c>
      <c r="E736" s="134" t="s">
        <v>74</v>
      </c>
      <c r="F736" s="134" t="s">
        <v>15</v>
      </c>
    </row>
    <row r="737" ht="15.6" spans="1:6">
      <c r="A737" s="112" t="s">
        <v>373</v>
      </c>
      <c r="B737" s="134" t="s">
        <v>16</v>
      </c>
      <c r="C737" s="134" t="s">
        <v>76</v>
      </c>
      <c r="D737" s="133">
        <f t="shared" si="15"/>
        <v>0</v>
      </c>
      <c r="E737" s="134" t="s">
        <v>76</v>
      </c>
      <c r="F737" s="134" t="s">
        <v>16</v>
      </c>
    </row>
    <row r="738" spans="1:6">
      <c r="A738" s="113" t="s">
        <v>375</v>
      </c>
      <c r="B738" s="134" t="s">
        <v>16</v>
      </c>
      <c r="C738" s="134" t="s">
        <v>78</v>
      </c>
      <c r="D738" s="133">
        <f t="shared" si="15"/>
        <v>0</v>
      </c>
      <c r="E738" s="134" t="s">
        <v>78</v>
      </c>
      <c r="F738" s="134" t="s">
        <v>16</v>
      </c>
    </row>
    <row r="739" spans="1:6">
      <c r="A739" s="113" t="s">
        <v>376</v>
      </c>
      <c r="B739" s="134" t="s">
        <v>16</v>
      </c>
      <c r="C739" s="134" t="s">
        <v>80</v>
      </c>
      <c r="D739" s="133">
        <f t="shared" si="15"/>
        <v>0</v>
      </c>
      <c r="E739" s="134" t="s">
        <v>80</v>
      </c>
      <c r="F739" s="134" t="s">
        <v>16</v>
      </c>
    </row>
    <row r="740" spans="1:6">
      <c r="A740" s="113" t="s">
        <v>377</v>
      </c>
      <c r="B740" s="134" t="s">
        <v>16</v>
      </c>
      <c r="C740" s="134" t="s">
        <v>82</v>
      </c>
      <c r="D740" s="133">
        <f t="shared" si="15"/>
        <v>0</v>
      </c>
      <c r="E740" s="134" t="s">
        <v>82</v>
      </c>
      <c r="F740" s="134" t="s">
        <v>16</v>
      </c>
    </row>
    <row r="741" spans="1:6">
      <c r="A741" s="113" t="s">
        <v>378</v>
      </c>
      <c r="B741" s="133" t="s">
        <v>16</v>
      </c>
      <c r="C741" s="133" t="s">
        <v>84</v>
      </c>
      <c r="D741" s="133">
        <f t="shared" si="15"/>
        <v>0</v>
      </c>
      <c r="E741" s="133" t="s">
        <v>84</v>
      </c>
      <c r="F741" s="133" t="s">
        <v>16</v>
      </c>
    </row>
    <row r="742" spans="1:6">
      <c r="A742" s="113" t="s">
        <v>379</v>
      </c>
      <c r="B742" s="133" t="s">
        <v>16</v>
      </c>
      <c r="C742" s="133" t="s">
        <v>86</v>
      </c>
      <c r="D742" s="133">
        <f t="shared" si="15"/>
        <v>0</v>
      </c>
      <c r="E742" s="133" t="s">
        <v>86</v>
      </c>
      <c r="F742" s="133" t="s">
        <v>16</v>
      </c>
    </row>
    <row r="743" spans="1:6">
      <c r="A743" s="113" t="s">
        <v>380</v>
      </c>
      <c r="B743" s="133" t="s">
        <v>16</v>
      </c>
      <c r="C743" s="133" t="s">
        <v>88</v>
      </c>
      <c r="D743" s="133">
        <f t="shared" si="15"/>
        <v>0</v>
      </c>
      <c r="E743" s="133" t="s">
        <v>88</v>
      </c>
      <c r="F743" s="133" t="s">
        <v>16</v>
      </c>
    </row>
    <row r="744" spans="1:6">
      <c r="A744" s="113" t="s">
        <v>381</v>
      </c>
      <c r="B744" s="133" t="s">
        <v>16</v>
      </c>
      <c r="C744" s="133" t="s">
        <v>90</v>
      </c>
      <c r="D744" s="133">
        <f t="shared" si="15"/>
        <v>0</v>
      </c>
      <c r="E744" s="133" t="s">
        <v>90</v>
      </c>
      <c r="F744" s="133" t="s">
        <v>16</v>
      </c>
    </row>
    <row r="745" spans="1:6">
      <c r="A745" s="113" t="s">
        <v>382</v>
      </c>
      <c r="B745" s="134" t="s">
        <v>28</v>
      </c>
      <c r="C745" s="134" t="s">
        <v>92</v>
      </c>
      <c r="D745" s="133">
        <f t="shared" si="15"/>
        <v>0</v>
      </c>
      <c r="E745" s="134" t="s">
        <v>92</v>
      </c>
      <c r="F745" s="134" t="s">
        <v>28</v>
      </c>
    </row>
    <row r="746" ht="15.6" spans="1:6">
      <c r="A746" s="112" t="s">
        <v>383</v>
      </c>
      <c r="B746" s="134" t="s">
        <v>23</v>
      </c>
      <c r="C746" s="134" t="s">
        <v>94</v>
      </c>
      <c r="D746" s="133">
        <f t="shared" si="15"/>
        <v>0</v>
      </c>
      <c r="E746" s="134" t="s">
        <v>94</v>
      </c>
      <c r="F746" s="134" t="s">
        <v>23</v>
      </c>
    </row>
    <row r="747" spans="1:6">
      <c r="A747" s="113" t="s">
        <v>384</v>
      </c>
      <c r="B747" s="133" t="s">
        <v>21</v>
      </c>
      <c r="C747" s="133" t="s">
        <v>96</v>
      </c>
      <c r="D747" s="133">
        <f t="shared" si="15"/>
        <v>0</v>
      </c>
      <c r="E747" s="133" t="s">
        <v>96</v>
      </c>
      <c r="F747" s="133" t="s">
        <v>21</v>
      </c>
    </row>
    <row r="748" spans="1:6">
      <c r="A748" s="113" t="s">
        <v>385</v>
      </c>
      <c r="B748" s="134" t="s">
        <v>31</v>
      </c>
      <c r="C748" s="134" t="s">
        <v>98</v>
      </c>
      <c r="D748" s="133">
        <f t="shared" si="15"/>
        <v>0</v>
      </c>
      <c r="E748" s="134" t="s">
        <v>98</v>
      </c>
      <c r="F748" s="134" t="s">
        <v>31</v>
      </c>
    </row>
    <row r="749" spans="1:6">
      <c r="A749" s="113" t="s">
        <v>386</v>
      </c>
      <c r="B749" s="133" t="s">
        <v>19</v>
      </c>
      <c r="C749" s="133" t="s">
        <v>100</v>
      </c>
      <c r="D749" s="133">
        <f t="shared" si="15"/>
        <v>0</v>
      </c>
      <c r="E749" s="133" t="s">
        <v>100</v>
      </c>
      <c r="F749" s="133" t="s">
        <v>19</v>
      </c>
    </row>
    <row r="750" spans="1:6">
      <c r="A750" s="113" t="s">
        <v>387</v>
      </c>
      <c r="B750" s="133" t="s">
        <v>18</v>
      </c>
      <c r="C750" s="133" t="s">
        <v>102</v>
      </c>
      <c r="D750" s="133">
        <f t="shared" si="15"/>
        <v>0</v>
      </c>
      <c r="E750" s="133" t="s">
        <v>102</v>
      </c>
      <c r="F750" s="133" t="s">
        <v>18</v>
      </c>
    </row>
    <row r="751" ht="15.6" spans="1:6">
      <c r="A751" s="112" t="s">
        <v>388</v>
      </c>
      <c r="B751" s="133" t="s">
        <v>18</v>
      </c>
      <c r="C751" s="133" t="s">
        <v>104</v>
      </c>
      <c r="D751" s="133">
        <f t="shared" si="15"/>
        <v>0</v>
      </c>
      <c r="E751" s="133" t="s">
        <v>104</v>
      </c>
      <c r="F751" s="133" t="s">
        <v>18</v>
      </c>
    </row>
    <row r="752" spans="1:6">
      <c r="A752" s="113" t="s">
        <v>389</v>
      </c>
      <c r="B752" s="133" t="s">
        <v>18</v>
      </c>
      <c r="C752" s="133" t="s">
        <v>106</v>
      </c>
      <c r="D752" s="133">
        <f t="shared" si="15"/>
        <v>0</v>
      </c>
      <c r="E752" s="133" t="s">
        <v>106</v>
      </c>
      <c r="F752" s="133" t="s">
        <v>18</v>
      </c>
    </row>
    <row r="753" spans="1:6">
      <c r="A753" s="113" t="s">
        <v>390</v>
      </c>
      <c r="B753" s="134" t="s">
        <v>18</v>
      </c>
      <c r="C753" s="134" t="s">
        <v>108</v>
      </c>
      <c r="D753" s="133">
        <f t="shared" si="15"/>
        <v>0</v>
      </c>
      <c r="E753" s="134" t="s">
        <v>108</v>
      </c>
      <c r="F753" s="134" t="s">
        <v>18</v>
      </c>
    </row>
    <row r="754" spans="1:6">
      <c r="A754" s="113" t="s">
        <v>391</v>
      </c>
      <c r="B754" s="133" t="s">
        <v>19</v>
      </c>
      <c r="C754" s="133" t="s">
        <v>110</v>
      </c>
      <c r="D754" s="133">
        <f t="shared" si="15"/>
        <v>0</v>
      </c>
      <c r="E754" s="133" t="s">
        <v>110</v>
      </c>
      <c r="F754" s="133" t="s">
        <v>19</v>
      </c>
    </row>
    <row r="755" spans="1:6">
      <c r="A755" s="113" t="s">
        <v>392</v>
      </c>
      <c r="B755" s="134" t="s">
        <v>25</v>
      </c>
      <c r="C755" s="134" t="s">
        <v>112</v>
      </c>
      <c r="D755" s="133">
        <f t="shared" si="15"/>
        <v>0</v>
      </c>
      <c r="E755" s="134" t="s">
        <v>112</v>
      </c>
      <c r="F755" s="134" t="s">
        <v>25</v>
      </c>
    </row>
    <row r="756" spans="1:6">
      <c r="A756" s="113" t="s">
        <v>393</v>
      </c>
      <c r="B756" s="133" t="s">
        <v>17</v>
      </c>
      <c r="C756" s="133" t="s">
        <v>114</v>
      </c>
      <c r="D756" s="133">
        <f t="shared" si="15"/>
        <v>0</v>
      </c>
      <c r="E756" s="133" t="s">
        <v>114</v>
      </c>
      <c r="F756" s="133" t="s">
        <v>17</v>
      </c>
    </row>
    <row r="757" spans="1:6">
      <c r="A757" s="113" t="s">
        <v>394</v>
      </c>
      <c r="B757" s="133" t="s">
        <v>30</v>
      </c>
      <c r="C757" s="133" t="s">
        <v>116</v>
      </c>
      <c r="D757" s="133">
        <f t="shared" ref="D757:D777" si="16">IF(C757=C756,1,0)</f>
        <v>0</v>
      </c>
      <c r="E757" s="133" t="s">
        <v>116</v>
      </c>
      <c r="F757" s="133" t="s">
        <v>30</v>
      </c>
    </row>
    <row r="758" spans="1:6">
      <c r="A758" s="113" t="s">
        <v>395</v>
      </c>
      <c r="B758" s="134" t="s">
        <v>30</v>
      </c>
      <c r="C758" s="134" t="s">
        <v>118</v>
      </c>
      <c r="D758" s="133">
        <f t="shared" si="16"/>
        <v>0</v>
      </c>
      <c r="E758" s="134" t="s">
        <v>118</v>
      </c>
      <c r="F758" s="134" t="s">
        <v>30</v>
      </c>
    </row>
    <row r="759" ht="15.6" spans="1:6">
      <c r="A759" s="112" t="s">
        <v>396</v>
      </c>
      <c r="B759" s="134" t="s">
        <v>25</v>
      </c>
      <c r="C759" s="133" t="s">
        <v>120</v>
      </c>
      <c r="D759" s="133">
        <f t="shared" si="16"/>
        <v>0</v>
      </c>
      <c r="E759" s="133" t="s">
        <v>120</v>
      </c>
      <c r="F759" s="134" t="s">
        <v>25</v>
      </c>
    </row>
    <row r="760" spans="1:6">
      <c r="A760" s="113" t="s">
        <v>397</v>
      </c>
      <c r="B760" s="134" t="s">
        <v>25</v>
      </c>
      <c r="C760" s="134" t="s">
        <v>122</v>
      </c>
      <c r="D760" s="133">
        <f t="shared" si="16"/>
        <v>0</v>
      </c>
      <c r="E760" s="134" t="s">
        <v>122</v>
      </c>
      <c r="F760" s="134" t="s">
        <v>25</v>
      </c>
    </row>
    <row r="761" spans="1:6">
      <c r="A761" s="113" t="s">
        <v>398</v>
      </c>
      <c r="B761" s="133" t="s">
        <v>26</v>
      </c>
      <c r="C761" s="133" t="s">
        <v>124</v>
      </c>
      <c r="D761" s="133">
        <f t="shared" si="16"/>
        <v>0</v>
      </c>
      <c r="E761" s="133" t="s">
        <v>124</v>
      </c>
      <c r="F761" s="133" t="s">
        <v>26</v>
      </c>
    </row>
    <row r="762" ht="15.6" spans="1:6">
      <c r="A762" s="112" t="s">
        <v>399</v>
      </c>
      <c r="B762" s="133" t="s">
        <v>18</v>
      </c>
      <c r="C762" s="133" t="s">
        <v>126</v>
      </c>
      <c r="D762" s="133">
        <f t="shared" si="16"/>
        <v>0</v>
      </c>
      <c r="E762" s="133" t="s">
        <v>126</v>
      </c>
      <c r="F762" s="133" t="s">
        <v>18</v>
      </c>
    </row>
    <row r="763" spans="1:6">
      <c r="A763" s="113" t="s">
        <v>400</v>
      </c>
      <c r="B763" s="133" t="s">
        <v>28</v>
      </c>
      <c r="C763" s="133" t="s">
        <v>128</v>
      </c>
      <c r="D763" s="133">
        <f t="shared" si="16"/>
        <v>0</v>
      </c>
      <c r="E763" s="133" t="s">
        <v>128</v>
      </c>
      <c r="F763" s="133" t="s">
        <v>28</v>
      </c>
    </row>
    <row r="764" spans="1:6">
      <c r="A764" s="113" t="s">
        <v>401</v>
      </c>
      <c r="B764" s="133" t="s">
        <v>31</v>
      </c>
      <c r="C764" s="133" t="s">
        <v>130</v>
      </c>
      <c r="D764" s="133">
        <f t="shared" si="16"/>
        <v>0</v>
      </c>
      <c r="E764" s="133" t="s">
        <v>130</v>
      </c>
      <c r="F764" s="133" t="s">
        <v>31</v>
      </c>
    </row>
    <row r="765" spans="1:6">
      <c r="A765" s="113" t="s">
        <v>402</v>
      </c>
      <c r="B765" s="133" t="s">
        <v>31</v>
      </c>
      <c r="C765" s="133" t="s">
        <v>132</v>
      </c>
      <c r="D765" s="133">
        <f t="shared" si="16"/>
        <v>0</v>
      </c>
      <c r="E765" s="133" t="s">
        <v>132</v>
      </c>
      <c r="F765" s="133" t="s">
        <v>31</v>
      </c>
    </row>
    <row r="766" spans="1:6">
      <c r="A766" s="113" t="s">
        <v>403</v>
      </c>
      <c r="B766" s="134" t="s">
        <v>30</v>
      </c>
      <c r="C766" s="134" t="s">
        <v>134</v>
      </c>
      <c r="D766" s="133">
        <f t="shared" si="16"/>
        <v>0</v>
      </c>
      <c r="E766" s="134" t="s">
        <v>134</v>
      </c>
      <c r="F766" s="134" t="s">
        <v>30</v>
      </c>
    </row>
    <row r="767" ht="15.6" spans="1:6">
      <c r="A767" s="112" t="s">
        <v>404</v>
      </c>
      <c r="B767" s="134" t="s">
        <v>30</v>
      </c>
      <c r="C767" s="134" t="s">
        <v>136</v>
      </c>
      <c r="D767" s="133">
        <f t="shared" si="16"/>
        <v>0</v>
      </c>
      <c r="E767" s="134" t="s">
        <v>136</v>
      </c>
      <c r="F767" s="134" t="s">
        <v>30</v>
      </c>
    </row>
    <row r="768" spans="1:6">
      <c r="A768" s="113" t="s">
        <v>405</v>
      </c>
      <c r="B768" s="133" t="s">
        <v>19</v>
      </c>
      <c r="C768" s="133" t="s">
        <v>137</v>
      </c>
      <c r="D768" s="133">
        <f t="shared" si="16"/>
        <v>0</v>
      </c>
      <c r="E768" s="133" t="s">
        <v>137</v>
      </c>
      <c r="F768" s="133" t="s">
        <v>19</v>
      </c>
    </row>
    <row r="769" spans="1:6">
      <c r="A769" s="113" t="s">
        <v>406</v>
      </c>
      <c r="B769" s="134" t="s">
        <v>19</v>
      </c>
      <c r="C769" s="134" t="s">
        <v>138</v>
      </c>
      <c r="D769" s="133">
        <f t="shared" si="16"/>
        <v>0</v>
      </c>
      <c r="E769" s="134" t="s">
        <v>138</v>
      </c>
      <c r="F769" s="134" t="s">
        <v>19</v>
      </c>
    </row>
    <row r="770" spans="1:6">
      <c r="A770" s="113" t="s">
        <v>407</v>
      </c>
      <c r="B770" s="134" t="s">
        <v>16</v>
      </c>
      <c r="C770" s="134" t="s">
        <v>139</v>
      </c>
      <c r="D770" s="133">
        <f t="shared" si="16"/>
        <v>0</v>
      </c>
      <c r="E770" s="134" t="s">
        <v>139</v>
      </c>
      <c r="F770" s="134" t="s">
        <v>16</v>
      </c>
    </row>
    <row r="771" spans="1:6">
      <c r="A771" s="113" t="s">
        <v>408</v>
      </c>
      <c r="B771" s="135" t="s">
        <v>18</v>
      </c>
      <c r="C771" s="135" t="s">
        <v>140</v>
      </c>
      <c r="D771" s="135">
        <f t="shared" si="16"/>
        <v>0</v>
      </c>
      <c r="E771" s="135" t="s">
        <v>140</v>
      </c>
      <c r="F771" s="135" t="s">
        <v>18</v>
      </c>
    </row>
    <row r="772" spans="1:6">
      <c r="A772" s="113" t="s">
        <v>409</v>
      </c>
      <c r="B772" s="135" t="s">
        <v>19</v>
      </c>
      <c r="C772" s="135" t="s">
        <v>140</v>
      </c>
      <c r="D772" s="135">
        <f t="shared" si="16"/>
        <v>1</v>
      </c>
      <c r="E772" s="135" t="s">
        <v>140</v>
      </c>
      <c r="F772" s="135" t="s">
        <v>19</v>
      </c>
    </row>
    <row r="773" ht="15.6" spans="1:6">
      <c r="A773" s="112" t="s">
        <v>410</v>
      </c>
      <c r="B773" s="135" t="s">
        <v>24</v>
      </c>
      <c r="C773" s="135" t="s">
        <v>141</v>
      </c>
      <c r="D773" s="135">
        <f t="shared" si="16"/>
        <v>0</v>
      </c>
      <c r="E773" s="135" t="s">
        <v>141</v>
      </c>
      <c r="F773" s="135" t="s">
        <v>24</v>
      </c>
    </row>
    <row r="774" spans="1:6">
      <c r="A774" s="113" t="s">
        <v>411</v>
      </c>
      <c r="B774" s="135" t="s">
        <v>31</v>
      </c>
      <c r="C774" s="135" t="s">
        <v>141</v>
      </c>
      <c r="D774" s="135">
        <f t="shared" si="16"/>
        <v>1</v>
      </c>
      <c r="E774" s="135" t="s">
        <v>141</v>
      </c>
      <c r="F774" s="135" t="s">
        <v>31</v>
      </c>
    </row>
    <row r="775" spans="1:6">
      <c r="A775" s="113" t="s">
        <v>412</v>
      </c>
      <c r="B775" s="134" t="s">
        <v>28</v>
      </c>
      <c r="C775" s="134" t="s">
        <v>142</v>
      </c>
      <c r="D775" s="133">
        <f t="shared" si="16"/>
        <v>0</v>
      </c>
      <c r="E775" s="134" t="s">
        <v>142</v>
      </c>
      <c r="F775" s="134" t="s">
        <v>28</v>
      </c>
    </row>
    <row r="776" spans="1:6">
      <c r="A776" s="113" t="s">
        <v>413</v>
      </c>
      <c r="B776" s="134" t="s">
        <v>27</v>
      </c>
      <c r="C776" s="134" t="s">
        <v>143</v>
      </c>
      <c r="D776" s="133">
        <f t="shared" si="16"/>
        <v>0</v>
      </c>
      <c r="E776" s="134" t="s">
        <v>143</v>
      </c>
      <c r="F776" s="134" t="s">
        <v>27</v>
      </c>
    </row>
    <row r="777" spans="1:6">
      <c r="A777" s="113" t="s">
        <v>414</v>
      </c>
      <c r="B777" s="134" t="s">
        <v>27</v>
      </c>
      <c r="C777" s="134" t="s">
        <v>144</v>
      </c>
      <c r="D777" s="133">
        <f t="shared" si="16"/>
        <v>0</v>
      </c>
      <c r="E777" s="134" t="s">
        <v>144</v>
      </c>
      <c r="F777" s="134" t="s">
        <v>27</v>
      </c>
    </row>
    <row r="778" spans="1:6">
      <c r="A778" s="113" t="s">
        <v>415</v>
      </c>
      <c r="D778" s="133"/>
      <c r="E778" s="133"/>
    </row>
    <row r="779" spans="1:6">
      <c r="A779" s="113" t="s">
        <v>416</v>
      </c>
      <c r="D779" s="133"/>
      <c r="E779" s="133"/>
    </row>
    <row r="780" spans="1:6">
      <c r="A780" s="113" t="s">
        <v>417</v>
      </c>
      <c r="D780" s="133"/>
      <c r="E780" s="133"/>
    </row>
    <row r="781" spans="1:6">
      <c r="A781" s="113" t="s">
        <v>418</v>
      </c>
      <c r="D781" s="133"/>
      <c r="E781" s="133"/>
    </row>
    <row r="782" ht="15.6" spans="1:6">
      <c r="A782" s="112" t="s">
        <v>419</v>
      </c>
      <c r="D782" s="133"/>
      <c r="E782" s="133"/>
    </row>
    <row r="783" spans="1:6">
      <c r="A783" s="113" t="s">
        <v>420</v>
      </c>
      <c r="D783" s="133"/>
      <c r="E783" s="133"/>
    </row>
    <row r="784" spans="1:6">
      <c r="A784" s="113" t="s">
        <v>421</v>
      </c>
      <c r="D784" s="133"/>
      <c r="E784" s="133"/>
    </row>
    <row r="785" spans="1:5">
      <c r="A785" s="113" t="s">
        <v>422</v>
      </c>
      <c r="D785" s="133"/>
      <c r="E785" s="133"/>
    </row>
    <row r="786" spans="1:5">
      <c r="A786" s="113" t="s">
        <v>423</v>
      </c>
      <c r="D786" s="133"/>
      <c r="E786" s="133"/>
    </row>
    <row r="787" spans="1:5">
      <c r="A787" s="113" t="s">
        <v>424</v>
      </c>
      <c r="D787" s="133"/>
      <c r="E787" s="133"/>
    </row>
    <row r="788" spans="1:5">
      <c r="D788" s="133"/>
      <c r="E788" s="133"/>
    </row>
    <row r="789" spans="1:5">
      <c r="D789" s="133"/>
      <c r="E789" s="133"/>
    </row>
    <row r="790" spans="1:5">
      <c r="D790" s="133"/>
      <c r="E790" s="133"/>
    </row>
    <row r="791" spans="1:5">
      <c r="D791" s="133"/>
      <c r="E791" s="133"/>
    </row>
    <row r="792" spans="1:5">
      <c r="D792" s="133"/>
      <c r="E792" s="133"/>
    </row>
    <row r="793" spans="1:5">
      <c r="D793" s="133"/>
      <c r="E793" s="133"/>
    </row>
    <row r="794" spans="1:5">
      <c r="D794" s="133"/>
      <c r="E794" s="133"/>
    </row>
    <row r="795" spans="1:5">
      <c r="D795" s="133"/>
      <c r="E795" s="133"/>
    </row>
    <row r="796" spans="1:5">
      <c r="D796" s="133"/>
      <c r="E796" s="133"/>
    </row>
    <row r="797" spans="1:5">
      <c r="D797" s="133"/>
      <c r="E797" s="133"/>
    </row>
    <row r="798" spans="1:5">
      <c r="D798" s="133"/>
      <c r="E798" s="133"/>
    </row>
    <row r="799" spans="1:5">
      <c r="D799" s="133"/>
      <c r="E799" s="133"/>
    </row>
    <row r="800" spans="1:5">
      <c r="D800" s="133"/>
      <c r="E800" s="133"/>
    </row>
    <row r="801" spans="4:5">
      <c r="D801" s="133"/>
      <c r="E801" s="133"/>
    </row>
    <row r="802" spans="4:5">
      <c r="D802" s="133"/>
      <c r="E802" s="133"/>
    </row>
    <row r="803" spans="4:5">
      <c r="D803" s="133"/>
      <c r="E803" s="133"/>
    </row>
    <row r="804" spans="4:5">
      <c r="D804" s="133"/>
      <c r="E804" s="133"/>
    </row>
    <row r="805" spans="4:5">
      <c r="D805" s="133"/>
      <c r="E805" s="133"/>
    </row>
    <row r="806" spans="4:5">
      <c r="D806" s="133"/>
      <c r="E806" s="133"/>
    </row>
    <row r="807" spans="4:5">
      <c r="D807" s="133"/>
      <c r="E807" s="133"/>
    </row>
    <row r="808" spans="4:5">
      <c r="D808" s="133"/>
      <c r="E808" s="133"/>
    </row>
    <row r="809" spans="4:5">
      <c r="D809" s="133"/>
      <c r="E809" s="133"/>
    </row>
    <row r="810" spans="4:5">
      <c r="D810" s="133"/>
      <c r="E810" s="133"/>
    </row>
    <row r="811" spans="4:5">
      <c r="D811" s="133"/>
      <c r="E811" s="133"/>
    </row>
    <row r="812" spans="4:5">
      <c r="E812" s="133"/>
    </row>
    <row r="813" spans="4:5">
      <c r="E813" s="133"/>
    </row>
    <row r="814" spans="4:5">
      <c r="E814" s="133"/>
    </row>
    <row r="815" spans="4:5">
      <c r="E815" s="133"/>
    </row>
    <row r="816" spans="4:5">
      <c r="E816" s="133"/>
    </row>
    <row r="817" spans="5:5">
      <c r="E817" s="133"/>
    </row>
    <row r="818" spans="5:5">
      <c r="E818" s="133"/>
    </row>
    <row r="819" spans="5:5">
      <c r="E819" s="133"/>
    </row>
    <row r="820" spans="5:5">
      <c r="E820" s="133"/>
    </row>
    <row r="821" spans="5:5">
      <c r="E821" s="133"/>
    </row>
    <row r="822" spans="5:5">
      <c r="E822" s="133"/>
    </row>
    <row r="823" spans="5:5">
      <c r="E823" s="133"/>
    </row>
    <row r="824" spans="5:5">
      <c r="E824" s="133"/>
    </row>
    <row r="825" spans="5:5">
      <c r="E825" s="133"/>
    </row>
    <row r="826" spans="5:5">
      <c r="E826" s="133"/>
    </row>
    <row r="827" spans="5:5">
      <c r="E827" s="133"/>
    </row>
    <row r="828" spans="5:5">
      <c r="E828" s="133"/>
    </row>
    <row r="829" spans="5:5">
      <c r="E829" s="133"/>
    </row>
  </sheetData>
  <sortState ref="B719:C845">
    <sortCondition ref="C719:C845"/>
  </sortState>
  <conditionalFormatting sqref="I183:K183 G72:G183 B72:B183 I72:K72">
    <cfRule type="cellIs" dxfId="0" priority="2" operator="equal">
      <formula>0</formula>
    </cfRule>
  </conditionalFormatting>
  <conditionalFormatting sqref="B185:C296">
    <cfRule type="cellIs" dxfId="0" priority="1" operator="equal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8"/>
  <sheetViews>
    <sheetView workbookViewId="0">
      <selection activeCell="E13" sqref="E13"/>
    </sheetView>
  </sheetViews>
  <sheetFormatPr defaultColWidth="11" defaultRowHeight="14.4"/>
  <cols>
    <col min="1" max="1" width="5.71296296296296" style="94" customWidth="1"/>
    <col min="3" max="5" width="9.71296296296296" customWidth="1"/>
    <col min="6" max="10" width="7.71296296296296" customWidth="1"/>
    <col min="11" max="11" width="5.71296296296296" style="95" customWidth="1"/>
    <col min="12" max="12" width="8.57407407407407" customWidth="1"/>
    <col min="13" max="15" width="9.71296296296296" customWidth="1"/>
    <col min="16" max="20" width="7.71296296296296" customWidth="1"/>
    <col min="21" max="21" width="5.71296296296296" style="95" customWidth="1"/>
  </cols>
  <sheetData>
    <row r="1" ht="15.15" spans="1:22">
      <c r="A1" s="96"/>
      <c r="B1" s="94"/>
      <c r="C1" s="94"/>
      <c r="D1" s="94"/>
      <c r="E1" s="94"/>
      <c r="F1" s="94"/>
      <c r="G1" s="94"/>
      <c r="H1" s="94"/>
      <c r="I1" s="94"/>
      <c r="J1" s="94"/>
      <c r="L1" s="94"/>
      <c r="M1" s="94"/>
      <c r="N1" s="94"/>
      <c r="O1" s="94"/>
      <c r="P1" s="94"/>
      <c r="Q1" s="94"/>
      <c r="R1" s="94"/>
      <c r="S1" s="94"/>
      <c r="T1" s="94"/>
    </row>
    <row r="2" ht="29.55" spans="1:22">
      <c r="A2" s="96"/>
      <c r="B2" s="97" t="s">
        <v>320</v>
      </c>
      <c r="C2" s="98" t="s">
        <v>271</v>
      </c>
      <c r="D2" s="98" t="s">
        <v>461</v>
      </c>
      <c r="E2" s="98" t="s">
        <v>462</v>
      </c>
      <c r="F2" s="98" t="s">
        <v>3</v>
      </c>
      <c r="G2" s="98" t="s">
        <v>4</v>
      </c>
      <c r="H2" s="98" t="s">
        <v>5</v>
      </c>
      <c r="I2" s="98" t="s">
        <v>6</v>
      </c>
      <c r="J2" s="98" t="s">
        <v>7</v>
      </c>
      <c r="L2" s="97" t="s">
        <v>323</v>
      </c>
      <c r="M2" s="98" t="s">
        <v>271</v>
      </c>
      <c r="N2" s="98" t="s">
        <v>461</v>
      </c>
      <c r="O2" s="98" t="s">
        <v>462</v>
      </c>
      <c r="P2" s="98" t="s">
        <v>3</v>
      </c>
      <c r="Q2" s="98" t="s">
        <v>4</v>
      </c>
      <c r="R2" s="98" t="s">
        <v>5</v>
      </c>
      <c r="S2" s="98" t="s">
        <v>6</v>
      </c>
      <c r="T2" s="98" t="s">
        <v>7</v>
      </c>
    </row>
    <row r="3" spans="1:22">
      <c r="A3" s="96"/>
      <c r="B3" s="99"/>
      <c r="C3" s="99"/>
      <c r="D3" s="99"/>
      <c r="E3" s="99"/>
      <c r="F3" s="99"/>
      <c r="G3" s="99"/>
      <c r="H3" s="99"/>
      <c r="I3" s="99"/>
      <c r="J3" s="99"/>
      <c r="K3" s="100"/>
      <c r="L3" s="99"/>
      <c r="M3" s="99"/>
      <c r="N3" s="99"/>
      <c r="O3" s="99"/>
      <c r="P3" s="99"/>
      <c r="Q3" s="99"/>
      <c r="R3" s="99"/>
      <c r="S3" s="99"/>
      <c r="T3" s="99"/>
      <c r="U3" s="100"/>
      <c r="V3" s="94"/>
    </row>
    <row r="4" ht="15.6" spans="1:22">
      <c r="A4" s="101"/>
      <c r="B4" s="102" t="s">
        <v>12</v>
      </c>
      <c r="C4" s="103">
        <v>0.618265338312376</v>
      </c>
      <c r="D4" s="103">
        <v>0.604695708410038</v>
      </c>
      <c r="E4" s="103">
        <v>0.864850863218035</v>
      </c>
      <c r="F4" s="103">
        <v>1.05948177275013</v>
      </c>
      <c r="G4" s="103">
        <v>1.00430473775396</v>
      </c>
      <c r="H4" s="103">
        <v>0.76665567022553</v>
      </c>
      <c r="I4" s="103">
        <v>0.874441900287917</v>
      </c>
      <c r="J4" s="103">
        <v>0.505131218059668</v>
      </c>
      <c r="K4" s="104"/>
      <c r="L4" s="102" t="s">
        <v>12</v>
      </c>
      <c r="M4" s="103">
        <v>-0.65922936781599</v>
      </c>
      <c r="N4" s="103">
        <v>-0.637894395670571</v>
      </c>
      <c r="O4" s="103">
        <v>-0.931092977355449</v>
      </c>
      <c r="P4" s="103">
        <v>-1.0635157313244</v>
      </c>
      <c r="Q4" s="103">
        <v>-1.02364817607857</v>
      </c>
      <c r="R4" s="103">
        <v>-0.848293273789231</v>
      </c>
      <c r="S4" s="103">
        <v>-0.929186227264343</v>
      </c>
      <c r="T4" s="103">
        <v>-0.468002368488974</v>
      </c>
      <c r="U4" s="105"/>
    </row>
    <row r="5" ht="15.6" spans="1:22">
      <c r="A5" s="101"/>
      <c r="B5" s="106" t="s">
        <v>52</v>
      </c>
      <c r="C5" s="107">
        <v>0.322904537406103</v>
      </c>
      <c r="D5" s="107">
        <v>0.291353559349734</v>
      </c>
      <c r="E5" s="107">
        <v>0.667638537929872</v>
      </c>
      <c r="F5" s="107">
        <v>1.04348132100254</v>
      </c>
      <c r="G5" s="107">
        <v>0.971726865753784</v>
      </c>
      <c r="H5" s="107">
        <v>0.9574394561005</v>
      </c>
      <c r="I5" s="107">
        <v>0.878228949150483</v>
      </c>
      <c r="J5" s="107">
        <v>0.297024773022176</v>
      </c>
      <c r="K5" s="105"/>
      <c r="L5" s="106" t="s">
        <v>52</v>
      </c>
      <c r="M5" s="107">
        <v>0.171616287467659</v>
      </c>
      <c r="N5" s="107">
        <v>0.346976651948221</v>
      </c>
      <c r="O5" s="107">
        <v>-0.537789227128195</v>
      </c>
      <c r="P5" s="107">
        <v>-1.08265326171847</v>
      </c>
      <c r="Q5" s="107">
        <v>-0.985756976120308</v>
      </c>
      <c r="R5" s="107">
        <v>-0.978082129339293</v>
      </c>
      <c r="S5" s="107">
        <v>-0.827132453506682</v>
      </c>
      <c r="T5" s="107">
        <v>0.704410259902178</v>
      </c>
    </row>
    <row r="6" ht="15.6" spans="1:22">
      <c r="A6" s="101"/>
      <c r="B6" s="106" t="s">
        <v>56</v>
      </c>
      <c r="C6" s="107">
        <v>0.775840967344575</v>
      </c>
      <c r="D6" s="107">
        <v>0.753716632339636</v>
      </c>
      <c r="E6" s="107">
        <v>1.17226264813792</v>
      </c>
      <c r="F6" s="107">
        <v>1.46679089672926</v>
      </c>
      <c r="G6" s="107">
        <v>1.51551198587742</v>
      </c>
      <c r="H6" s="107">
        <v>1.24366727459318</v>
      </c>
      <c r="I6" s="107">
        <v>1.11155543976157</v>
      </c>
      <c r="J6" s="107">
        <v>0.60912714041761</v>
      </c>
      <c r="K6" s="105"/>
      <c r="L6" s="106" t="s">
        <v>56</v>
      </c>
      <c r="M6" s="107">
        <v>-0.0258028537190547</v>
      </c>
      <c r="N6" s="107">
        <v>0.147030166644408</v>
      </c>
      <c r="O6" s="107">
        <v>-0.928138279178639</v>
      </c>
      <c r="P6" s="107">
        <v>-1.58372737938239</v>
      </c>
      <c r="Q6" s="107">
        <v>-1.52463088200028</v>
      </c>
      <c r="R6" s="107">
        <v>-1.27225327118747</v>
      </c>
      <c r="S6" s="107">
        <v>-1.02321099304128</v>
      </c>
      <c r="T6" s="107">
        <v>0.425886387097208</v>
      </c>
    </row>
    <row r="7" ht="15.6" spans="1:22">
      <c r="A7" s="101"/>
      <c r="B7" s="102" t="s">
        <v>13</v>
      </c>
      <c r="C7" s="103">
        <v>0.877965838412718</v>
      </c>
      <c r="D7" s="103">
        <v>0.796724140082713</v>
      </c>
      <c r="E7" s="103">
        <v>0.905881473785776</v>
      </c>
      <c r="F7" s="103">
        <v>1.20822651386976</v>
      </c>
      <c r="G7" s="103">
        <v>0.914544872738923</v>
      </c>
      <c r="H7" s="103">
        <v>1.01656719545427</v>
      </c>
      <c r="I7" s="103">
        <v>0.912567753699157</v>
      </c>
      <c r="J7" s="103">
        <v>0.807144194655531</v>
      </c>
      <c r="K7" s="104"/>
      <c r="L7" s="102" t="s">
        <v>13</v>
      </c>
      <c r="M7" s="103">
        <v>-0.954766597606162</v>
      </c>
      <c r="N7" s="103">
        <v>-0.806503563393383</v>
      </c>
      <c r="O7" s="103">
        <v>-1.7090431118951</v>
      </c>
      <c r="P7" s="103">
        <v>-1.40688588872377</v>
      </c>
      <c r="Q7" s="103">
        <v>-1.197349629159</v>
      </c>
      <c r="R7" s="103">
        <v>-1.69867771146442</v>
      </c>
      <c r="S7" s="103">
        <v>-1.3728091091464</v>
      </c>
      <c r="T7" s="103">
        <v>-0.159075448872453</v>
      </c>
      <c r="U7" s="105"/>
    </row>
    <row r="8" ht="15.6" spans="1:22">
      <c r="A8" s="101"/>
      <c r="B8" s="102" t="s">
        <v>14</v>
      </c>
      <c r="C8" s="103">
        <v>0.312823985539041</v>
      </c>
      <c r="D8" s="103">
        <v>0.354946907840899</v>
      </c>
      <c r="E8" s="103">
        <v>0.533440619847053</v>
      </c>
      <c r="F8" s="103">
        <v>0.900763112413138</v>
      </c>
      <c r="G8" s="103">
        <v>0.800872896642448</v>
      </c>
      <c r="H8" s="103">
        <v>0.653728045613587</v>
      </c>
      <c r="I8" s="103">
        <v>0.580687324412341</v>
      </c>
      <c r="J8" s="103">
        <v>0.212176236387444</v>
      </c>
      <c r="K8" s="104"/>
      <c r="L8" s="102" t="s">
        <v>14</v>
      </c>
      <c r="M8" s="103">
        <v>-1.82628677392878</v>
      </c>
      <c r="N8" s="103">
        <v>-0.556866780225896</v>
      </c>
      <c r="O8" s="103">
        <v>-9.24789467746283</v>
      </c>
      <c r="P8" s="103">
        <v>-3.53591337537537</v>
      </c>
      <c r="Q8" s="103">
        <v>-4.75440324371239</v>
      </c>
      <c r="R8" s="103">
        <v>-11.3915730728513</v>
      </c>
      <c r="S8" s="103">
        <v>-9.26501077163491</v>
      </c>
      <c r="T8" s="103">
        <v>19.1833674810229</v>
      </c>
      <c r="U8" s="105"/>
    </row>
    <row r="9" ht="15.6" spans="1:22">
      <c r="A9" s="101"/>
      <c r="B9" s="102" t="s">
        <v>15</v>
      </c>
      <c r="C9" s="103">
        <v>0.437568379281185</v>
      </c>
      <c r="D9" s="103">
        <v>0.447341053288337</v>
      </c>
      <c r="E9" s="103">
        <v>0.661421942553687</v>
      </c>
      <c r="F9" s="103">
        <v>0.953103512383691</v>
      </c>
      <c r="G9" s="103">
        <v>0.928611479319078</v>
      </c>
      <c r="H9" s="103">
        <v>0.593940587516405</v>
      </c>
      <c r="I9" s="103">
        <v>0.781015426825763</v>
      </c>
      <c r="J9" s="103">
        <v>0.320797173917246</v>
      </c>
      <c r="K9" s="104"/>
      <c r="L9" s="102" t="s">
        <v>15</v>
      </c>
      <c r="M9" s="103">
        <v>-0.504718869768233</v>
      </c>
      <c r="N9" s="103">
        <v>-0.503572524957393</v>
      </c>
      <c r="O9" s="103">
        <v>-0.757216819440444</v>
      </c>
      <c r="P9" s="103">
        <v>-0.974173841630177</v>
      </c>
      <c r="Q9" s="103">
        <v>-0.959134873708701</v>
      </c>
      <c r="R9" s="103">
        <v>-0.695280369861034</v>
      </c>
      <c r="S9" s="103">
        <v>-0.848975872591165</v>
      </c>
      <c r="T9" s="103">
        <v>-0.318615660987057</v>
      </c>
      <c r="U9" s="105"/>
    </row>
    <row r="10" ht="15.6" spans="1:22">
      <c r="A10" s="101"/>
      <c r="B10" s="106" t="s">
        <v>42</v>
      </c>
      <c r="C10" s="107">
        <v>0.286173004466951</v>
      </c>
      <c r="D10" s="107">
        <v>0.298916187349072</v>
      </c>
      <c r="E10" s="107">
        <v>0.456149425850422</v>
      </c>
      <c r="F10" s="107">
        <v>0.803444030446107</v>
      </c>
      <c r="G10" s="107">
        <v>0.810766518544298</v>
      </c>
      <c r="H10" s="107">
        <v>0.774231292489176</v>
      </c>
      <c r="I10" s="107">
        <v>0.662470030163124</v>
      </c>
      <c r="J10" s="107">
        <v>0.325213523351974</v>
      </c>
      <c r="K10" s="105"/>
      <c r="L10" s="106" t="s">
        <v>42</v>
      </c>
      <c r="M10" s="107">
        <v>-0.0359066576345585</v>
      </c>
      <c r="N10" s="107">
        <v>0.0347851486682074</v>
      </c>
      <c r="O10" s="107">
        <v>-0.408515007034669</v>
      </c>
      <c r="P10" s="107">
        <v>-0.842061453316485</v>
      </c>
      <c r="Q10" s="107">
        <v>-0.833768010675972</v>
      </c>
      <c r="R10" s="107">
        <v>-0.800384342412279</v>
      </c>
      <c r="S10" s="107">
        <v>-0.651495166096358</v>
      </c>
      <c r="T10" s="107">
        <v>0.221258455878653</v>
      </c>
    </row>
    <row r="11" ht="15.6" spans="1:22">
      <c r="A11" s="101"/>
      <c r="B11" s="106" t="s">
        <v>44</v>
      </c>
      <c r="C11" s="107">
        <v>0.677005084129206</v>
      </c>
      <c r="D11" s="107">
        <v>0.595464436700397</v>
      </c>
      <c r="E11" s="107">
        <v>0.80568397968193</v>
      </c>
      <c r="F11" s="107">
        <v>1.0235349489675</v>
      </c>
      <c r="G11" s="107">
        <v>1.11375333859014</v>
      </c>
      <c r="H11" s="107">
        <v>0.847430541738598</v>
      </c>
      <c r="I11" s="107">
        <v>0.801693056907784</v>
      </c>
      <c r="J11" s="107">
        <v>0.540586098518039</v>
      </c>
      <c r="K11" s="105"/>
      <c r="L11" s="106" t="s">
        <v>44</v>
      </c>
      <c r="M11" s="107">
        <v>-0.0806611398531337</v>
      </c>
      <c r="N11" s="107">
        <v>0.0235075800054587</v>
      </c>
      <c r="O11" s="107">
        <v>-0.541233273963049</v>
      </c>
      <c r="P11" s="107">
        <v>-1.11179960423835</v>
      </c>
      <c r="Q11" s="107">
        <v>-1.13234514511878</v>
      </c>
      <c r="R11" s="107">
        <v>-0.879711093613919</v>
      </c>
      <c r="S11" s="107">
        <v>-0.736569428250721</v>
      </c>
      <c r="T11" s="107">
        <v>0.303627108107755</v>
      </c>
    </row>
    <row r="12" ht="15.6" spans="1:22">
      <c r="A12" s="101"/>
      <c r="B12" s="106" t="s">
        <v>46</v>
      </c>
      <c r="C12" s="107">
        <v>0.305880871413959</v>
      </c>
      <c r="D12" s="107">
        <v>0.312690450361572</v>
      </c>
      <c r="E12" s="107">
        <v>0.609971957731519</v>
      </c>
      <c r="F12" s="107">
        <v>0.959722326741751</v>
      </c>
      <c r="G12" s="107">
        <v>0.996783468399015</v>
      </c>
      <c r="H12" s="107">
        <v>0.87863885423966</v>
      </c>
      <c r="I12" s="107">
        <v>0.80661268240486</v>
      </c>
      <c r="J12" s="107">
        <v>0.258493654726148</v>
      </c>
      <c r="K12" s="105"/>
      <c r="L12" s="106" t="s">
        <v>46</v>
      </c>
      <c r="M12" s="107">
        <v>0.221612348325005</v>
      </c>
      <c r="N12" s="107">
        <v>0.418918827837649</v>
      </c>
      <c r="O12" s="107">
        <v>-0.486970931374872</v>
      </c>
      <c r="P12" s="107">
        <v>-1.00723174088349</v>
      </c>
      <c r="Q12" s="107">
        <v>-1.01060013989136</v>
      </c>
      <c r="R12" s="107">
        <v>-0.903572537378394</v>
      </c>
      <c r="S12" s="107">
        <v>-0.754152133047106</v>
      </c>
      <c r="T12" s="107">
        <v>0.798532111420224</v>
      </c>
    </row>
    <row r="13" ht="15.6" spans="1:22">
      <c r="A13" s="101"/>
      <c r="B13" s="106" t="s">
        <v>48</v>
      </c>
      <c r="C13" s="107">
        <v>0.620790526790394</v>
      </c>
      <c r="D13" s="107">
        <v>0.589362272128542</v>
      </c>
      <c r="E13" s="107">
        <v>0.953596031151412</v>
      </c>
      <c r="F13" s="107">
        <v>1.03195001232642</v>
      </c>
      <c r="G13" s="107">
        <v>1.14764504722</v>
      </c>
      <c r="H13" s="107">
        <v>1.15276210969584</v>
      </c>
      <c r="I13" s="107">
        <v>0.998490247782289</v>
      </c>
      <c r="J13" s="107">
        <v>0.534808657592224</v>
      </c>
      <c r="K13" s="105"/>
      <c r="L13" s="106" t="s">
        <v>48</v>
      </c>
      <c r="M13" s="107">
        <v>-0.462055973447952</v>
      </c>
      <c r="N13" s="107">
        <v>-0.394251789570469</v>
      </c>
      <c r="O13" s="107">
        <v>-0.902157089594909</v>
      </c>
      <c r="P13" s="107">
        <v>-1.0494462457378</v>
      </c>
      <c r="Q13" s="107">
        <v>-1.134034028073</v>
      </c>
      <c r="R13" s="107">
        <v>-1.14074368753428</v>
      </c>
      <c r="S13" s="107">
        <v>-0.978722656404423</v>
      </c>
      <c r="T13" s="107">
        <v>-0.272713803723366</v>
      </c>
    </row>
    <row r="14" ht="15.6" spans="1:22">
      <c r="A14" s="101"/>
      <c r="B14" s="106" t="s">
        <v>54</v>
      </c>
      <c r="C14" s="107">
        <v>0.337379609735086</v>
      </c>
      <c r="D14" s="107">
        <v>0.300439150349849</v>
      </c>
      <c r="E14" s="107">
        <v>0.649746655787799</v>
      </c>
      <c r="F14" s="107">
        <v>0.851685115594032</v>
      </c>
      <c r="G14" s="107">
        <v>0.916557541010313</v>
      </c>
      <c r="H14" s="107">
        <v>0.916052248707647</v>
      </c>
      <c r="I14" s="107">
        <v>0.728990644520286</v>
      </c>
      <c r="J14" s="107">
        <v>0.356058621179539</v>
      </c>
      <c r="K14" s="105"/>
      <c r="L14" s="106" t="s">
        <v>54</v>
      </c>
      <c r="M14" s="107">
        <v>1.02775108183844</v>
      </c>
      <c r="N14" s="107">
        <v>1.38863529596394</v>
      </c>
      <c r="O14" s="107">
        <v>-0.241419386525823</v>
      </c>
      <c r="P14" s="107">
        <v>-0.981354797136831</v>
      </c>
      <c r="Q14" s="107">
        <v>-0.952471020308064</v>
      </c>
      <c r="R14" s="107">
        <v>-0.968922997764248</v>
      </c>
      <c r="S14" s="107">
        <v>-0.580363382281394</v>
      </c>
      <c r="T14" s="107">
        <v>2.38652394122423</v>
      </c>
    </row>
    <row r="15" ht="15.6" spans="1:22">
      <c r="A15" s="101"/>
      <c r="B15" s="106" t="s">
        <v>58</v>
      </c>
      <c r="C15" s="107">
        <v>0.30319766743977</v>
      </c>
      <c r="D15" s="107">
        <v>0.407966492584787</v>
      </c>
      <c r="E15" s="107">
        <v>0.44341527028405</v>
      </c>
      <c r="F15" s="107">
        <v>0.866993364349247</v>
      </c>
      <c r="G15" s="107">
        <v>0.882313110035616</v>
      </c>
      <c r="H15" s="107">
        <v>0.633214310469791</v>
      </c>
      <c r="I15" s="107">
        <v>0.730345526140182</v>
      </c>
      <c r="J15" s="107">
        <v>0.509186478321654</v>
      </c>
      <c r="K15" s="105"/>
      <c r="L15" s="106" t="s">
        <v>58</v>
      </c>
      <c r="M15" s="107">
        <v>0.86976005481045</v>
      </c>
      <c r="N15" s="107">
        <v>1.36479128773429</v>
      </c>
      <c r="O15" s="107">
        <v>-0.178462664549688</v>
      </c>
      <c r="P15" s="107">
        <v>-0.945664986497076</v>
      </c>
      <c r="Q15" s="107">
        <v>-0.912269925996448</v>
      </c>
      <c r="R15" s="107">
        <v>-0.682003797060488</v>
      </c>
      <c r="S15" s="107">
        <v>-0.591709284250162</v>
      </c>
      <c r="T15" s="107">
        <v>2.17387994511889</v>
      </c>
    </row>
    <row r="16" ht="15.6" spans="1:22">
      <c r="A16" s="101"/>
      <c r="B16" s="106" t="s">
        <v>60</v>
      </c>
      <c r="C16" s="107">
        <v>1.89990134491198</v>
      </c>
      <c r="D16" s="107">
        <v>1.64929169024241</v>
      </c>
      <c r="E16" s="107">
        <v>0.947572167009837</v>
      </c>
      <c r="F16" s="107">
        <v>3.04352435288066</v>
      </c>
      <c r="G16" s="107">
        <v>0.989478222546567</v>
      </c>
      <c r="H16" s="107">
        <v>1.53809989112083</v>
      </c>
      <c r="I16" s="107">
        <v>0.865303945698052</v>
      </c>
      <c r="J16" s="107">
        <v>1.38477321082137</v>
      </c>
      <c r="K16" s="105"/>
      <c r="L16" s="106" t="s">
        <v>60</v>
      </c>
      <c r="M16" s="107">
        <v>52.6983440571456</v>
      </c>
      <c r="N16" s="107">
        <v>46.3364453146378</v>
      </c>
      <c r="O16" s="107">
        <v>50.9632664238994</v>
      </c>
      <c r="P16" s="107">
        <v>-32.2981071442223</v>
      </c>
      <c r="Q16" s="107">
        <v>-5.54082366322279</v>
      </c>
      <c r="R16" s="107">
        <v>-5.96203742958424</v>
      </c>
      <c r="S16" s="107">
        <v>8.64659391431765</v>
      </c>
      <c r="T16" s="107">
        <v>48.6841647566437</v>
      </c>
    </row>
    <row r="17" ht="15.6" spans="1:21">
      <c r="A17" s="101"/>
      <c r="B17" s="106" t="s">
        <v>62</v>
      </c>
      <c r="C17" s="107">
        <v>0.258821168939703</v>
      </c>
      <c r="D17" s="107">
        <v>0.288286873130077</v>
      </c>
      <c r="E17" s="107">
        <v>0.496424231733317</v>
      </c>
      <c r="F17" s="107">
        <v>0.855942964375955</v>
      </c>
      <c r="G17" s="107">
        <v>0.863005632014871</v>
      </c>
      <c r="H17" s="107">
        <v>0.675963222869577</v>
      </c>
      <c r="I17" s="107">
        <v>0.706189061591338</v>
      </c>
      <c r="J17" s="107">
        <v>0.26856503024201</v>
      </c>
      <c r="K17" s="105"/>
      <c r="L17" s="106" t="s">
        <v>62</v>
      </c>
      <c r="M17" s="107">
        <v>1.06025637530976</v>
      </c>
      <c r="N17" s="107">
        <v>1.58673043048178</v>
      </c>
      <c r="O17" s="107">
        <v>-0.175179821148319</v>
      </c>
      <c r="P17" s="107">
        <v>-0.95772975479527</v>
      </c>
      <c r="Q17" s="107">
        <v>-0.898484346845511</v>
      </c>
      <c r="R17" s="107">
        <v>-0.730992706731268</v>
      </c>
      <c r="S17" s="107">
        <v>-0.560500344249462</v>
      </c>
      <c r="T17" s="107">
        <v>2.52036501357428</v>
      </c>
    </row>
    <row r="18" ht="15.6" spans="1:21">
      <c r="A18" s="101"/>
      <c r="B18" s="106" t="s">
        <v>64</v>
      </c>
      <c r="C18" s="107">
        <v>0.312774333780603</v>
      </c>
      <c r="D18" s="107">
        <v>0.354871663015045</v>
      </c>
      <c r="E18" s="107">
        <v>0.533394678524283</v>
      </c>
      <c r="F18" s="107">
        <v>0.894059741935329</v>
      </c>
      <c r="G18" s="107">
        <v>1.11957828454185</v>
      </c>
      <c r="H18" s="107">
        <v>0.829394937860886</v>
      </c>
      <c r="I18" s="107">
        <v>0.667859416896669</v>
      </c>
      <c r="J18" s="107">
        <v>0.357607013679641</v>
      </c>
      <c r="K18" s="105"/>
      <c r="L18" s="106" t="s">
        <v>64</v>
      </c>
      <c r="M18" s="107">
        <v>1.60973116867074</v>
      </c>
      <c r="N18" s="107">
        <v>2.34870778173623</v>
      </c>
      <c r="O18" s="107">
        <v>-0.0542376987973611</v>
      </c>
      <c r="P18" s="107">
        <v>-1.04148448264087</v>
      </c>
      <c r="Q18" s="107">
        <v>-1.16720709086342</v>
      </c>
      <c r="R18" s="107">
        <v>-0.905244810004468</v>
      </c>
      <c r="S18" s="107">
        <v>-0.452416021959189</v>
      </c>
      <c r="T18" s="107">
        <v>3.61886273888684</v>
      </c>
    </row>
    <row r="19" ht="15.6" spans="1:21">
      <c r="A19" s="96"/>
      <c r="B19" s="106" t="s">
        <v>66</v>
      </c>
      <c r="C19" s="107">
        <v>1.66562863677206</v>
      </c>
      <c r="D19" s="107">
        <v>1.46903889954245</v>
      </c>
      <c r="E19" s="107">
        <v>1.83855203898502</v>
      </c>
      <c r="F19" s="107">
        <v>2.28757894083617</v>
      </c>
      <c r="G19" s="107">
        <v>1.54250679235557</v>
      </c>
      <c r="H19" s="107">
        <v>0.786206268556942</v>
      </c>
      <c r="I19" s="107">
        <v>1.21476969427574</v>
      </c>
      <c r="J19" s="107">
        <v>1.23515890287068</v>
      </c>
      <c r="K19" s="105"/>
      <c r="L19" s="106" t="s">
        <v>66</v>
      </c>
      <c r="M19" s="107">
        <v>4.69262134527209</v>
      </c>
      <c r="N19" s="107">
        <v>4.55710606350369</v>
      </c>
      <c r="O19" s="107">
        <v>2.09534300958444</v>
      </c>
      <c r="P19" s="107">
        <v>-4.96920068684402</v>
      </c>
      <c r="Q19" s="107">
        <v>-2.00750300320306</v>
      </c>
      <c r="R19" s="107">
        <v>-1.29378053820698</v>
      </c>
      <c r="S19" s="107">
        <v>-0.276335817490566</v>
      </c>
      <c r="T19" s="107">
        <v>4.95517607001921</v>
      </c>
    </row>
    <row r="20" ht="15.6" spans="1:21">
      <c r="A20" s="96"/>
      <c r="B20" s="102" t="s">
        <v>16</v>
      </c>
      <c r="C20" s="103">
        <v>1.14189039515574</v>
      </c>
      <c r="D20" s="103">
        <v>1.12838712966823</v>
      </c>
      <c r="E20" s="103">
        <v>1.12085918120607</v>
      </c>
      <c r="F20" s="103">
        <v>1.49512453667373</v>
      </c>
      <c r="G20" s="103">
        <v>1.58851872160766</v>
      </c>
      <c r="H20" s="103">
        <v>1.25024216967319</v>
      </c>
      <c r="I20" s="103">
        <v>1.37398457494911</v>
      </c>
      <c r="J20" s="103">
        <v>0.927535089801782</v>
      </c>
      <c r="K20" s="104"/>
      <c r="L20" s="102" t="s">
        <v>16</v>
      </c>
      <c r="M20" s="103">
        <v>-1.16149362622057</v>
      </c>
      <c r="N20" s="103">
        <v>-1.12524848902713</v>
      </c>
      <c r="O20" s="103">
        <v>-1.34963866958306</v>
      </c>
      <c r="P20" s="103">
        <v>-1.57984058672639</v>
      </c>
      <c r="Q20" s="103">
        <v>-1.68421827986754</v>
      </c>
      <c r="R20" s="103">
        <v>-1.51228623796923</v>
      </c>
      <c r="S20" s="103">
        <v>-1.51410494774529</v>
      </c>
      <c r="T20" s="103">
        <v>-0.738002205377876</v>
      </c>
      <c r="U20" s="105"/>
    </row>
    <row r="21" ht="15.6" spans="1:21">
      <c r="A21" s="101"/>
      <c r="B21" s="106" t="s">
        <v>76</v>
      </c>
      <c r="C21" s="107">
        <v>1.22679198408903</v>
      </c>
      <c r="D21" s="107">
        <v>1.21754842016599</v>
      </c>
      <c r="E21" s="107">
        <v>1.06231998539538</v>
      </c>
      <c r="F21" s="107">
        <v>1.45536678848452</v>
      </c>
      <c r="G21" s="107">
        <v>1.4566490410116</v>
      </c>
      <c r="H21" s="107">
        <v>1.09644622819152</v>
      </c>
      <c r="I21" s="107">
        <v>1.15402511389987</v>
      </c>
      <c r="J21" s="107">
        <v>1.02726836549101</v>
      </c>
      <c r="K21" s="105"/>
      <c r="L21" s="106" t="s">
        <v>76</v>
      </c>
      <c r="M21" s="107">
        <v>0.228213031463564</v>
      </c>
      <c r="N21" s="107">
        <v>0.338931795605491</v>
      </c>
      <c r="O21" s="107">
        <v>-0.465676421808649</v>
      </c>
      <c r="P21" s="107">
        <v>-1.7664923368685</v>
      </c>
      <c r="Q21" s="107">
        <v>-1.52137508696932</v>
      </c>
      <c r="R21" s="107">
        <v>-1.17504337698429</v>
      </c>
      <c r="S21" s="107">
        <v>-0.956988637485987</v>
      </c>
      <c r="T21" s="107">
        <v>0.662155710114007</v>
      </c>
    </row>
    <row r="22" ht="15.6" spans="1:21">
      <c r="A22" s="101"/>
      <c r="B22" s="106" t="s">
        <v>78</v>
      </c>
      <c r="C22" s="107">
        <v>0.76226492076565</v>
      </c>
      <c r="D22" s="107">
        <v>0.782803311553515</v>
      </c>
      <c r="E22" s="107">
        <v>0.746650544026967</v>
      </c>
      <c r="F22" s="107">
        <v>1.12104417758278</v>
      </c>
      <c r="G22" s="107">
        <v>1.08371432937773</v>
      </c>
      <c r="H22" s="107">
        <v>1.102428671332</v>
      </c>
      <c r="I22" s="107">
        <v>0.918382284859842</v>
      </c>
      <c r="J22" s="107">
        <v>0.992033053931839</v>
      </c>
      <c r="K22" s="105"/>
      <c r="L22" s="106" t="s">
        <v>78</v>
      </c>
      <c r="M22" s="107">
        <v>2.62633916586624</v>
      </c>
      <c r="N22" s="107">
        <v>3.11383903483126</v>
      </c>
      <c r="O22" s="107">
        <v>0.426858450804962</v>
      </c>
      <c r="P22" s="107">
        <v>-1.48515875518657</v>
      </c>
      <c r="Q22" s="107">
        <v>-1.1788307498103</v>
      </c>
      <c r="R22" s="107">
        <v>-1.23232736101789</v>
      </c>
      <c r="S22" s="107">
        <v>-0.495825926405645</v>
      </c>
      <c r="T22" s="107">
        <v>4.76390433413242</v>
      </c>
    </row>
    <row r="23" ht="15.6" spans="1:21">
      <c r="A23" s="101"/>
      <c r="B23" s="106" t="s">
        <v>80</v>
      </c>
      <c r="C23" s="107">
        <v>0.650229355110504</v>
      </c>
      <c r="D23" s="107">
        <v>0.652103281172081</v>
      </c>
      <c r="E23" s="107">
        <v>0.836648200828729</v>
      </c>
      <c r="F23" s="107">
        <v>1.23299798547828</v>
      </c>
      <c r="G23" s="107">
        <v>1.34436762295961</v>
      </c>
      <c r="H23" s="107">
        <v>1.2471350167773</v>
      </c>
      <c r="I23" s="107">
        <v>1.00963891354886</v>
      </c>
      <c r="J23" s="107">
        <v>0.357716221197293</v>
      </c>
      <c r="K23" s="105"/>
      <c r="L23" s="106" t="s">
        <v>80</v>
      </c>
      <c r="M23" s="107">
        <v>28.9938252059426</v>
      </c>
      <c r="N23" s="107">
        <v>34.6327901558457</v>
      </c>
      <c r="O23" s="107">
        <v>8.76443173542817</v>
      </c>
      <c r="P23" s="107">
        <v>-5.96635055261977</v>
      </c>
      <c r="Q23" s="107">
        <v>-2.52946522169143</v>
      </c>
      <c r="R23" s="107">
        <v>-2.71630833348713</v>
      </c>
      <c r="S23" s="107">
        <v>2.94645270628957</v>
      </c>
      <c r="T23" s="107">
        <v>37.5128945483116</v>
      </c>
    </row>
    <row r="24" ht="15.6" spans="1:21">
      <c r="A24" s="101"/>
      <c r="B24" s="106" t="s">
        <v>82</v>
      </c>
      <c r="C24" s="107">
        <v>0.736004087738615</v>
      </c>
      <c r="D24" s="107">
        <v>0.712184353351356</v>
      </c>
      <c r="E24" s="107">
        <v>1.03825291992821</v>
      </c>
      <c r="F24" s="107">
        <v>1.05225285346824</v>
      </c>
      <c r="G24" s="107">
        <v>1.14103405104571</v>
      </c>
      <c r="H24" s="107">
        <v>1.17480523478155</v>
      </c>
      <c r="I24" s="107">
        <v>1.15736897246988</v>
      </c>
      <c r="J24" s="107">
        <v>0.606927841848736</v>
      </c>
      <c r="K24" s="105"/>
      <c r="L24" s="106" t="s">
        <v>82</v>
      </c>
      <c r="M24" s="107">
        <v>6.25171485525664</v>
      </c>
      <c r="N24" s="107">
        <v>7.46807777827435</v>
      </c>
      <c r="O24" s="107">
        <v>1.29646906658528</v>
      </c>
      <c r="P24" s="107">
        <v>-2.16835292460894</v>
      </c>
      <c r="Q24" s="107">
        <v>-1.26372720024574</v>
      </c>
      <c r="R24" s="107">
        <v>-1.49728900420705</v>
      </c>
      <c r="S24" s="107">
        <v>-0.369246719466414</v>
      </c>
      <c r="T24" s="107">
        <v>9.37249882626441</v>
      </c>
    </row>
    <row r="25" ht="15.6" spans="1:21">
      <c r="A25" s="101"/>
      <c r="B25" s="106" t="s">
        <v>84</v>
      </c>
      <c r="C25" s="107">
        <v>3.02775437441953</v>
      </c>
      <c r="D25" s="107">
        <v>3.18584428182805</v>
      </c>
      <c r="E25" s="107">
        <v>1.29547520611548</v>
      </c>
      <c r="F25" s="107">
        <v>1.64371071132692</v>
      </c>
      <c r="G25" s="107">
        <v>0.934639319947921</v>
      </c>
      <c r="H25" s="107">
        <v>2.44287049846337</v>
      </c>
      <c r="I25" s="107">
        <v>1.05493433740377</v>
      </c>
      <c r="J25" s="107">
        <v>3.03333760511837</v>
      </c>
      <c r="K25" s="105"/>
      <c r="L25" s="106" t="s">
        <v>84</v>
      </c>
      <c r="M25" s="107">
        <v>15.9329704098913</v>
      </c>
      <c r="N25" s="107">
        <v>16.5616323853206</v>
      </c>
      <c r="O25" s="107">
        <v>7.07687289334518</v>
      </c>
      <c r="P25" s="107">
        <v>-6.10841732041112</v>
      </c>
      <c r="Q25" s="107">
        <v>-1.89216375330369</v>
      </c>
      <c r="R25" s="107">
        <v>-3.66681042831949</v>
      </c>
      <c r="S25" s="107">
        <v>2.1333577290719</v>
      </c>
      <c r="T25" s="107">
        <v>16.6656277858984</v>
      </c>
    </row>
    <row r="26" ht="15.6" spans="1:21">
      <c r="A26" s="101"/>
      <c r="B26" s="106" t="s">
        <v>86</v>
      </c>
      <c r="C26" s="107">
        <v>0.575030246811611</v>
      </c>
      <c r="D26" s="107">
        <v>0.496005918581941</v>
      </c>
      <c r="E26" s="107">
        <v>0.688945905122132</v>
      </c>
      <c r="F26" s="107">
        <v>1.37099941131234</v>
      </c>
      <c r="G26" s="107">
        <v>1.19223235970627</v>
      </c>
      <c r="H26" s="107">
        <v>1.41554640468445</v>
      </c>
      <c r="I26" s="107">
        <v>0.693280930654197</v>
      </c>
      <c r="J26" s="107">
        <v>0.579378869344302</v>
      </c>
      <c r="K26" s="105"/>
      <c r="L26" s="106" t="s">
        <v>86</v>
      </c>
      <c r="M26" s="107">
        <v>17.9234158715535</v>
      </c>
      <c r="N26" s="107">
        <v>18.739476349319</v>
      </c>
      <c r="O26" s="107">
        <v>7.51170316964546</v>
      </c>
      <c r="P26" s="107">
        <v>-4.01119257176771</v>
      </c>
      <c r="Q26" s="107">
        <v>-1.95695137450325</v>
      </c>
      <c r="R26" s="107">
        <v>-2.280800288269</v>
      </c>
      <c r="S26" s="107">
        <v>0.825843797087698</v>
      </c>
      <c r="T26" s="107">
        <v>31.8380361582918</v>
      </c>
    </row>
    <row r="27" ht="15.6" spans="1:21">
      <c r="A27" s="101"/>
      <c r="B27" s="106" t="s">
        <v>88</v>
      </c>
      <c r="C27" s="107">
        <v>1.59308540956944</v>
      </c>
      <c r="D27" s="107">
        <v>1.30032008997484</v>
      </c>
      <c r="E27" s="107">
        <v>2.44323148175443</v>
      </c>
      <c r="F27" s="107">
        <v>1.00287291310914</v>
      </c>
      <c r="G27" s="107">
        <v>1.01332368462154</v>
      </c>
      <c r="H27" s="107">
        <v>1.7778182829357</v>
      </c>
      <c r="I27" s="107">
        <v>1.19982192412826</v>
      </c>
      <c r="J27" s="107">
        <v>1.01484153359969</v>
      </c>
      <c r="K27" s="105"/>
      <c r="L27" s="106" t="s">
        <v>88</v>
      </c>
      <c r="M27" s="107">
        <v>10.8945448159756</v>
      </c>
      <c r="N27" s="107">
        <v>9.88078685482103</v>
      </c>
      <c r="O27" s="107">
        <v>8.0101202314679</v>
      </c>
      <c r="P27" s="107">
        <v>-8.15986697804567</v>
      </c>
      <c r="Q27" s="107">
        <v>-2.76068855927317</v>
      </c>
      <c r="R27" s="107">
        <v>-2.94221946116822</v>
      </c>
      <c r="S27" s="107">
        <v>0.641325565237466</v>
      </c>
      <c r="T27" s="107">
        <v>10.3529485236784</v>
      </c>
    </row>
    <row r="28" ht="15.6" spans="1:21">
      <c r="A28" s="96"/>
      <c r="B28" s="106" t="s">
        <v>90</v>
      </c>
      <c r="C28" s="107">
        <v>0.914097786785599</v>
      </c>
      <c r="D28" s="107">
        <v>0.875735849681408</v>
      </c>
      <c r="E28" s="107">
        <v>0.992008051101883</v>
      </c>
      <c r="F28" s="107">
        <v>0.985262441006294</v>
      </c>
      <c r="G28" s="107">
        <v>1.15130076557903</v>
      </c>
      <c r="H28" s="107">
        <v>1.25470950333316</v>
      </c>
      <c r="I28" s="107">
        <v>0.941940963096634</v>
      </c>
      <c r="J28" s="107">
        <v>0.809940586288838</v>
      </c>
      <c r="K28" s="105"/>
      <c r="L28" s="106" t="s">
        <v>90</v>
      </c>
      <c r="M28" s="107">
        <v>2.21639883749838</v>
      </c>
      <c r="N28" s="107">
        <v>2.51657534989565</v>
      </c>
      <c r="O28" s="107">
        <v>0.249558106710041</v>
      </c>
      <c r="P28" s="107">
        <v>-1.50620856106805</v>
      </c>
      <c r="Q28" s="107">
        <v>-1.27036977102704</v>
      </c>
      <c r="R28" s="107">
        <v>-1.39462891605983</v>
      </c>
      <c r="S28" s="107">
        <v>-0.525329668124831</v>
      </c>
      <c r="T28" s="107">
        <v>3.32091325989384</v>
      </c>
    </row>
    <row r="29" ht="15.6" spans="1:21">
      <c r="A29" s="96"/>
      <c r="B29" s="102" t="s">
        <v>17</v>
      </c>
      <c r="C29" s="103">
        <v>0.685367010416078</v>
      </c>
      <c r="D29" s="103">
        <v>0.626435898717174</v>
      </c>
      <c r="E29" s="103">
        <v>0.874464621055748</v>
      </c>
      <c r="F29" s="103">
        <v>1.15077894988322</v>
      </c>
      <c r="G29" s="103">
        <v>0.808820623834407</v>
      </c>
      <c r="H29" s="103">
        <v>1.13431086732546</v>
      </c>
      <c r="I29" s="103">
        <v>1.0577608021773</v>
      </c>
      <c r="J29" s="103">
        <v>0.512121388844157</v>
      </c>
      <c r="K29" s="104"/>
      <c r="L29" s="102" t="s">
        <v>17</v>
      </c>
      <c r="M29" s="103">
        <v>-0.719107337379179</v>
      </c>
      <c r="N29" s="103">
        <v>-0.639055148250494</v>
      </c>
      <c r="O29" s="103">
        <v>-1.09922164608875</v>
      </c>
      <c r="P29" s="103">
        <v>-1.20965033907588</v>
      </c>
      <c r="Q29" s="103">
        <v>-0.900506966025247</v>
      </c>
      <c r="R29" s="103">
        <v>-1.32990053379881</v>
      </c>
      <c r="S29" s="103">
        <v>-1.19784164748933</v>
      </c>
      <c r="T29" s="103">
        <v>-0.292258308703471</v>
      </c>
      <c r="U29" s="105"/>
    </row>
    <row r="30" ht="15.6" spans="1:21">
      <c r="A30" s="101"/>
      <c r="B30" s="102" t="s">
        <v>18</v>
      </c>
      <c r="C30" s="103">
        <v>2.45139625231847</v>
      </c>
      <c r="D30" s="103">
        <v>2.37576013446674</v>
      </c>
      <c r="E30" s="103">
        <v>2.24445933387293</v>
      </c>
      <c r="F30" s="103">
        <v>1.33734224347324</v>
      </c>
      <c r="G30" s="103">
        <v>1.27004280132967</v>
      </c>
      <c r="H30" s="103">
        <v>1.73164793118082</v>
      </c>
      <c r="I30" s="103">
        <v>1.40804871796054</v>
      </c>
      <c r="J30" s="103">
        <v>2.16039166639925</v>
      </c>
      <c r="K30" s="104"/>
      <c r="L30" s="102" t="s">
        <v>18</v>
      </c>
      <c r="M30" s="103">
        <v>-2.26953369514929</v>
      </c>
      <c r="N30" s="103">
        <v>-2.17849653890656</v>
      </c>
      <c r="O30" s="103">
        <v>-2.30749855970455</v>
      </c>
      <c r="P30" s="103">
        <v>-1.43778222857783</v>
      </c>
      <c r="Q30" s="103">
        <v>-1.40406624476843</v>
      </c>
      <c r="R30" s="103">
        <v>-1.98077978220858</v>
      </c>
      <c r="S30" s="103">
        <v>-1.5668546388537</v>
      </c>
      <c r="T30" s="103">
        <v>-1.8623260183087</v>
      </c>
      <c r="U30" s="105"/>
    </row>
    <row r="31" ht="15.6" spans="1:21">
      <c r="A31" s="101"/>
      <c r="B31" s="106" t="s">
        <v>102</v>
      </c>
      <c r="C31" s="107">
        <v>0.703074978186477</v>
      </c>
      <c r="D31" s="107">
        <v>0.774560114995558</v>
      </c>
      <c r="E31" s="107">
        <v>0.882662999414793</v>
      </c>
      <c r="F31" s="107">
        <v>1.28871957690263</v>
      </c>
      <c r="G31" s="107">
        <v>1.04822646546676</v>
      </c>
      <c r="H31" s="107">
        <v>1.17198693952899</v>
      </c>
      <c r="I31" s="107">
        <v>0.984158933479407</v>
      </c>
      <c r="J31" s="107">
        <v>0.602095479333266</v>
      </c>
      <c r="K31" s="105"/>
      <c r="L31" s="106" t="s">
        <v>102</v>
      </c>
      <c r="M31" s="107">
        <v>4.24405808770532</v>
      </c>
      <c r="N31" s="107">
        <v>5.61172947378522</v>
      </c>
      <c r="O31" s="107">
        <v>0.514414686760543</v>
      </c>
      <c r="P31" s="107">
        <v>-1.9097146090339</v>
      </c>
      <c r="Q31" s="107">
        <v>-1.24253095498533</v>
      </c>
      <c r="R31" s="107">
        <v>-1.39119099512731</v>
      </c>
      <c r="S31" s="107">
        <v>-0.401953498881131</v>
      </c>
      <c r="T31" s="107">
        <v>6.57425593774178</v>
      </c>
    </row>
    <row r="32" ht="15.6" spans="1:21">
      <c r="A32" s="96"/>
      <c r="B32" s="106" t="s">
        <v>104</v>
      </c>
      <c r="C32" s="107">
        <v>1.00639799333609</v>
      </c>
      <c r="D32" s="107">
        <v>0.884074657087084</v>
      </c>
      <c r="E32" s="107">
        <v>1.33946942773572</v>
      </c>
      <c r="F32" s="107">
        <v>1.10917399481008</v>
      </c>
      <c r="G32" s="107">
        <v>1.00375696397823</v>
      </c>
      <c r="H32" s="107">
        <v>1.06187043113948</v>
      </c>
      <c r="I32" s="107">
        <v>0.66267530287281</v>
      </c>
      <c r="J32" s="107">
        <v>0.806910537693861</v>
      </c>
      <c r="K32" s="105"/>
      <c r="L32" s="106" t="s">
        <v>104</v>
      </c>
      <c r="M32" s="107">
        <v>1.75211306397925</v>
      </c>
      <c r="N32" s="107">
        <v>1.91896009979599</v>
      </c>
      <c r="O32" s="107">
        <v>-0.0254905972789736</v>
      </c>
      <c r="P32" s="107">
        <v>-1.70184347590353</v>
      </c>
      <c r="Q32" s="107">
        <v>-1.15756041980144</v>
      </c>
      <c r="R32" s="107">
        <v>-1.19307038557797</v>
      </c>
      <c r="S32" s="107">
        <v>-0.303161360678018</v>
      </c>
      <c r="T32" s="107">
        <v>2.49912668499071</v>
      </c>
    </row>
    <row r="33" ht="15.6" spans="1:21">
      <c r="A33" s="96"/>
      <c r="B33" s="106" t="s">
        <v>106</v>
      </c>
      <c r="C33" s="107">
        <v>0.983702640301605</v>
      </c>
      <c r="D33" s="107">
        <v>1.02719082729544</v>
      </c>
      <c r="E33" s="107">
        <v>1.11950216745828</v>
      </c>
      <c r="F33" s="107">
        <v>0.891160558083661</v>
      </c>
      <c r="G33" s="107">
        <v>1.73710212938735</v>
      </c>
      <c r="H33" s="107">
        <v>0.968563253108169</v>
      </c>
      <c r="I33" s="107">
        <v>1.0566720958622</v>
      </c>
      <c r="J33" s="107">
        <v>0.742762855392462</v>
      </c>
      <c r="K33" s="105"/>
      <c r="L33" s="106" t="s">
        <v>106</v>
      </c>
      <c r="M33" s="107">
        <v>34.3967659525422</v>
      </c>
      <c r="N33" s="107">
        <v>41.0873440092562</v>
      </c>
      <c r="O33" s="107">
        <v>10.3387581531269</v>
      </c>
      <c r="P33" s="107">
        <v>-5.9735428350211</v>
      </c>
      <c r="Q33" s="107">
        <v>-3.27972168644075</v>
      </c>
      <c r="R33" s="107">
        <v>-3.16372990000991</v>
      </c>
      <c r="S33" s="107">
        <v>3.89540566675314</v>
      </c>
      <c r="T33" s="107">
        <v>41.0071037153155</v>
      </c>
    </row>
    <row r="34" ht="15.6" spans="1:21">
      <c r="A34" s="101"/>
      <c r="B34" s="106" t="s">
        <v>126</v>
      </c>
      <c r="C34" s="107">
        <v>1.25201978603311</v>
      </c>
      <c r="D34" s="107">
        <v>1.33833949173589</v>
      </c>
      <c r="E34" s="107">
        <v>0.886657961616866</v>
      </c>
      <c r="F34" s="107">
        <v>0.868599413370808</v>
      </c>
      <c r="G34" s="107">
        <v>0.432420703885044</v>
      </c>
      <c r="H34" s="107">
        <v>0.662940055376804</v>
      </c>
      <c r="I34" s="107">
        <v>0.845592735446056</v>
      </c>
      <c r="J34" s="107">
        <v>1.31494427886427</v>
      </c>
      <c r="K34" s="105"/>
      <c r="L34" s="106" t="s">
        <v>126</v>
      </c>
      <c r="M34" s="107">
        <v>1.98366480455769</v>
      </c>
      <c r="N34" s="107">
        <v>2.30372051554795</v>
      </c>
      <c r="O34" s="107">
        <v>0.287417718302782</v>
      </c>
      <c r="P34" s="107">
        <v>-1.33610118253212</v>
      </c>
      <c r="Q34" s="107">
        <v>-0.555973272635674</v>
      </c>
      <c r="R34" s="107">
        <v>-0.838489079942553</v>
      </c>
      <c r="S34" s="107">
        <v>-0.411157690422554</v>
      </c>
      <c r="T34" s="107">
        <v>2.8178473254755</v>
      </c>
    </row>
    <row r="35" ht="15.6" spans="1:21">
      <c r="A35" s="101"/>
      <c r="B35" s="102" t="s">
        <v>19</v>
      </c>
      <c r="C35" s="103">
        <v>1.53535249642766</v>
      </c>
      <c r="D35" s="103">
        <v>1.52659957442401</v>
      </c>
      <c r="E35" s="103">
        <v>1.4186744436791</v>
      </c>
      <c r="F35" s="103">
        <v>1.35558446910889</v>
      </c>
      <c r="G35" s="103">
        <v>1.5692897796622</v>
      </c>
      <c r="H35" s="103">
        <v>1.53403993359329</v>
      </c>
      <c r="I35" s="103">
        <v>1.608594310817</v>
      </c>
      <c r="J35" s="103">
        <v>1.17015744887274</v>
      </c>
      <c r="K35" s="104"/>
      <c r="L35" s="102" t="s">
        <v>19</v>
      </c>
      <c r="M35" s="103">
        <v>-1.61490735904144</v>
      </c>
      <c r="N35" s="103">
        <v>-1.52584993783257</v>
      </c>
      <c r="O35" s="103">
        <v>-2.24798861776157</v>
      </c>
      <c r="P35" s="103">
        <v>-1.80101858050052</v>
      </c>
      <c r="Q35" s="103">
        <v>-2.11312707508224</v>
      </c>
      <c r="R35" s="103">
        <v>-2.69597486608664</v>
      </c>
      <c r="S35" s="103">
        <v>-2.28546634509929</v>
      </c>
      <c r="T35" s="103">
        <v>-0.610847692353174</v>
      </c>
      <c r="U35" s="105"/>
    </row>
    <row r="36" ht="15.6" spans="1:21">
      <c r="A36" s="101"/>
      <c r="B36" s="106" t="s">
        <v>100</v>
      </c>
      <c r="C36" s="107">
        <v>1.51523446814084</v>
      </c>
      <c r="D36" s="107">
        <v>1.41505483140843</v>
      </c>
      <c r="E36" s="107">
        <v>1.79151968664095</v>
      </c>
      <c r="F36" s="107">
        <v>1.17787219572677</v>
      </c>
      <c r="G36" s="107">
        <v>1.58918455874289</v>
      </c>
      <c r="H36" s="107">
        <v>1.68602128944389</v>
      </c>
      <c r="I36" s="107">
        <v>1.73878669996008</v>
      </c>
      <c r="J36" s="107">
        <v>1.08875545642961</v>
      </c>
      <c r="K36" s="105"/>
      <c r="L36" s="106" t="s">
        <v>100</v>
      </c>
      <c r="M36" s="107">
        <v>0.210396263865335</v>
      </c>
      <c r="N36" s="107">
        <v>0.371229595600275</v>
      </c>
      <c r="O36" s="107">
        <v>-1.00934693417862</v>
      </c>
      <c r="P36" s="107">
        <v>-1.78417436569866</v>
      </c>
      <c r="Q36" s="107">
        <v>-1.69620715514487</v>
      </c>
      <c r="R36" s="107">
        <v>-1.81172712214325</v>
      </c>
      <c r="S36" s="107">
        <v>-1.48627803659686</v>
      </c>
      <c r="T36" s="107">
        <v>0.647956913413162</v>
      </c>
    </row>
    <row r="37" ht="15.6" spans="1:21">
      <c r="A37" s="101"/>
      <c r="B37" s="106" t="s">
        <v>110</v>
      </c>
      <c r="C37" s="107">
        <v>0.583762748147057</v>
      </c>
      <c r="D37" s="107">
        <v>0.588596212943962</v>
      </c>
      <c r="E37" s="107">
        <v>0.782719803988158</v>
      </c>
      <c r="F37" s="107">
        <v>1.02830596279879</v>
      </c>
      <c r="G37" s="107">
        <v>0.887690066270173</v>
      </c>
      <c r="H37" s="107">
        <v>0.917395416536229</v>
      </c>
      <c r="I37" s="107">
        <v>1.03856638485888</v>
      </c>
      <c r="J37" s="107">
        <v>0.61120585789817</v>
      </c>
      <c r="K37" s="105"/>
      <c r="L37" s="106" t="s">
        <v>110</v>
      </c>
      <c r="M37" s="107">
        <v>1.04178877803719</v>
      </c>
      <c r="N37" s="107">
        <v>1.38319217028286</v>
      </c>
      <c r="O37" s="107">
        <v>-0.276709477076978</v>
      </c>
      <c r="P37" s="107">
        <v>-1.19134830157578</v>
      </c>
      <c r="Q37" s="107">
        <v>-0.938862699672325</v>
      </c>
      <c r="R37" s="107">
        <v>-0.985708736819868</v>
      </c>
      <c r="S37" s="107">
        <v>-0.846557737974256</v>
      </c>
      <c r="T37" s="107">
        <v>2.10729103446082</v>
      </c>
    </row>
    <row r="38" ht="15.6" spans="1:21">
      <c r="A38" s="101"/>
      <c r="B38" s="102" t="s">
        <v>20</v>
      </c>
      <c r="C38" s="103">
        <v>1.69451565104643</v>
      </c>
      <c r="D38" s="103">
        <v>1.77020430489713</v>
      </c>
      <c r="E38" s="103">
        <v>1.37337009716524</v>
      </c>
      <c r="F38" s="103">
        <v>0.748369596311687</v>
      </c>
      <c r="G38" s="103">
        <v>0.750279711776798</v>
      </c>
      <c r="H38" s="103">
        <v>0.621011135829252</v>
      </c>
      <c r="I38" s="103">
        <v>0.890229983981797</v>
      </c>
      <c r="J38" s="103">
        <v>1.90052096510213</v>
      </c>
      <c r="K38" s="104"/>
      <c r="L38" s="102" t="s">
        <v>20</v>
      </c>
      <c r="M38" s="103">
        <v>-1.65442047089264</v>
      </c>
      <c r="N38" s="103">
        <v>-1.70308539144177</v>
      </c>
      <c r="O38" s="103">
        <v>-1.51735387505553</v>
      </c>
      <c r="P38" s="103">
        <v>-0.81134677435527</v>
      </c>
      <c r="Q38" s="103">
        <v>-0.844602941627483</v>
      </c>
      <c r="R38" s="103">
        <v>-0.859401228895835</v>
      </c>
      <c r="S38" s="103">
        <v>-1.06165079435908</v>
      </c>
      <c r="T38" s="103">
        <v>-1.66585226967778</v>
      </c>
      <c r="U38" s="105"/>
    </row>
    <row r="39" ht="15.6" spans="1:21">
      <c r="A39" s="101"/>
      <c r="B39" s="102" t="s">
        <v>21</v>
      </c>
      <c r="C39" s="103">
        <v>0.387932614044005</v>
      </c>
      <c r="D39" s="103">
        <v>0.385719311450105</v>
      </c>
      <c r="E39" s="103">
        <v>0.510672500738804</v>
      </c>
      <c r="F39" s="103">
        <v>0.707831702388216</v>
      </c>
      <c r="G39" s="103">
        <v>0.643414704418264</v>
      </c>
      <c r="H39" s="103">
        <v>0.487706994671802</v>
      </c>
      <c r="I39" s="103">
        <v>0.61225275832281</v>
      </c>
      <c r="J39" s="103">
        <v>0.380286382678758</v>
      </c>
      <c r="K39" s="104"/>
      <c r="L39" s="102" t="s">
        <v>21</v>
      </c>
      <c r="M39" s="103">
        <v>-0.425627870947727</v>
      </c>
      <c r="N39" s="103">
        <v>-0.396948328816857</v>
      </c>
      <c r="O39" s="103">
        <v>-0.728706219261416</v>
      </c>
      <c r="P39" s="103">
        <v>-0.76542552629583</v>
      </c>
      <c r="Q39" s="103">
        <v>-0.730490584407015</v>
      </c>
      <c r="R39" s="103">
        <v>-0.715423391934076</v>
      </c>
      <c r="S39" s="103">
        <v>-0.796715553003852</v>
      </c>
      <c r="T39" s="103">
        <v>-0.0312629160241786</v>
      </c>
      <c r="U39" s="105"/>
    </row>
    <row r="40" ht="15.6" spans="1:21">
      <c r="A40" s="96"/>
      <c r="B40" s="102" t="s">
        <v>22</v>
      </c>
      <c r="C40" s="103">
        <v>1.18681539587733</v>
      </c>
      <c r="D40" s="103">
        <v>1.31125577622658</v>
      </c>
      <c r="E40" s="103">
        <v>1.47656617705745</v>
      </c>
      <c r="F40" s="103">
        <v>1.67115367627581</v>
      </c>
      <c r="G40" s="103">
        <v>2.23005309786126</v>
      </c>
      <c r="H40" s="103">
        <v>1.26230074101326</v>
      </c>
      <c r="I40" s="103">
        <v>0.671526462977224</v>
      </c>
      <c r="J40" s="103">
        <v>0.871650618065884</v>
      </c>
      <c r="K40" s="104"/>
      <c r="L40" s="102" t="s">
        <v>22</v>
      </c>
      <c r="M40" s="103">
        <v>-1.217860770249</v>
      </c>
      <c r="N40" s="103">
        <v>-1.30608856893576</v>
      </c>
      <c r="O40" s="103">
        <v>-1.68519560236299</v>
      </c>
      <c r="P40" s="103">
        <v>-1.79947238572975</v>
      </c>
      <c r="Q40" s="103">
        <v>-2.35746635634243</v>
      </c>
      <c r="R40" s="103">
        <v>-1.6750632631989</v>
      </c>
      <c r="S40" s="103">
        <v>-0.936008804717344</v>
      </c>
      <c r="T40" s="103">
        <v>-0.615478776687426</v>
      </c>
      <c r="U40" s="105"/>
    </row>
    <row r="41" ht="15.6" spans="1:21">
      <c r="A41" s="96"/>
      <c r="B41" s="102" t="s">
        <v>23</v>
      </c>
      <c r="C41" s="103">
        <v>3.26096594428639</v>
      </c>
      <c r="D41" s="103">
        <v>3.13455578325534</v>
      </c>
      <c r="E41" s="103">
        <v>3.03767400712058</v>
      </c>
      <c r="F41" s="103">
        <v>1.5272769137773</v>
      </c>
      <c r="G41" s="103">
        <v>2.05644928805845</v>
      </c>
      <c r="H41" s="103">
        <v>1.20225766889895</v>
      </c>
      <c r="I41" s="103">
        <v>1.84331855319738</v>
      </c>
      <c r="J41" s="103">
        <v>2.56993607362524</v>
      </c>
      <c r="K41" s="104"/>
      <c r="L41" s="102" t="s">
        <v>23</v>
      </c>
      <c r="M41" s="103">
        <v>-3.27339470086574</v>
      </c>
      <c r="N41" s="103">
        <v>-3.06158798978766</v>
      </c>
      <c r="O41" s="103">
        <v>-4.07034335498018</v>
      </c>
      <c r="P41" s="103">
        <v>-3.03595678763277</v>
      </c>
      <c r="Q41" s="103">
        <v>-3.64546869307611</v>
      </c>
      <c r="R41" s="103">
        <v>-3.76375026680408</v>
      </c>
      <c r="S41" s="103">
        <v>-3.15317668473394</v>
      </c>
      <c r="T41" s="103">
        <v>-2.0594184122564</v>
      </c>
      <c r="U41" s="105"/>
    </row>
    <row r="42" ht="15.6" spans="1:21">
      <c r="A42" s="101"/>
      <c r="B42" s="102" t="s">
        <v>24</v>
      </c>
      <c r="C42" s="103">
        <v>1.37690942754018</v>
      </c>
      <c r="D42" s="103">
        <v>1.35634853864284</v>
      </c>
      <c r="E42" s="103">
        <v>1.53796248480476</v>
      </c>
      <c r="F42" s="103">
        <v>0.75365890190486</v>
      </c>
      <c r="G42" s="103">
        <v>1.25310607344076</v>
      </c>
      <c r="H42" s="103">
        <v>1.77850346866293</v>
      </c>
      <c r="I42" s="103">
        <v>1.43670015481355</v>
      </c>
      <c r="J42" s="103">
        <v>1.12234793556936</v>
      </c>
      <c r="K42" s="104"/>
      <c r="L42" s="102" t="s">
        <v>24</v>
      </c>
      <c r="M42" s="103">
        <v>-1.38291015203511</v>
      </c>
      <c r="N42" s="103">
        <v>-1.34012750630289</v>
      </c>
      <c r="O42" s="103">
        <v>-1.73438311342314</v>
      </c>
      <c r="P42" s="103">
        <v>-0.86876870651379</v>
      </c>
      <c r="Q42" s="103">
        <v>-1.40104842840922</v>
      </c>
      <c r="R42" s="103">
        <v>-2.04450334310633</v>
      </c>
      <c r="S42" s="103">
        <v>-1.59040203861404</v>
      </c>
      <c r="T42" s="103">
        <v>-0.939505568497596</v>
      </c>
      <c r="U42" s="105"/>
    </row>
    <row r="43" ht="15.6" spans="1:21">
      <c r="A43" s="101"/>
      <c r="B43" s="102" t="s">
        <v>25</v>
      </c>
      <c r="C43" s="103">
        <v>0.700442207000552</v>
      </c>
      <c r="D43" s="103">
        <v>0.702884005270112</v>
      </c>
      <c r="E43" s="103">
        <v>0.777000041341209</v>
      </c>
      <c r="F43" s="103">
        <v>1.39751740567965</v>
      </c>
      <c r="G43" s="103">
        <v>1.27420341327499</v>
      </c>
      <c r="H43" s="103">
        <v>1.24261199718145</v>
      </c>
      <c r="I43" s="103">
        <v>1.16393086660876</v>
      </c>
      <c r="J43" s="103">
        <v>0.457833863452295</v>
      </c>
      <c r="K43" s="104"/>
      <c r="L43" s="102" t="s">
        <v>25</v>
      </c>
      <c r="M43" s="103">
        <v>-0.754491728865016</v>
      </c>
      <c r="N43" s="103">
        <v>-0.712585833582901</v>
      </c>
      <c r="O43" s="103">
        <v>-1.17022728859826</v>
      </c>
      <c r="P43" s="103">
        <v>-1.53566966229931</v>
      </c>
      <c r="Q43" s="103">
        <v>-1.45948328925275</v>
      </c>
      <c r="R43" s="103">
        <v>-1.66510328125795</v>
      </c>
      <c r="S43" s="103">
        <v>-1.42901369381528</v>
      </c>
      <c r="T43" s="103">
        <v>-0.0154984313523786</v>
      </c>
      <c r="U43" s="105"/>
    </row>
    <row r="44" ht="15.6" spans="1:21">
      <c r="A44" s="101"/>
      <c r="B44" s="106" t="s">
        <v>120</v>
      </c>
      <c r="C44" s="107">
        <v>3.54129151352257</v>
      </c>
      <c r="D44" s="107">
        <v>3.36769109066068</v>
      </c>
      <c r="E44" s="107">
        <v>3.40494551281222</v>
      </c>
      <c r="F44" s="107">
        <v>2.02562985970112</v>
      </c>
      <c r="G44" s="107">
        <v>2.41162585956752</v>
      </c>
      <c r="H44" s="107">
        <v>2.03110888751901</v>
      </c>
      <c r="I44" s="107">
        <v>3.08319706467855</v>
      </c>
      <c r="J44" s="107">
        <v>2.54121551434826</v>
      </c>
      <c r="K44" s="105"/>
      <c r="L44" s="106" t="s">
        <v>120</v>
      </c>
      <c r="M44" s="107">
        <v>-2.70319497996419</v>
      </c>
      <c r="N44" s="107">
        <v>-2.53917667934029</v>
      </c>
      <c r="O44" s="107">
        <v>-2.87713420512511</v>
      </c>
      <c r="P44" s="107">
        <v>-2.24516872342743</v>
      </c>
      <c r="Q44" s="107">
        <v>-2.40296715844086</v>
      </c>
      <c r="R44" s="107">
        <v>-2.03402585888819</v>
      </c>
      <c r="S44" s="107">
        <v>-2.78225556747672</v>
      </c>
      <c r="T44" s="107">
        <v>-1.91852858081711</v>
      </c>
    </row>
    <row r="45" ht="15.6" spans="1:21">
      <c r="A45" s="96"/>
      <c r="B45" s="106" t="s">
        <v>122</v>
      </c>
      <c r="C45" s="107">
        <v>0.457164915752468</v>
      </c>
      <c r="D45" s="107">
        <v>0.422119526906042</v>
      </c>
      <c r="E45" s="107">
        <v>0.746627427663792</v>
      </c>
      <c r="F45" s="107">
        <v>1.52190825198488</v>
      </c>
      <c r="G45" s="107">
        <v>1.23054430230038</v>
      </c>
      <c r="H45" s="107">
        <v>1.20702000265133</v>
      </c>
      <c r="I45" s="107">
        <v>0.720763935525028</v>
      </c>
      <c r="J45" s="107">
        <v>0.280768523902692</v>
      </c>
      <c r="K45" s="105"/>
      <c r="L45" s="106" t="s">
        <v>122</v>
      </c>
      <c r="M45" s="107">
        <v>0.615960280702946</v>
      </c>
      <c r="N45" s="107">
        <v>0.861399830465777</v>
      </c>
      <c r="O45" s="107">
        <v>-0.405895840610454</v>
      </c>
      <c r="P45" s="107">
        <v>-1.63746231681666</v>
      </c>
      <c r="Q45" s="107">
        <v>-1.26245269551851</v>
      </c>
      <c r="R45" s="107">
        <v>-1.2477605089968</v>
      </c>
      <c r="S45" s="107">
        <v>-0.608695530775451</v>
      </c>
      <c r="T45" s="107">
        <v>1.425751418481</v>
      </c>
    </row>
    <row r="46" ht="15.6" spans="1:21">
      <c r="A46" s="101"/>
      <c r="B46" s="102" t="s">
        <v>26</v>
      </c>
      <c r="C46" s="103">
        <v>1.38318516506499</v>
      </c>
      <c r="D46" s="103">
        <v>1.21639217388429</v>
      </c>
      <c r="E46" s="103">
        <v>1.69837937401929</v>
      </c>
      <c r="F46" s="103">
        <v>1.48878231315383</v>
      </c>
      <c r="G46" s="103">
        <v>1.76369957846194</v>
      </c>
      <c r="H46" s="103">
        <v>1.6630947664526</v>
      </c>
      <c r="I46" s="103">
        <v>1.82714938217547</v>
      </c>
      <c r="J46" s="103">
        <v>1.05499812348886</v>
      </c>
      <c r="K46" s="104"/>
      <c r="L46" s="102" t="s">
        <v>26</v>
      </c>
      <c r="M46" s="103">
        <v>-1.41142286488087</v>
      </c>
      <c r="N46" s="103">
        <v>-1.21274509573817</v>
      </c>
      <c r="O46" s="103">
        <v>-2.20413819441576</v>
      </c>
      <c r="P46" s="103">
        <v>-1.69675728739874</v>
      </c>
      <c r="Q46" s="103">
        <v>-1.98052409867263</v>
      </c>
      <c r="R46" s="103">
        <v>-2.16179109088282</v>
      </c>
      <c r="S46" s="103">
        <v>-2.06830936913006</v>
      </c>
      <c r="T46" s="103">
        <v>-0.779745097157419</v>
      </c>
      <c r="U46" s="105"/>
    </row>
    <row r="47" ht="15.6" spans="1:21">
      <c r="A47" s="101"/>
      <c r="B47" s="102" t="s">
        <v>27</v>
      </c>
      <c r="C47" s="103">
        <v>1.65926271642991</v>
      </c>
      <c r="D47" s="103">
        <v>1.36785666051934</v>
      </c>
      <c r="E47" s="103">
        <v>2.54603911421165</v>
      </c>
      <c r="F47" s="103">
        <v>1.15684957721971</v>
      </c>
      <c r="G47" s="103">
        <v>1.64269315770483</v>
      </c>
      <c r="H47" s="103">
        <v>2.50357386535822</v>
      </c>
      <c r="I47" s="103">
        <v>2.20989528855005</v>
      </c>
      <c r="J47" s="103">
        <v>1.02832471023052</v>
      </c>
      <c r="K47" s="104"/>
      <c r="L47" s="102" t="s">
        <v>27</v>
      </c>
      <c r="M47" s="103">
        <v>-1.68626927050458</v>
      </c>
      <c r="N47" s="103">
        <v>-1.35931143991415</v>
      </c>
      <c r="O47" s="103">
        <v>-3.40149423731761</v>
      </c>
      <c r="P47" s="103">
        <v>-1.86653440093351</v>
      </c>
      <c r="Q47" s="103">
        <v>-1.55931892567838</v>
      </c>
      <c r="R47" s="103">
        <v>-3.18049927861839</v>
      </c>
      <c r="S47" s="103">
        <v>-2.55509772260648</v>
      </c>
      <c r="T47" s="103">
        <v>-0.748967048291603</v>
      </c>
      <c r="U47" s="105"/>
    </row>
    <row r="48" ht="15.6" spans="1:21">
      <c r="A48" s="101"/>
      <c r="B48" s="102" t="s">
        <v>28</v>
      </c>
      <c r="C48" s="103">
        <v>0.982249093065184</v>
      </c>
      <c r="D48" s="103">
        <v>0.853234255689011</v>
      </c>
      <c r="E48" s="103">
        <v>0.617065251050622</v>
      </c>
      <c r="F48" s="103">
        <v>0.77067166231921</v>
      </c>
      <c r="G48" s="103">
        <v>0.731792020701094</v>
      </c>
      <c r="H48" s="103">
        <v>1.1543103097471</v>
      </c>
      <c r="I48" s="103">
        <v>0.811201222388874</v>
      </c>
      <c r="J48" s="103">
        <v>1.19888966394336</v>
      </c>
      <c r="K48" s="104"/>
      <c r="L48" s="102" t="s">
        <v>28</v>
      </c>
      <c r="M48" s="103">
        <v>-0.993299096312787</v>
      </c>
      <c r="N48" s="103">
        <v>-0.869495750121762</v>
      </c>
      <c r="O48" s="103">
        <v>-0.779354492891874</v>
      </c>
      <c r="P48" s="103">
        <v>-0.813372935727007</v>
      </c>
      <c r="Q48" s="103">
        <v>-0.786297472662056</v>
      </c>
      <c r="R48" s="103">
        <v>-1.21371857953453</v>
      </c>
      <c r="S48" s="103">
        <v>-0.888320563792954</v>
      </c>
      <c r="T48" s="103">
        <v>-1.09395722066305</v>
      </c>
      <c r="U48" s="105"/>
    </row>
    <row r="49" ht="15.6" spans="1:22">
      <c r="A49" s="101"/>
      <c r="B49" s="106" t="s">
        <v>92</v>
      </c>
      <c r="C49" s="107">
        <v>0.928402067932694</v>
      </c>
      <c r="D49" s="107">
        <v>0.803089159667684</v>
      </c>
      <c r="E49" s="107">
        <v>0.542563063977885</v>
      </c>
      <c r="F49" s="107">
        <v>0.468101887586643</v>
      </c>
      <c r="G49" s="107">
        <v>0.412630484921674</v>
      </c>
      <c r="H49" s="107">
        <v>0.542865742291034</v>
      </c>
      <c r="I49" s="107">
        <v>0.372739304320828</v>
      </c>
      <c r="J49" s="107">
        <v>0.906073310195004</v>
      </c>
      <c r="K49" s="105"/>
      <c r="L49" s="106" t="s">
        <v>92</v>
      </c>
      <c r="M49" s="107">
        <v>-0.757481314049131</v>
      </c>
      <c r="N49" s="107">
        <v>-0.656575211414858</v>
      </c>
      <c r="O49" s="107">
        <v>-0.43165580615043</v>
      </c>
      <c r="P49" s="107">
        <v>-0.518068957848183</v>
      </c>
      <c r="Q49" s="107">
        <v>-0.443422094228371</v>
      </c>
      <c r="R49" s="107">
        <v>-0.577323338750297</v>
      </c>
      <c r="S49" s="107">
        <v>-0.370369156881782</v>
      </c>
      <c r="T49" s="107">
        <v>-0.683045131349182</v>
      </c>
    </row>
    <row r="50" ht="15.6" spans="1:22">
      <c r="A50" s="101"/>
      <c r="B50" s="106" t="s">
        <v>128</v>
      </c>
      <c r="C50" s="107">
        <v>1.65551214751041</v>
      </c>
      <c r="D50" s="107">
        <v>1.92620111403006</v>
      </c>
      <c r="E50" s="107">
        <v>0.864382734158962</v>
      </c>
      <c r="F50" s="107">
        <v>2.03066624803635</v>
      </c>
      <c r="G50" s="107">
        <v>1.42343617771364</v>
      </c>
      <c r="H50" s="107">
        <v>2.20426103205077</v>
      </c>
      <c r="I50" s="107">
        <v>1.01455300700132</v>
      </c>
      <c r="J50" s="107">
        <v>1.64781996969428</v>
      </c>
      <c r="K50" s="105"/>
      <c r="L50" s="106" t="s">
        <v>128</v>
      </c>
      <c r="M50" s="107">
        <v>13.0593854459943</v>
      </c>
      <c r="N50" s="107">
        <v>15.4589549068886</v>
      </c>
      <c r="O50" s="107">
        <v>3.97139745578587</v>
      </c>
      <c r="P50" s="107">
        <v>-3.24950124773965</v>
      </c>
      <c r="Q50" s="107">
        <v>-1.77663639172322</v>
      </c>
      <c r="R50" s="107">
        <v>-3.027964528794</v>
      </c>
      <c r="S50" s="107">
        <v>1.731636978986</v>
      </c>
      <c r="T50" s="107">
        <v>15.4939381736798</v>
      </c>
    </row>
    <row r="51" ht="15.6" spans="1:22">
      <c r="A51" s="101"/>
      <c r="B51" s="102" t="s">
        <v>29</v>
      </c>
      <c r="C51" s="103">
        <v>1.95272736128961</v>
      </c>
      <c r="D51" s="103">
        <v>1.62228839367294</v>
      </c>
      <c r="E51" s="103">
        <v>2.33845407466858</v>
      </c>
      <c r="F51" s="103">
        <v>0.921732226846428</v>
      </c>
      <c r="G51" s="103">
        <v>1.95819962370157</v>
      </c>
      <c r="H51" s="103">
        <v>2.67507207418549</v>
      </c>
      <c r="I51" s="103">
        <v>3.01976300411404</v>
      </c>
      <c r="J51" s="103">
        <v>1.16596633655726</v>
      </c>
      <c r="K51" s="104"/>
      <c r="L51" s="102" t="s">
        <v>29</v>
      </c>
      <c r="M51" s="103">
        <v>-2.097867294101</v>
      </c>
      <c r="N51" s="103">
        <v>-1.62668551936635</v>
      </c>
      <c r="O51" s="103">
        <v>-4.6650294883739</v>
      </c>
      <c r="P51" s="103">
        <v>-2.5291359170654</v>
      </c>
      <c r="Q51" s="103">
        <v>-3.84848963867878</v>
      </c>
      <c r="R51" s="103">
        <v>-4.52881450695113</v>
      </c>
      <c r="S51" s="103">
        <v>-4.64470560846222</v>
      </c>
      <c r="T51" s="103">
        <v>-0.370580399615352</v>
      </c>
      <c r="U51" s="105"/>
    </row>
    <row r="52" ht="15.6" spans="1:22">
      <c r="A52" s="96"/>
      <c r="B52" s="102" t="s">
        <v>30</v>
      </c>
      <c r="C52" s="103">
        <v>1.46833677993131</v>
      </c>
      <c r="D52" s="103">
        <v>1.38066765672123</v>
      </c>
      <c r="E52" s="103">
        <v>1.22565974599912</v>
      </c>
      <c r="F52" s="103">
        <v>1.16332970278173</v>
      </c>
      <c r="G52" s="103">
        <v>1.15175009240405</v>
      </c>
      <c r="H52" s="103">
        <v>1.95377277696872</v>
      </c>
      <c r="I52" s="103">
        <v>1.19224886423466</v>
      </c>
      <c r="J52" s="103">
        <v>1.21664092939238</v>
      </c>
      <c r="K52" s="104"/>
      <c r="L52" s="102" t="s">
        <v>30</v>
      </c>
      <c r="M52" s="103">
        <v>-1.45050038249726</v>
      </c>
      <c r="N52" s="103">
        <v>-0.98429545856733</v>
      </c>
      <c r="O52" s="103">
        <v>-1.43629922996067</v>
      </c>
      <c r="P52" s="103">
        <v>-1.25232194195344</v>
      </c>
      <c r="Q52" s="103">
        <v>-1.25560356254367</v>
      </c>
      <c r="R52" s="103">
        <v>-2.10085543424324</v>
      </c>
      <c r="S52" s="103">
        <v>-1.31320507174203</v>
      </c>
      <c r="T52" s="103">
        <v>-1.0766413915987</v>
      </c>
      <c r="U52" s="105"/>
    </row>
    <row r="53" ht="15.6" spans="1:22">
      <c r="A53" s="96"/>
      <c r="B53" s="106" t="s">
        <v>116</v>
      </c>
      <c r="C53" s="107">
        <v>1.01306638834786</v>
      </c>
      <c r="D53" s="107">
        <v>0.944666874864849</v>
      </c>
      <c r="E53" s="107">
        <v>1.19123226827512</v>
      </c>
      <c r="F53" s="107">
        <v>1.55868281881629</v>
      </c>
      <c r="G53" s="107">
        <v>1.33546273917066</v>
      </c>
      <c r="H53" s="107">
        <v>1.3439513786123</v>
      </c>
      <c r="I53" s="107">
        <v>1.32216236387132</v>
      </c>
      <c r="J53" s="107">
        <v>0.788996357091712</v>
      </c>
      <c r="K53" s="105"/>
      <c r="L53" s="106" t="s">
        <v>116</v>
      </c>
      <c r="M53" s="107">
        <v>-0.589746998731406</v>
      </c>
      <c r="N53" s="107">
        <v>-0.498201095342531</v>
      </c>
      <c r="O53" s="107">
        <v>-1.00532589441529</v>
      </c>
      <c r="P53" s="107">
        <v>-1.62036149903744</v>
      </c>
      <c r="Q53" s="107">
        <v>-1.33808954192932</v>
      </c>
      <c r="R53" s="107">
        <v>-1.34617981835977</v>
      </c>
      <c r="S53" s="107">
        <v>-1.2497854742522</v>
      </c>
      <c r="T53" s="107">
        <v>-0.277656458919964</v>
      </c>
    </row>
    <row r="54" ht="15.6" spans="1:22">
      <c r="A54" s="101"/>
      <c r="B54" s="106" t="s">
        <v>134</v>
      </c>
      <c r="C54" s="107">
        <v>0.800036321856502</v>
      </c>
      <c r="D54" s="107">
        <v>0.839172732756868</v>
      </c>
      <c r="E54" s="107">
        <v>0.740224086508912</v>
      </c>
      <c r="F54" s="107">
        <v>0.550496883966006</v>
      </c>
      <c r="G54" s="107">
        <v>-0.0169049251743554</v>
      </c>
      <c r="H54" s="107">
        <v>1.5942817254125</v>
      </c>
      <c r="I54" s="107">
        <v>0.735250551205615</v>
      </c>
      <c r="J54" s="107">
        <v>0.887003068766454</v>
      </c>
      <c r="K54" s="105"/>
      <c r="L54" s="106" t="s">
        <v>134</v>
      </c>
      <c r="M54" s="107">
        <v>73.6792922388998</v>
      </c>
      <c r="N54" s="107">
        <v>85.5632273159134</v>
      </c>
      <c r="O54" s="107">
        <v>24.6137877532201</v>
      </c>
      <c r="P54" s="107">
        <v>-7.26384317373491</v>
      </c>
      <c r="Q54" s="107">
        <v>-2.07854029338785</v>
      </c>
      <c r="R54" s="107">
        <v>-4.23910212851518</v>
      </c>
      <c r="S54" s="107">
        <v>16.685547805214</v>
      </c>
      <c r="T54" s="107">
        <v>107.237126599578</v>
      </c>
    </row>
    <row r="55" ht="15.6" spans="1:22">
      <c r="A55" s="101"/>
      <c r="B55" s="106" t="s">
        <v>136</v>
      </c>
      <c r="C55" s="107">
        <v>1.73318791192084</v>
      </c>
      <c r="D55" s="107">
        <v>1.52901130029993</v>
      </c>
      <c r="E55" s="107">
        <v>0.928706461299885</v>
      </c>
      <c r="F55" s="107">
        <v>0.928897749709773</v>
      </c>
      <c r="G55" s="107">
        <v>1.0638850006224</v>
      </c>
      <c r="H55" s="107">
        <v>1.17427784335056</v>
      </c>
      <c r="I55" s="107">
        <v>1.31846585924667</v>
      </c>
      <c r="J55" s="107">
        <v>1.58134362898298</v>
      </c>
      <c r="K55" s="105"/>
      <c r="L55" s="106" t="s">
        <v>136</v>
      </c>
      <c r="M55" s="107">
        <v>-0.980770076434574</v>
      </c>
      <c r="N55" s="107">
        <v>-0.858038314417434</v>
      </c>
      <c r="O55" s="107">
        <v>-0.328483009469354</v>
      </c>
      <c r="P55" s="107">
        <v>-1.04841274566421</v>
      </c>
      <c r="Q55" s="107">
        <v>-1.09916973997012</v>
      </c>
      <c r="R55" s="107">
        <v>-1.21360014513817</v>
      </c>
      <c r="S55" s="107">
        <v>-1.1856692024513</v>
      </c>
      <c r="T55" s="107">
        <v>-0.774568837318534</v>
      </c>
    </row>
    <row r="56" ht="15.6" spans="1:22">
      <c r="A56" s="101"/>
      <c r="B56" s="102" t="s">
        <v>31</v>
      </c>
      <c r="C56" s="103">
        <v>1.50073819233444</v>
      </c>
      <c r="D56" s="103">
        <v>1.41129762565068</v>
      </c>
      <c r="E56" s="103">
        <v>1.46665989921864</v>
      </c>
      <c r="F56" s="103">
        <v>1.32020032593397</v>
      </c>
      <c r="G56" s="103">
        <v>1.0095392400663</v>
      </c>
      <c r="H56" s="103">
        <v>2.06595689232033</v>
      </c>
      <c r="I56" s="103">
        <v>1.32389731884916</v>
      </c>
      <c r="J56" s="103">
        <v>1.35295725949737</v>
      </c>
      <c r="K56" s="104"/>
      <c r="L56" s="102" t="s">
        <v>31</v>
      </c>
      <c r="M56" s="103">
        <v>-1.49794567358798</v>
      </c>
      <c r="N56" s="103">
        <v>-1.38932991421235</v>
      </c>
      <c r="O56" s="103">
        <v>-1.7355895142691</v>
      </c>
      <c r="P56" s="103">
        <v>-1.43088254110276</v>
      </c>
      <c r="Q56" s="103">
        <v>-1.14494054362403</v>
      </c>
      <c r="R56" s="103">
        <v>-1.23678709444123</v>
      </c>
      <c r="S56" s="103">
        <v>-1.50151672693546</v>
      </c>
      <c r="T56" s="103">
        <v>-1.15467017266849</v>
      </c>
      <c r="U56" s="105"/>
    </row>
    <row r="57" ht="15.6" spans="1:22">
      <c r="A57" s="101"/>
      <c r="B57" s="106" t="s">
        <v>130</v>
      </c>
      <c r="C57" s="107">
        <v>2.40832069305506</v>
      </c>
      <c r="D57" s="107">
        <v>1.99922841073925</v>
      </c>
      <c r="E57" s="107">
        <v>2.36914710173683</v>
      </c>
      <c r="F57" s="107">
        <v>1.65941455006647</v>
      </c>
      <c r="G57" s="107">
        <v>0.989816164012056</v>
      </c>
      <c r="H57" s="107">
        <v>2.0476095492734</v>
      </c>
      <c r="I57" s="107">
        <v>1.28887732611877</v>
      </c>
      <c r="J57" s="107">
        <v>1.63173379305019</v>
      </c>
      <c r="K57" s="105"/>
      <c r="L57" s="106" t="s">
        <v>130</v>
      </c>
      <c r="M57" s="107">
        <v>2.82794526545219</v>
      </c>
      <c r="N57" s="107">
        <v>2.40876879629265</v>
      </c>
      <c r="O57" s="107">
        <v>6.33747876200505</v>
      </c>
      <c r="P57" s="107">
        <v>-6.62953941778774</v>
      </c>
      <c r="Q57" s="107">
        <v>-1.82552946049349</v>
      </c>
      <c r="R57" s="107">
        <v>-2.58137196585593</v>
      </c>
      <c r="S57" s="107">
        <v>-0.0992431555550428</v>
      </c>
      <c r="T57" s="107">
        <v>2.64191619821766</v>
      </c>
    </row>
    <row r="58" ht="15.6" spans="1:22">
      <c r="A58" s="101"/>
      <c r="B58" s="106" t="s">
        <v>132</v>
      </c>
      <c r="C58" s="107">
        <v>2.2584477134349</v>
      </c>
      <c r="D58" s="107">
        <v>2.13375075410475</v>
      </c>
      <c r="E58" s="107">
        <v>1.15171644735376</v>
      </c>
      <c r="F58" s="107">
        <v>1.86410995711229</v>
      </c>
      <c r="G58" s="107">
        <v>1.75629526254009</v>
      </c>
      <c r="H58" s="107">
        <v>2.39366470050598</v>
      </c>
      <c r="I58" s="107">
        <v>1.412388904922</v>
      </c>
      <c r="J58" s="107">
        <v>1.69617974197029</v>
      </c>
      <c r="K58" s="105"/>
      <c r="L58" s="106" t="s">
        <v>132</v>
      </c>
      <c r="M58" s="107">
        <v>1.67089736628838</v>
      </c>
      <c r="N58" s="107">
        <v>1.59165331618697</v>
      </c>
      <c r="O58" s="107">
        <v>1.27393695707437</v>
      </c>
      <c r="P58" s="107">
        <v>-4.03062177056337</v>
      </c>
      <c r="Q58" s="107">
        <v>-2.03769216553124</v>
      </c>
      <c r="R58" s="107">
        <v>-2.71038251046317</v>
      </c>
      <c r="S58" s="107">
        <v>-0.629363131674396</v>
      </c>
      <c r="T58" s="107">
        <v>1.82945099692439</v>
      </c>
    </row>
    <row r="59" ht="16.35" spans="1:22">
      <c r="A59" s="101"/>
      <c r="B59" s="108"/>
      <c r="C59" s="108"/>
      <c r="D59" s="109"/>
      <c r="E59" s="109"/>
      <c r="F59" s="109"/>
      <c r="G59" s="109"/>
      <c r="H59" s="109"/>
      <c r="I59" s="109"/>
      <c r="J59" s="109"/>
      <c r="K59" s="110"/>
      <c r="L59" s="108"/>
      <c r="M59" s="108"/>
      <c r="N59" s="109"/>
      <c r="O59" s="109"/>
      <c r="P59" s="109"/>
      <c r="Q59" s="109"/>
      <c r="R59" s="109"/>
      <c r="S59" s="109"/>
      <c r="T59" s="109"/>
      <c r="U59" s="110"/>
      <c r="V59" s="94"/>
    </row>
    <row r="60" ht="15.15" spans="1:22">
      <c r="A60" s="101"/>
    </row>
    <row r="61" ht="29.55" spans="1:22">
      <c r="A61" s="101"/>
      <c r="B61" s="97" t="s">
        <v>331</v>
      </c>
      <c r="C61" s="98" t="s">
        <v>271</v>
      </c>
      <c r="D61" s="98" t="s">
        <v>461</v>
      </c>
      <c r="E61" s="98" t="s">
        <v>462</v>
      </c>
      <c r="F61" s="98" t="s">
        <v>3</v>
      </c>
      <c r="G61" s="98" t="s">
        <v>4</v>
      </c>
      <c r="H61" s="98" t="s">
        <v>5</v>
      </c>
      <c r="I61" s="98" t="s">
        <v>6</v>
      </c>
      <c r="J61" s="98" t="s">
        <v>7</v>
      </c>
      <c r="L61" s="97" t="s">
        <v>332</v>
      </c>
      <c r="M61" s="98" t="s">
        <v>271</v>
      </c>
      <c r="N61" s="98" t="s">
        <v>461</v>
      </c>
      <c r="O61" s="98" t="s">
        <v>462</v>
      </c>
      <c r="P61" s="98" t="s">
        <v>3</v>
      </c>
      <c r="Q61" s="98" t="s">
        <v>4</v>
      </c>
      <c r="R61" s="98" t="s">
        <v>5</v>
      </c>
      <c r="S61" s="98" t="s">
        <v>6</v>
      </c>
      <c r="T61" s="98" t="s">
        <v>7</v>
      </c>
    </row>
    <row r="62" spans="1:22">
      <c r="A62" s="101"/>
      <c r="B62" s="99"/>
      <c r="C62" s="99"/>
      <c r="D62" s="99"/>
      <c r="E62" s="99"/>
      <c r="F62" s="99"/>
      <c r="G62" s="99"/>
      <c r="H62" s="99"/>
      <c r="I62" s="99"/>
      <c r="J62" s="99"/>
      <c r="K62" s="100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94"/>
    </row>
    <row r="63" ht="15.6" spans="1:22">
      <c r="A63" s="101"/>
      <c r="B63" s="102" t="s">
        <v>12</v>
      </c>
      <c r="C63" s="103">
        <v>0.40012939265987</v>
      </c>
      <c r="D63" s="103">
        <v>0.439415707472235</v>
      </c>
      <c r="E63" s="103">
        <v>0.687267634037585</v>
      </c>
      <c r="F63" s="103">
        <v>1.00812831650257</v>
      </c>
      <c r="G63" s="103">
        <v>0.921025585193057</v>
      </c>
      <c r="H63" s="103">
        <v>0.936018629597534</v>
      </c>
      <c r="I63" s="103">
        <v>0.784742597227138</v>
      </c>
      <c r="J63" s="103">
        <v>0.449121208423391</v>
      </c>
      <c r="K63" s="104"/>
      <c r="L63" s="102" t="s">
        <v>12</v>
      </c>
      <c r="M63" s="103">
        <v>-0.439173640050531</v>
      </c>
      <c r="N63" s="103">
        <v>-0.469251465193615</v>
      </c>
      <c r="O63" s="103">
        <v>-0.767648860083966</v>
      </c>
      <c r="P63" s="103">
        <v>-1.01599871161061</v>
      </c>
      <c r="Q63" s="103">
        <v>-0.957137303130522</v>
      </c>
      <c r="R63" s="103">
        <v>-0.969998940591794</v>
      </c>
      <c r="S63" s="103">
        <v>-0.837748633892292</v>
      </c>
      <c r="T63" s="103">
        <v>-0.439866014341069</v>
      </c>
      <c r="U63" s="105"/>
    </row>
    <row r="64" ht="15.6" spans="1:22">
      <c r="A64" s="101"/>
      <c r="B64" s="106" t="s">
        <v>52</v>
      </c>
      <c r="C64" s="107">
        <v>0.30119516587095</v>
      </c>
      <c r="D64" s="107">
        <v>0.302980350174298</v>
      </c>
      <c r="E64" s="107">
        <v>0.622814225195412</v>
      </c>
      <c r="F64" s="107">
        <v>1.00578866829608</v>
      </c>
      <c r="G64" s="107">
        <v>0.967162114883091</v>
      </c>
      <c r="H64" s="107">
        <v>0.866171029365925</v>
      </c>
      <c r="I64" s="107">
        <v>0.798062156616417</v>
      </c>
      <c r="J64" s="107">
        <v>0.349052915646276</v>
      </c>
      <c r="K64" s="105"/>
      <c r="L64" s="106" t="s">
        <v>52</v>
      </c>
      <c r="M64" s="107">
        <v>-0.118880795599865</v>
      </c>
      <c r="N64" s="107">
        <v>-0.101492383490318</v>
      </c>
      <c r="O64" s="107">
        <v>-0.547999006913766</v>
      </c>
      <c r="P64" s="107">
        <v>-1.03629013299985</v>
      </c>
      <c r="Q64" s="107">
        <v>-0.97550506639937</v>
      </c>
      <c r="R64" s="107">
        <v>-0.897217544671972</v>
      </c>
      <c r="S64" s="107">
        <v>-0.776834107308173</v>
      </c>
      <c r="T64" s="107">
        <v>-0.0498519213382868</v>
      </c>
    </row>
    <row r="65" ht="15.6" spans="1:21">
      <c r="A65" s="101"/>
      <c r="B65" s="106" t="s">
        <v>56</v>
      </c>
      <c r="C65" s="107">
        <v>0.858981160525937</v>
      </c>
      <c r="D65" s="107">
        <v>0.873499274757265</v>
      </c>
      <c r="E65" s="107">
        <v>1.15732698099114</v>
      </c>
      <c r="F65" s="107">
        <v>1.53781270603804</v>
      </c>
      <c r="G65" s="107">
        <v>1.43783607316172</v>
      </c>
      <c r="H65" s="107">
        <v>1.25556927983082</v>
      </c>
      <c r="I65" s="107">
        <v>1.17068521420606</v>
      </c>
      <c r="J65" s="107">
        <v>0.740568850956255</v>
      </c>
      <c r="K65" s="105"/>
      <c r="L65" s="106" t="s">
        <v>56</v>
      </c>
      <c r="M65" s="107">
        <v>-0.660025875607287</v>
      </c>
      <c r="N65" s="107">
        <v>-0.676558056586233</v>
      </c>
      <c r="O65" s="107">
        <v>-1.03985251591608</v>
      </c>
      <c r="P65" s="107">
        <v>-1.58405188367146</v>
      </c>
      <c r="Q65" s="107">
        <v>-1.43196363015059</v>
      </c>
      <c r="R65" s="107">
        <v>-1.28389465120801</v>
      </c>
      <c r="S65" s="107">
        <v>-1.13611920366159</v>
      </c>
      <c r="T65" s="107">
        <v>-0.529170024314153</v>
      </c>
    </row>
    <row r="66" ht="15.6" spans="1:21">
      <c r="A66" s="101"/>
      <c r="B66" s="102" t="s">
        <v>13</v>
      </c>
      <c r="C66" s="103">
        <v>0.937164844187972</v>
      </c>
      <c r="D66" s="103">
        <v>0.912980271369784</v>
      </c>
      <c r="E66" s="103">
        <v>0.875644725797499</v>
      </c>
      <c r="F66" s="103">
        <v>1.0302135137454</v>
      </c>
      <c r="G66" s="103">
        <v>0.847541114693497</v>
      </c>
      <c r="H66" s="103">
        <v>0.93151282214922</v>
      </c>
      <c r="I66" s="103">
        <v>1.06457461817926</v>
      </c>
      <c r="J66" s="103">
        <v>0.895812214243601</v>
      </c>
      <c r="K66" s="104"/>
      <c r="L66" s="102" t="s">
        <v>13</v>
      </c>
      <c r="M66" s="103">
        <v>-1.0131318392006</v>
      </c>
      <c r="N66" s="103">
        <v>-0.94078404598112</v>
      </c>
      <c r="O66" s="103">
        <v>-1.53816812324162</v>
      </c>
      <c r="P66" s="103">
        <v>-1.20701650199668</v>
      </c>
      <c r="Q66" s="103">
        <v>-1.17600033750663</v>
      </c>
      <c r="R66" s="103">
        <v>-1.24194672135127</v>
      </c>
      <c r="S66" s="103">
        <v>-1.3734576956832</v>
      </c>
      <c r="T66" s="103">
        <v>-0.709066838809937</v>
      </c>
      <c r="U66" s="105"/>
    </row>
    <row r="67" ht="15.6" spans="1:21">
      <c r="A67" s="101"/>
      <c r="B67" s="102" t="s">
        <v>14</v>
      </c>
      <c r="C67" s="103">
        <v>0.104930736370016</v>
      </c>
      <c r="D67" s="103">
        <v>0.14988081065849</v>
      </c>
      <c r="E67" s="103">
        <v>0.499773638540686</v>
      </c>
      <c r="F67" s="103">
        <v>0.704870446454583</v>
      </c>
      <c r="G67" s="103">
        <v>0.806955214445041</v>
      </c>
      <c r="H67" s="103">
        <v>0.603561202172971</v>
      </c>
      <c r="I67" s="103">
        <v>0.557297990452982</v>
      </c>
      <c r="J67" s="103">
        <v>0.199431478457934</v>
      </c>
      <c r="K67" s="104"/>
      <c r="L67" s="102" t="s">
        <v>14</v>
      </c>
      <c r="M67" s="103">
        <v>-1.88533688164402</v>
      </c>
      <c r="N67" s="103">
        <v>-1.1464154694643</v>
      </c>
      <c r="O67" s="103">
        <v>-7.73514743463086</v>
      </c>
      <c r="P67" s="103">
        <v>-2.57575082418454</v>
      </c>
      <c r="Q67" s="103">
        <v>-6.05669104454438</v>
      </c>
      <c r="R67" s="103">
        <v>-6.78559228436303</v>
      </c>
      <c r="S67" s="103">
        <v>-8.50956173442424</v>
      </c>
      <c r="T67" s="103">
        <v>9.67705878630275</v>
      </c>
    </row>
    <row r="68" ht="15.6" spans="1:21">
      <c r="A68" s="101"/>
      <c r="B68" s="102" t="s">
        <v>15</v>
      </c>
      <c r="C68" s="103">
        <v>0.490511477877507</v>
      </c>
      <c r="D68" s="103">
        <v>0.499346541315005</v>
      </c>
      <c r="E68" s="103">
        <v>0.676091620594271</v>
      </c>
      <c r="F68" s="103">
        <v>0.94815138044614</v>
      </c>
      <c r="G68" s="103">
        <v>0.871027846817476</v>
      </c>
      <c r="H68" s="103">
        <v>0.848372699458314</v>
      </c>
      <c r="I68" s="103">
        <v>0.757808657552641</v>
      </c>
      <c r="J68" s="103">
        <v>0.508136380008612</v>
      </c>
      <c r="K68" s="104"/>
      <c r="L68" s="102" t="s">
        <v>15</v>
      </c>
      <c r="M68" s="103">
        <v>-0.551489516317134</v>
      </c>
      <c r="N68" s="103">
        <v>-0.552600770473784</v>
      </c>
      <c r="O68" s="103">
        <v>-0.763270628313596</v>
      </c>
      <c r="P68" s="103">
        <v>-0.968556134713936</v>
      </c>
      <c r="Q68" s="103">
        <v>-0.915563346432556</v>
      </c>
      <c r="R68" s="103">
        <v>-0.89547842803786</v>
      </c>
      <c r="S68" s="103">
        <v>-0.816889940381446</v>
      </c>
      <c r="T68" s="103">
        <v>-0.534792188191839</v>
      </c>
      <c r="U68" s="105"/>
    </row>
    <row r="69" ht="15.6" spans="1:21">
      <c r="A69" s="101"/>
      <c r="B69" s="106" t="s">
        <v>42</v>
      </c>
      <c r="C69" s="107">
        <v>0.359741018336583</v>
      </c>
      <c r="D69" s="107">
        <v>0.365307134954151</v>
      </c>
      <c r="E69" s="107">
        <v>0.488479868309721</v>
      </c>
      <c r="F69" s="107">
        <v>0.7982110980762</v>
      </c>
      <c r="G69" s="107">
        <v>0.741476766014754</v>
      </c>
      <c r="H69" s="107">
        <v>0.740504712396777</v>
      </c>
      <c r="I69" s="107">
        <v>0.63879992310257</v>
      </c>
      <c r="J69" s="107">
        <v>0.434487455769263</v>
      </c>
      <c r="K69" s="105"/>
      <c r="L69" s="106" t="s">
        <v>42</v>
      </c>
      <c r="M69" s="107">
        <v>-0.279141024603307</v>
      </c>
      <c r="N69" s="107">
        <v>-0.282466956004402</v>
      </c>
      <c r="O69" s="107">
        <v>-0.457854251199828</v>
      </c>
      <c r="P69" s="107">
        <v>-0.829392473956521</v>
      </c>
      <c r="Q69" s="107">
        <v>-0.761219820753202</v>
      </c>
      <c r="R69" s="107">
        <v>-0.768355398164288</v>
      </c>
      <c r="S69" s="107">
        <v>-0.640892352806296</v>
      </c>
      <c r="T69" s="107">
        <v>-0.303309511881771</v>
      </c>
    </row>
    <row r="70" ht="15.6" spans="1:21">
      <c r="A70" s="101"/>
      <c r="B70" s="106" t="s">
        <v>44</v>
      </c>
      <c r="C70" s="107">
        <v>0.616984481859549</v>
      </c>
      <c r="D70" s="107">
        <v>0.559471946409486</v>
      </c>
      <c r="E70" s="107">
        <v>0.706870583159517</v>
      </c>
      <c r="F70" s="107">
        <v>1.01307597435624</v>
      </c>
      <c r="G70" s="107">
        <v>0.835541431505988</v>
      </c>
      <c r="H70" s="107">
        <v>0.812772685424538</v>
      </c>
      <c r="I70" s="107">
        <v>0.782061283479901</v>
      </c>
      <c r="J70" s="107">
        <v>0.524755431542863</v>
      </c>
      <c r="K70" s="105"/>
      <c r="L70" s="106" t="s">
        <v>44</v>
      </c>
      <c r="M70" s="107">
        <v>-0.446430209404236</v>
      </c>
      <c r="N70" s="107">
        <v>-0.408895064088387</v>
      </c>
      <c r="O70" s="107">
        <v>-0.582747187756406</v>
      </c>
      <c r="P70" s="107">
        <v>-1.0642447545519</v>
      </c>
      <c r="Q70" s="107">
        <v>-0.84959700394749</v>
      </c>
      <c r="R70" s="107">
        <v>-0.847371774659632</v>
      </c>
      <c r="S70" s="107">
        <v>-0.762684226715835</v>
      </c>
      <c r="T70" s="107">
        <v>-0.325252710218884</v>
      </c>
    </row>
    <row r="71" ht="15.6" spans="1:21">
      <c r="A71" s="101"/>
      <c r="B71" s="106" t="s">
        <v>46</v>
      </c>
      <c r="C71" s="107">
        <v>0.271231228646475</v>
      </c>
      <c r="D71" s="107">
        <v>0.299468308304671</v>
      </c>
      <c r="E71" s="107">
        <v>0.470007536309416</v>
      </c>
      <c r="F71" s="107">
        <v>0.913986834350095</v>
      </c>
      <c r="G71" s="107">
        <v>0.782138511037682</v>
      </c>
      <c r="H71" s="107">
        <v>0.72513372248751</v>
      </c>
      <c r="I71" s="107">
        <v>0.593170301213774</v>
      </c>
      <c r="J71" s="107">
        <v>0.251652258140037</v>
      </c>
      <c r="K71" s="105"/>
      <c r="L71" s="106" t="s">
        <v>46</v>
      </c>
      <c r="M71" s="107">
        <v>-0.134081855965746</v>
      </c>
      <c r="N71" s="107">
        <v>-0.147457526728034</v>
      </c>
      <c r="O71" s="107">
        <v>-0.418850981832483</v>
      </c>
      <c r="P71" s="107">
        <v>-0.943173874482271</v>
      </c>
      <c r="Q71" s="107">
        <v>-0.797309322922654</v>
      </c>
      <c r="R71" s="107">
        <v>-0.755744434490836</v>
      </c>
      <c r="S71" s="107">
        <v>-0.583339421623501</v>
      </c>
      <c r="T71" s="107">
        <v>-0.0347652469506732</v>
      </c>
    </row>
    <row r="72" ht="15.6" spans="1:21">
      <c r="A72" s="101"/>
      <c r="B72" s="106" t="s">
        <v>48</v>
      </c>
      <c r="C72" s="107">
        <v>0.55327873654161</v>
      </c>
      <c r="D72" s="107">
        <v>0.55824663972322</v>
      </c>
      <c r="E72" s="107">
        <v>0.797464009573901</v>
      </c>
      <c r="F72" s="107">
        <v>1.1930253327233</v>
      </c>
      <c r="G72" s="107">
        <v>1.04091109833905</v>
      </c>
      <c r="H72" s="107">
        <v>1.01439473467806</v>
      </c>
      <c r="I72" s="107">
        <v>0.951630260246377</v>
      </c>
      <c r="J72" s="107">
        <v>0.529986550973346</v>
      </c>
      <c r="K72" s="105"/>
      <c r="L72" s="106" t="s">
        <v>48</v>
      </c>
      <c r="M72" s="107">
        <v>-0.513497926571635</v>
      </c>
      <c r="N72" s="107">
        <v>-0.515750538663056</v>
      </c>
      <c r="O72" s="107">
        <v>-0.78383906600531</v>
      </c>
      <c r="P72" s="107">
        <v>-1.18006968548186</v>
      </c>
      <c r="Q72" s="107">
        <v>-1.03903922520455</v>
      </c>
      <c r="R72" s="107">
        <v>-1.02213066112643</v>
      </c>
      <c r="S72" s="107">
        <v>-0.947750316278885</v>
      </c>
      <c r="T72" s="107">
        <v>-0.468216768456731</v>
      </c>
    </row>
    <row r="73" ht="15.6" spans="1:21">
      <c r="A73" s="101"/>
      <c r="B73" s="106" t="s">
        <v>54</v>
      </c>
      <c r="C73" s="107">
        <v>0.35025371533211</v>
      </c>
      <c r="D73" s="107">
        <v>0.337377727532422</v>
      </c>
      <c r="E73" s="107">
        <v>0.674108476451796</v>
      </c>
      <c r="F73" s="107">
        <v>1.05091619688639</v>
      </c>
      <c r="G73" s="107">
        <v>0.813488233477669</v>
      </c>
      <c r="H73" s="107">
        <v>0.8110743237741</v>
      </c>
      <c r="I73" s="107">
        <v>0.710624041610938</v>
      </c>
      <c r="J73" s="107">
        <v>0.402790099823232</v>
      </c>
      <c r="K73" s="105"/>
      <c r="L73" s="106" t="s">
        <v>54</v>
      </c>
      <c r="M73" s="107">
        <v>0.0413771036937975</v>
      </c>
      <c r="N73" s="107">
        <v>0.0753188823843043</v>
      </c>
      <c r="O73" s="107">
        <v>-0.485438020657047</v>
      </c>
      <c r="P73" s="107">
        <v>-1.11795063515906</v>
      </c>
      <c r="Q73" s="107">
        <v>-0.832729525455795</v>
      </c>
      <c r="R73" s="107">
        <v>-0.871443113778124</v>
      </c>
      <c r="S73" s="107">
        <v>-0.658425854857064</v>
      </c>
      <c r="T73" s="107">
        <v>0.19204568234985</v>
      </c>
    </row>
    <row r="74" ht="15.6" spans="1:21">
      <c r="A74" s="101"/>
      <c r="B74" s="106" t="s">
        <v>58</v>
      </c>
      <c r="C74" s="107">
        <v>0.406689977995604</v>
      </c>
      <c r="D74" s="107">
        <v>0.502852432776352</v>
      </c>
      <c r="E74" s="107">
        <v>0.554108884992904</v>
      </c>
      <c r="F74" s="107">
        <v>0.744489523452993</v>
      </c>
      <c r="G74" s="107">
        <v>0.736200290709387</v>
      </c>
      <c r="H74" s="107">
        <v>0.654271430436742</v>
      </c>
      <c r="I74" s="107">
        <v>0.828061189780242</v>
      </c>
      <c r="J74" s="107">
        <v>0.476398141732735</v>
      </c>
      <c r="K74" s="105"/>
      <c r="L74" s="106" t="s">
        <v>58</v>
      </c>
      <c r="M74" s="107">
        <v>0.0485117626117646</v>
      </c>
      <c r="N74" s="107">
        <v>0.0157870707882364</v>
      </c>
      <c r="O74" s="107">
        <v>-0.361226157324976</v>
      </c>
      <c r="P74" s="107">
        <v>-0.820468534992223</v>
      </c>
      <c r="Q74" s="107">
        <v>-0.758624098167535</v>
      </c>
      <c r="R74" s="107">
        <v>-0.730384895674189</v>
      </c>
      <c r="S74" s="107">
        <v>-0.759569487261696</v>
      </c>
      <c r="T74" s="107">
        <v>0.166970960855884</v>
      </c>
    </row>
    <row r="75" ht="15.6" spans="1:21">
      <c r="A75" s="101"/>
      <c r="B75" s="106" t="s">
        <v>60</v>
      </c>
      <c r="C75" s="107">
        <v>1.78797490931152</v>
      </c>
      <c r="D75" s="107">
        <v>1.70825964067766</v>
      </c>
      <c r="E75" s="107">
        <v>1.68332692867332</v>
      </c>
      <c r="F75" s="107">
        <v>0.842194659165232</v>
      </c>
      <c r="G75" s="107">
        <v>1.32962739354367</v>
      </c>
      <c r="H75" s="107">
        <v>0.958942572962625</v>
      </c>
      <c r="I75" s="107">
        <v>1.47791998667313</v>
      </c>
      <c r="J75" s="107">
        <v>1.59872022473558</v>
      </c>
      <c r="K75" s="105"/>
      <c r="L75" s="106" t="s">
        <v>60</v>
      </c>
      <c r="M75" s="107">
        <v>16.3844726538348</v>
      </c>
      <c r="N75" s="107">
        <v>13.4541671637748</v>
      </c>
      <c r="O75" s="107">
        <v>15.1227089831672</v>
      </c>
      <c r="P75" s="107">
        <v>-16.6987201494292</v>
      </c>
      <c r="Q75" s="107">
        <v>-2.74268610783172</v>
      </c>
      <c r="R75" s="107">
        <v>-5.83825470656192</v>
      </c>
      <c r="S75" s="107">
        <v>1.4076202586105</v>
      </c>
      <c r="T75" s="107">
        <v>13.4142278637035</v>
      </c>
    </row>
    <row r="76" ht="15.6" spans="1:21">
      <c r="A76" s="101"/>
      <c r="B76" s="106" t="s">
        <v>62</v>
      </c>
      <c r="C76" s="107">
        <v>0.272027780999809</v>
      </c>
      <c r="D76" s="107">
        <v>0.314429477307864</v>
      </c>
      <c r="E76" s="107">
        <v>0.524415865148755</v>
      </c>
      <c r="F76" s="107">
        <v>0.951014046989374</v>
      </c>
      <c r="G76" s="107">
        <v>0.767810040111612</v>
      </c>
      <c r="H76" s="107">
        <v>0.78281139455706</v>
      </c>
      <c r="I76" s="107">
        <v>0.66610421680537</v>
      </c>
      <c r="J76" s="107">
        <v>0.282245484705846</v>
      </c>
      <c r="K76" s="105"/>
      <c r="L76" s="106" t="s">
        <v>62</v>
      </c>
      <c r="M76" s="107">
        <v>0.11480336788059</v>
      </c>
      <c r="N76" s="107">
        <v>0.130678014301699</v>
      </c>
      <c r="O76" s="107">
        <v>-0.36475834671541</v>
      </c>
      <c r="P76" s="107">
        <v>-1.01468680526724</v>
      </c>
      <c r="Q76" s="107">
        <v>-0.786651129711224</v>
      </c>
      <c r="R76" s="107">
        <v>-0.843066031188824</v>
      </c>
      <c r="S76" s="107">
        <v>-0.612985620734294</v>
      </c>
      <c r="T76" s="107">
        <v>0.323373120845729</v>
      </c>
    </row>
    <row r="77" ht="15.6" spans="1:21">
      <c r="A77" s="101"/>
      <c r="B77" s="106" t="s">
        <v>64</v>
      </c>
      <c r="C77" s="107">
        <v>0.321787681108186</v>
      </c>
      <c r="D77" s="107">
        <v>0.361507323651834</v>
      </c>
      <c r="E77" s="107">
        <v>0.611591116343622</v>
      </c>
      <c r="F77" s="107">
        <v>1.10850858523498</v>
      </c>
      <c r="G77" s="107">
        <v>0.888413255756579</v>
      </c>
      <c r="H77" s="107">
        <v>0.843011844336074</v>
      </c>
      <c r="I77" s="107">
        <v>0.720930891603546</v>
      </c>
      <c r="J77" s="107">
        <v>0.345727166983537</v>
      </c>
      <c r="K77" s="105"/>
      <c r="L77" s="106" t="s">
        <v>64</v>
      </c>
      <c r="M77" s="107">
        <v>0.128906441509865</v>
      </c>
      <c r="N77" s="107">
        <v>0.154348171800133</v>
      </c>
      <c r="O77" s="107">
        <v>-0.422360822676719</v>
      </c>
      <c r="P77" s="107">
        <v>-1.18378359076566</v>
      </c>
      <c r="Q77" s="107">
        <v>-0.908087919736248</v>
      </c>
      <c r="R77" s="107">
        <v>-0.910185470946486</v>
      </c>
      <c r="S77" s="107">
        <v>-0.657994378314116</v>
      </c>
      <c r="T77" s="107">
        <v>0.345143045491985</v>
      </c>
    </row>
    <row r="78" ht="15.6" spans="1:21">
      <c r="A78" s="101"/>
      <c r="B78" s="106" t="s">
        <v>66</v>
      </c>
      <c r="C78" s="107">
        <v>1.23008383125484</v>
      </c>
      <c r="D78" s="107">
        <v>1.11632845205226</v>
      </c>
      <c r="E78" s="107">
        <v>1.5983041829667</v>
      </c>
      <c r="F78" s="107">
        <v>1.72351622902531</v>
      </c>
      <c r="G78" s="107">
        <v>1.38536291302454</v>
      </c>
      <c r="H78" s="107">
        <v>1.27026719538765</v>
      </c>
      <c r="I78" s="107">
        <v>1.34077086427914</v>
      </c>
      <c r="J78" s="107">
        <v>0.88686174089509</v>
      </c>
      <c r="K78" s="105"/>
      <c r="L78" s="106" t="s">
        <v>66</v>
      </c>
      <c r="M78" s="107">
        <v>0.31638517622474</v>
      </c>
      <c r="N78" s="107">
        <v>0.194687914327618</v>
      </c>
      <c r="O78" s="107">
        <v>-0.257288402704991</v>
      </c>
      <c r="P78" s="107">
        <v>-2.49957646177683</v>
      </c>
      <c r="Q78" s="107">
        <v>-1.54162857507462</v>
      </c>
      <c r="R78" s="107">
        <v>-1.65009288716158</v>
      </c>
      <c r="S78" s="107">
        <v>-1.10391162160599</v>
      </c>
      <c r="T78" s="107">
        <v>0.425015422431112</v>
      </c>
    </row>
    <row r="79" ht="15.6" spans="1:21">
      <c r="A79" s="101"/>
      <c r="B79" s="102" t="s">
        <v>16</v>
      </c>
      <c r="C79" s="103">
        <v>1.36880360284833</v>
      </c>
      <c r="D79" s="103">
        <v>1.39929684085223</v>
      </c>
      <c r="E79" s="103">
        <v>1.28809105317826</v>
      </c>
      <c r="F79" s="103">
        <v>1.61318358277722</v>
      </c>
      <c r="G79" s="103">
        <v>1.50970890875083</v>
      </c>
      <c r="H79" s="103">
        <v>1.21735754664038</v>
      </c>
      <c r="I79" s="103">
        <v>1.25764939929273</v>
      </c>
      <c r="J79" s="103">
        <v>1.45755887059609</v>
      </c>
      <c r="K79" s="104"/>
      <c r="L79" s="102" t="s">
        <v>16</v>
      </c>
      <c r="M79" s="103">
        <v>-1.3772023611052</v>
      </c>
      <c r="N79" s="103">
        <v>-1.38827291892408</v>
      </c>
      <c r="O79" s="103">
        <v>-1.49745148451702</v>
      </c>
      <c r="P79" s="103">
        <v>-1.65672917926015</v>
      </c>
      <c r="Q79" s="103">
        <v>-1.62245159997797</v>
      </c>
      <c r="R79" s="103">
        <v>-1.31991355833799</v>
      </c>
      <c r="S79" s="103">
        <v>-1.35456938684589</v>
      </c>
      <c r="T79" s="103">
        <v>-1.36811625833927</v>
      </c>
      <c r="U79" s="105"/>
    </row>
    <row r="80" ht="15.6" spans="1:21">
      <c r="A80" s="101"/>
      <c r="B80" s="106" t="s">
        <v>76</v>
      </c>
      <c r="C80" s="107">
        <v>1.76740481118999</v>
      </c>
      <c r="D80" s="107">
        <v>1.84098612103234</v>
      </c>
      <c r="E80" s="107">
        <v>1.33880656620793</v>
      </c>
      <c r="F80" s="107">
        <v>2.27267048420429</v>
      </c>
      <c r="G80" s="107">
        <v>1.57563557131858</v>
      </c>
      <c r="H80" s="107">
        <v>1.43179049142458</v>
      </c>
      <c r="I80" s="107">
        <v>1.25840002895897</v>
      </c>
      <c r="J80" s="107">
        <v>1.80567990894121</v>
      </c>
      <c r="K80" s="105"/>
      <c r="L80" s="106" t="s">
        <v>76</v>
      </c>
      <c r="M80" s="107">
        <v>-1.34907387002682</v>
      </c>
      <c r="N80" s="107">
        <v>-1.46205901780192</v>
      </c>
      <c r="O80" s="107">
        <v>-1.04392052133059</v>
      </c>
      <c r="P80" s="107">
        <v>-2.43351451924009</v>
      </c>
      <c r="Q80" s="107">
        <v>-1.59888253199011</v>
      </c>
      <c r="R80" s="107">
        <v>-1.50643786533252</v>
      </c>
      <c r="S80" s="107">
        <v>-1.19037849000147</v>
      </c>
      <c r="T80" s="107">
        <v>-1.42353212486969</v>
      </c>
    </row>
    <row r="81" ht="15.6" spans="1:21">
      <c r="A81" s="101"/>
      <c r="B81" s="106" t="s">
        <v>78</v>
      </c>
      <c r="C81" s="107">
        <v>0.644168134292266</v>
      </c>
      <c r="D81" s="107">
        <v>0.628579610525789</v>
      </c>
      <c r="E81" s="107">
        <v>0.792926643834671</v>
      </c>
      <c r="F81" s="107">
        <v>1.06167170800373</v>
      </c>
      <c r="G81" s="107">
        <v>1.11092544850721</v>
      </c>
      <c r="H81" s="107">
        <v>1.24828884658578</v>
      </c>
      <c r="I81" s="107">
        <v>1.33010971891438</v>
      </c>
      <c r="J81" s="107">
        <v>0.925679022390248</v>
      </c>
      <c r="K81" s="105"/>
      <c r="L81" s="106" t="s">
        <v>78</v>
      </c>
      <c r="M81" s="107">
        <v>0.560621331229049</v>
      </c>
      <c r="N81" s="107">
        <v>0.511383958638192</v>
      </c>
      <c r="O81" s="107">
        <v>-0.0518821906481303</v>
      </c>
      <c r="P81" s="107">
        <v>-1.24021745590572</v>
      </c>
      <c r="Q81" s="107">
        <v>-1.15822405649543</v>
      </c>
      <c r="R81" s="107">
        <v>-1.42142871474468</v>
      </c>
      <c r="S81" s="107">
        <v>-1.15631290332062</v>
      </c>
      <c r="T81" s="107">
        <v>0.848240694019385</v>
      </c>
    </row>
    <row r="82" ht="15.6" spans="1:21">
      <c r="A82" s="101"/>
      <c r="B82" s="106" t="s">
        <v>80</v>
      </c>
      <c r="C82" s="107">
        <v>1.03267397189238</v>
      </c>
      <c r="D82" s="107">
        <v>1.08576750789989</v>
      </c>
      <c r="E82" s="107">
        <v>1.24708394499068</v>
      </c>
      <c r="F82" s="107">
        <v>1.94244466121839</v>
      </c>
      <c r="G82" s="107">
        <v>1.63364061178695</v>
      </c>
      <c r="H82" s="107">
        <v>1.41262969002139</v>
      </c>
      <c r="I82" s="107">
        <v>1.18570330240256</v>
      </c>
      <c r="J82" s="107">
        <v>1.04121001449754</v>
      </c>
      <c r="K82" s="105"/>
      <c r="L82" s="106" t="s">
        <v>80</v>
      </c>
      <c r="M82" s="107">
        <v>6.40312401806621</v>
      </c>
      <c r="N82" s="107">
        <v>6.26630977533636</v>
      </c>
      <c r="O82" s="107">
        <v>2.88620967013449</v>
      </c>
      <c r="P82" s="107">
        <v>-4.44733796686585</v>
      </c>
      <c r="Q82" s="107">
        <v>-2.10131337642898</v>
      </c>
      <c r="R82" s="107">
        <v>-2.61109518913621</v>
      </c>
      <c r="S82" s="107">
        <v>-0.0795982318228116</v>
      </c>
      <c r="T82" s="107">
        <v>6.94029745430946</v>
      </c>
    </row>
    <row r="83" ht="15.6" spans="1:21">
      <c r="A83" s="101"/>
      <c r="B83" s="106" t="s">
        <v>82</v>
      </c>
      <c r="C83" s="107">
        <v>0.995329468583302</v>
      </c>
      <c r="D83" s="107">
        <v>1.00334767053147</v>
      </c>
      <c r="E83" s="107">
        <v>1.1391261790722</v>
      </c>
      <c r="F83" s="107">
        <v>1.64945108233769</v>
      </c>
      <c r="G83" s="107">
        <v>1.44608837190221</v>
      </c>
      <c r="H83" s="107">
        <v>1.18771625954298</v>
      </c>
      <c r="I83" s="107">
        <v>1.06971208530325</v>
      </c>
      <c r="J83" s="107">
        <v>0.993500767663377</v>
      </c>
      <c r="K83" s="105"/>
      <c r="L83" s="106" t="s">
        <v>82</v>
      </c>
      <c r="M83" s="107">
        <v>0.413400911179905</v>
      </c>
      <c r="N83" s="107">
        <v>0.320470595193538</v>
      </c>
      <c r="O83" s="107">
        <v>-0.256544821839676</v>
      </c>
      <c r="P83" s="107">
        <v>-2.0840424866842</v>
      </c>
      <c r="Q83" s="107">
        <v>-1.52446927732122</v>
      </c>
      <c r="R83" s="107">
        <v>-1.43616738983483</v>
      </c>
      <c r="S83" s="107">
        <v>-0.855938838610411</v>
      </c>
      <c r="T83" s="107">
        <v>0.500524995755747</v>
      </c>
    </row>
    <row r="84" ht="15.6" spans="1:21">
      <c r="A84" s="101"/>
      <c r="B84" s="106" t="s">
        <v>84</v>
      </c>
      <c r="C84" s="107">
        <v>2.34218894560272</v>
      </c>
      <c r="D84" s="107">
        <v>2.24048494858255</v>
      </c>
      <c r="E84" s="107">
        <v>1.50180936096304</v>
      </c>
      <c r="F84" s="107">
        <v>1.98263069364054</v>
      </c>
      <c r="G84" s="107">
        <v>1.36316986218813</v>
      </c>
      <c r="H84" s="107">
        <v>1.12350460608914</v>
      </c>
      <c r="I84" s="107">
        <v>1.21487704158976</v>
      </c>
      <c r="J84" s="107">
        <v>2.26244017900628</v>
      </c>
      <c r="K84" s="105"/>
      <c r="L84" s="106" t="s">
        <v>84</v>
      </c>
      <c r="M84" s="107">
        <v>7.99168367139493</v>
      </c>
      <c r="N84" s="107">
        <v>6.00388209269452</v>
      </c>
      <c r="O84" s="107">
        <v>10.3681177560931</v>
      </c>
      <c r="P84" s="107">
        <v>-8.86958690486222</v>
      </c>
      <c r="Q84" s="107">
        <v>-2.6170203195209</v>
      </c>
      <c r="R84" s="107">
        <v>-3.56876249434415</v>
      </c>
      <c r="S84" s="107">
        <v>0.518838367857721</v>
      </c>
      <c r="T84" s="107">
        <v>6.00506404794129</v>
      </c>
    </row>
    <row r="85" ht="15.6" spans="1:21">
      <c r="A85" s="101"/>
      <c r="B85" s="106" t="s">
        <v>86</v>
      </c>
      <c r="C85" s="107">
        <v>0.768320380947902</v>
      </c>
      <c r="D85" s="107">
        <v>0.743708367165731</v>
      </c>
      <c r="E85" s="107">
        <v>1.0997176612374</v>
      </c>
      <c r="F85" s="107">
        <v>1.41812378490732</v>
      </c>
      <c r="G85" s="107">
        <v>2.16938994397499</v>
      </c>
      <c r="H85" s="107">
        <v>1.65479102559261</v>
      </c>
      <c r="I85" s="107">
        <v>1.85151015381685</v>
      </c>
      <c r="J85" s="107">
        <v>0.864840428743104</v>
      </c>
      <c r="K85" s="105"/>
      <c r="L85" s="106" t="s">
        <v>86</v>
      </c>
      <c r="M85" s="107">
        <v>5.45877098695319</v>
      </c>
      <c r="N85" s="107">
        <v>5.22859312974556</v>
      </c>
      <c r="O85" s="107">
        <v>2.60883824460768</v>
      </c>
      <c r="P85" s="107">
        <v>-2.76704847361048</v>
      </c>
      <c r="Q85" s="107">
        <v>-2.44104223788762</v>
      </c>
      <c r="R85" s="107">
        <v>-2.72923221198549</v>
      </c>
      <c r="S85" s="107">
        <v>-1.04212435640756</v>
      </c>
      <c r="T85" s="107">
        <v>7.58433543878808</v>
      </c>
    </row>
    <row r="86" ht="15.6" spans="1:21">
      <c r="A86" s="101"/>
      <c r="B86" s="106" t="s">
        <v>88</v>
      </c>
      <c r="C86" s="107">
        <v>2.07130482244956</v>
      </c>
      <c r="D86" s="107">
        <v>1.81429590874192</v>
      </c>
      <c r="E86" s="107">
        <v>2.2559592183662</v>
      </c>
      <c r="F86" s="107">
        <v>2.52194285748924</v>
      </c>
      <c r="G86" s="107">
        <v>1.24750969124446</v>
      </c>
      <c r="H86" s="107">
        <v>1.41646636957874</v>
      </c>
      <c r="I86" s="107">
        <v>1.71623118408746</v>
      </c>
      <c r="J86" s="107">
        <v>1.53884774980376</v>
      </c>
      <c r="K86" s="105"/>
      <c r="L86" s="106" t="s">
        <v>88</v>
      </c>
      <c r="M86" s="107">
        <v>1.77527427119247</v>
      </c>
      <c r="N86" s="107">
        <v>1.08027195234757</v>
      </c>
      <c r="O86" s="107">
        <v>4.35703009587406</v>
      </c>
      <c r="P86" s="107">
        <v>-8.17725765088139</v>
      </c>
      <c r="Q86" s="107">
        <v>-1.98022786018261</v>
      </c>
      <c r="R86" s="107">
        <v>-2.59581365415029</v>
      </c>
      <c r="S86" s="107">
        <v>-0.999214302057409</v>
      </c>
      <c r="T86" s="107">
        <v>1.75075754012356</v>
      </c>
    </row>
    <row r="87" ht="15.6" spans="1:21">
      <c r="A87" s="101"/>
      <c r="B87" s="106" t="s">
        <v>90</v>
      </c>
      <c r="C87" s="107">
        <v>1.17536748515868</v>
      </c>
      <c r="D87" s="107">
        <v>1.18055284690091</v>
      </c>
      <c r="E87" s="107">
        <v>1.22848294905236</v>
      </c>
      <c r="F87" s="107">
        <v>1.73261755823997</v>
      </c>
      <c r="G87" s="107">
        <v>1.36131506495275</v>
      </c>
      <c r="H87" s="107">
        <v>1.42983361235223</v>
      </c>
      <c r="I87" s="107">
        <v>1.2603755559626</v>
      </c>
      <c r="J87" s="107">
        <v>1.19904655559445</v>
      </c>
      <c r="K87" s="105"/>
      <c r="L87" s="106" t="s">
        <v>90</v>
      </c>
      <c r="M87" s="107">
        <v>-0.203354740114767</v>
      </c>
      <c r="N87" s="107">
        <v>-0.291234462026995</v>
      </c>
      <c r="O87" s="107">
        <v>-0.573428167316387</v>
      </c>
      <c r="P87" s="107">
        <v>-2.06923305338255</v>
      </c>
      <c r="Q87" s="107">
        <v>-1.4194941444174</v>
      </c>
      <c r="R87" s="107">
        <v>-1.14840142566462</v>
      </c>
      <c r="S87" s="107">
        <v>-1.11453161140791</v>
      </c>
      <c r="T87" s="107">
        <v>0.0109397831237601</v>
      </c>
    </row>
    <row r="88" ht="15.6" spans="1:21">
      <c r="A88" s="101"/>
      <c r="B88" s="102" t="s">
        <v>17</v>
      </c>
      <c r="C88" s="103">
        <v>0.922743843121122</v>
      </c>
      <c r="D88" s="103">
        <v>0.893818903176997</v>
      </c>
      <c r="E88" s="103">
        <v>1.09974265137597</v>
      </c>
      <c r="F88" s="103">
        <v>1.22050152105558</v>
      </c>
      <c r="G88" s="103">
        <v>1.1264975480271</v>
      </c>
      <c r="H88" s="103">
        <v>1.08955457964013</v>
      </c>
      <c r="I88" s="103">
        <v>1.14359664610099</v>
      </c>
      <c r="J88" s="103">
        <v>0.832145080044927</v>
      </c>
      <c r="K88" s="104"/>
      <c r="L88" s="102" t="s">
        <v>17</v>
      </c>
      <c r="M88" s="103">
        <v>-0.947180552921931</v>
      </c>
      <c r="N88" s="103">
        <v>-0.906105645040229</v>
      </c>
      <c r="O88" s="103">
        <v>-1.26154791700142</v>
      </c>
      <c r="P88" s="103">
        <v>-1.25494740788115</v>
      </c>
      <c r="Q88" s="103">
        <v>-1.21218004255468</v>
      </c>
      <c r="R88" s="103">
        <v>-1.17049375549814</v>
      </c>
      <c r="S88" s="103">
        <v>-1.21978066257376</v>
      </c>
      <c r="T88" s="103">
        <v>-0.785933673569914</v>
      </c>
      <c r="U88" s="105"/>
    </row>
    <row r="89" ht="15.6" spans="1:21">
      <c r="A89" s="101"/>
      <c r="B89" s="102" t="s">
        <v>18</v>
      </c>
      <c r="C89" s="103">
        <v>2.43978099198705</v>
      </c>
      <c r="D89" s="103">
        <v>2.36053739477788</v>
      </c>
      <c r="E89" s="103">
        <v>2.31449185928135</v>
      </c>
      <c r="F89" s="103">
        <v>1.14818868306109</v>
      </c>
      <c r="G89" s="103">
        <v>1.87174132478898</v>
      </c>
      <c r="H89" s="103">
        <v>1.47162770472262</v>
      </c>
      <c r="I89" s="103">
        <v>1.78258056053567</v>
      </c>
      <c r="J89" s="103">
        <v>1.96520209552435</v>
      </c>
      <c r="K89" s="104"/>
      <c r="L89" s="102" t="s">
        <v>18</v>
      </c>
      <c r="M89" s="103">
        <v>-2.33908755230611</v>
      </c>
      <c r="N89" s="103">
        <v>-2.24138910742586</v>
      </c>
      <c r="O89" s="103">
        <v>-2.54482319209126</v>
      </c>
      <c r="P89" s="103">
        <v>-1.27655653804671</v>
      </c>
      <c r="Q89" s="103">
        <v>-2.06680263777598</v>
      </c>
      <c r="R89" s="103">
        <v>-1.64702334701879</v>
      </c>
      <c r="S89" s="103">
        <v>-1.87824201512229</v>
      </c>
      <c r="T89" s="103">
        <v>-1.81619161811958</v>
      </c>
      <c r="U89" s="105"/>
    </row>
    <row r="90" ht="15.6" spans="1:21">
      <c r="A90" s="101"/>
      <c r="B90" s="106" t="s">
        <v>102</v>
      </c>
      <c r="C90" s="107">
        <v>0.805750660144339</v>
      </c>
      <c r="D90" s="107">
        <v>0.852168347922496</v>
      </c>
      <c r="E90" s="107">
        <v>1.08069085640735</v>
      </c>
      <c r="F90" s="107">
        <v>1.54024663585196</v>
      </c>
      <c r="G90" s="107">
        <v>1.26148347734831</v>
      </c>
      <c r="H90" s="107">
        <v>1.04523360508211</v>
      </c>
      <c r="I90" s="107">
        <v>1.07316545581452</v>
      </c>
      <c r="J90" s="107">
        <v>0.729131504764526</v>
      </c>
      <c r="K90" s="105"/>
      <c r="L90" s="106" t="s">
        <v>102</v>
      </c>
      <c r="M90" s="107">
        <v>0.611269411209395</v>
      </c>
      <c r="N90" s="107">
        <v>0.598698015606482</v>
      </c>
      <c r="O90" s="107">
        <v>-0.347645532249869</v>
      </c>
      <c r="P90" s="107">
        <v>-1.97002228044268</v>
      </c>
      <c r="Q90" s="107">
        <v>-1.34068692512803</v>
      </c>
      <c r="R90" s="107">
        <v>-1.28744974947115</v>
      </c>
      <c r="S90" s="107">
        <v>-0.865849283614421</v>
      </c>
      <c r="T90" s="107">
        <v>0.828180500139801</v>
      </c>
    </row>
    <row r="91" ht="15.6" spans="1:21">
      <c r="A91" s="101"/>
      <c r="B91" s="106" t="s">
        <v>104</v>
      </c>
      <c r="C91" s="107">
        <v>0.896834285290136</v>
      </c>
      <c r="D91" s="107">
        <v>0.84540667691092</v>
      </c>
      <c r="E91" s="107">
        <v>1.01833128122919</v>
      </c>
      <c r="F91" s="107">
        <v>0.847250640071678</v>
      </c>
      <c r="G91" s="107">
        <v>0.754112925393532</v>
      </c>
      <c r="H91" s="107">
        <v>0.750598882256723</v>
      </c>
      <c r="I91" s="107">
        <v>0.821203179049116</v>
      </c>
      <c r="J91" s="107">
        <v>0.733501468179022</v>
      </c>
      <c r="K91" s="105"/>
      <c r="L91" s="106" t="s">
        <v>104</v>
      </c>
      <c r="M91" s="107">
        <v>0.137401104897923</v>
      </c>
      <c r="N91" s="107">
        <v>0.0720453751879837</v>
      </c>
      <c r="O91" s="107">
        <v>-0.254790642130755</v>
      </c>
      <c r="P91" s="107">
        <v>-1.21828052776055</v>
      </c>
      <c r="Q91" s="107">
        <v>-0.817599664929603</v>
      </c>
      <c r="R91" s="107">
        <v>-0.959934934272958</v>
      </c>
      <c r="S91" s="107">
        <v>-0.656409684437932</v>
      </c>
      <c r="T91" s="107">
        <v>0.270011221146692</v>
      </c>
    </row>
    <row r="92" ht="15.6" spans="1:21">
      <c r="A92" s="101"/>
      <c r="B92" s="106" t="s">
        <v>106</v>
      </c>
      <c r="C92" s="107">
        <v>0.704040995221032</v>
      </c>
      <c r="D92" s="107">
        <v>1.0586669896526</v>
      </c>
      <c r="E92" s="107">
        <v>0.493161620078021</v>
      </c>
      <c r="F92" s="107">
        <v>0.0267758296211675</v>
      </c>
      <c r="G92" s="107">
        <v>0.256129969745328</v>
      </c>
      <c r="H92" s="107">
        <v>0.68210163060711</v>
      </c>
      <c r="I92" s="107">
        <v>0.539838958127292</v>
      </c>
      <c r="J92" s="107">
        <v>1.03827318802169</v>
      </c>
      <c r="K92" s="105"/>
      <c r="L92" s="106" t="s">
        <v>106</v>
      </c>
      <c r="M92" s="107">
        <v>4.74760808752018</v>
      </c>
      <c r="N92" s="107">
        <v>5.58502532468457</v>
      </c>
      <c r="O92" s="107">
        <v>1.66099251984236</v>
      </c>
      <c r="P92" s="107">
        <v>-0.831984462401107</v>
      </c>
      <c r="Q92" s="107">
        <v>-0.49071090548762</v>
      </c>
      <c r="R92" s="107">
        <v>-1.60213198973604</v>
      </c>
      <c r="S92" s="107">
        <v>0.480527936931832</v>
      </c>
      <c r="T92" s="107">
        <v>5.81861803554747</v>
      </c>
    </row>
    <row r="93" ht="15.6" spans="1:21">
      <c r="A93" s="101"/>
      <c r="B93" s="106" t="s">
        <v>126</v>
      </c>
      <c r="C93" s="107">
        <v>1.62190546750137</v>
      </c>
      <c r="D93" s="107">
        <v>1.44414054058776</v>
      </c>
      <c r="E93" s="107">
        <v>1.60402909052799</v>
      </c>
      <c r="F93" s="107">
        <v>0.900469779698604</v>
      </c>
      <c r="G93" s="107">
        <v>1.10875062710379</v>
      </c>
      <c r="H93" s="107">
        <v>1.48228680651372</v>
      </c>
      <c r="I93" s="107">
        <v>1.15811965238857</v>
      </c>
      <c r="J93" s="107">
        <v>1.19403083886648</v>
      </c>
      <c r="K93" s="105"/>
      <c r="L93" s="106" t="s">
        <v>126</v>
      </c>
      <c r="M93" s="107">
        <v>-0.450246087481057</v>
      </c>
      <c r="N93" s="107">
        <v>-0.529971387728946</v>
      </c>
      <c r="O93" s="107">
        <v>-0.0708910843090084</v>
      </c>
      <c r="P93" s="107">
        <v>-1.72251345256209</v>
      </c>
      <c r="Q93" s="107">
        <v>-1.25339881636155</v>
      </c>
      <c r="R93" s="107">
        <v>-1.82710066166467</v>
      </c>
      <c r="S93" s="107">
        <v>-0.950144107899952</v>
      </c>
      <c r="T93" s="107">
        <v>-0.311351034146017</v>
      </c>
    </row>
    <row r="94" ht="15.6" spans="1:21">
      <c r="A94" s="101"/>
      <c r="B94" s="102" t="s">
        <v>19</v>
      </c>
      <c r="C94" s="103">
        <v>1.67161422114897</v>
      </c>
      <c r="D94" s="103">
        <v>1.60278385375238</v>
      </c>
      <c r="E94" s="103">
        <v>1.93667868098651</v>
      </c>
      <c r="F94" s="103">
        <v>1.81448953801734</v>
      </c>
      <c r="G94" s="103">
        <v>1.28064370484467</v>
      </c>
      <c r="H94" s="103">
        <v>1.23706809990595</v>
      </c>
      <c r="I94" s="103">
        <v>1.59306877939265</v>
      </c>
      <c r="J94" s="103">
        <v>1.16977221097383</v>
      </c>
      <c r="K94" s="104"/>
      <c r="L94" s="102" t="s">
        <v>19</v>
      </c>
      <c r="M94" s="103">
        <v>-1.76692559373027</v>
      </c>
      <c r="N94" s="103">
        <v>-1.62948037815426</v>
      </c>
      <c r="O94" s="103">
        <v>-2.94163287410403</v>
      </c>
      <c r="P94" s="103">
        <v>-2.3267504294539</v>
      </c>
      <c r="Q94" s="103">
        <v>-2.12186879533442</v>
      </c>
      <c r="R94" s="103">
        <v>-1.85572821018609</v>
      </c>
      <c r="S94" s="103">
        <v>-2.03852842524086</v>
      </c>
      <c r="T94" s="103">
        <v>-0.984717831430099</v>
      </c>
      <c r="U94" s="105"/>
    </row>
    <row r="95" ht="15.6" spans="1:21">
      <c r="A95" s="101"/>
      <c r="B95" s="106" t="s">
        <v>100</v>
      </c>
      <c r="C95" s="107">
        <v>1.43289101284321</v>
      </c>
      <c r="D95" s="107">
        <v>1.33456297673667</v>
      </c>
      <c r="E95" s="107">
        <v>2.07297113572082</v>
      </c>
      <c r="F95" s="107">
        <v>1.65185484266432</v>
      </c>
      <c r="G95" s="107">
        <v>1.34741300163437</v>
      </c>
      <c r="H95" s="107">
        <v>1.65103944860256</v>
      </c>
      <c r="I95" s="107">
        <v>1.58708580782011</v>
      </c>
      <c r="J95" s="107">
        <v>0.981369278936206</v>
      </c>
      <c r="K95" s="105"/>
      <c r="L95" s="106" t="s">
        <v>100</v>
      </c>
      <c r="M95" s="107">
        <v>-0.795567465726928</v>
      </c>
      <c r="N95" s="107">
        <v>-0.771169071179381</v>
      </c>
      <c r="O95" s="107">
        <v>-1.58646060591604</v>
      </c>
      <c r="P95" s="107">
        <v>-2.09865911726062</v>
      </c>
      <c r="Q95" s="107">
        <v>-1.41759787794902</v>
      </c>
      <c r="R95" s="107">
        <v>-1.81856113341219</v>
      </c>
      <c r="S95" s="107">
        <v>-1.47302610469872</v>
      </c>
      <c r="T95" s="107">
        <v>-0.487726549498484</v>
      </c>
    </row>
    <row r="96" ht="15.6" spans="1:21">
      <c r="A96" s="101"/>
      <c r="B96" s="106" t="s">
        <v>110</v>
      </c>
      <c r="C96" s="107">
        <v>0.609689248270689</v>
      </c>
      <c r="D96" s="107">
        <v>0.597764985816433</v>
      </c>
      <c r="E96" s="107">
        <v>0.918591801191355</v>
      </c>
      <c r="F96" s="107">
        <v>1.06329377469646</v>
      </c>
      <c r="G96" s="107">
        <v>1.08308795416213</v>
      </c>
      <c r="H96" s="107">
        <v>1.05588977315966</v>
      </c>
      <c r="I96" s="107">
        <v>0.938573900586868</v>
      </c>
      <c r="J96" s="107">
        <v>0.569736122370851</v>
      </c>
      <c r="K96" s="105"/>
      <c r="L96" s="106" t="s">
        <v>110</v>
      </c>
      <c r="M96" s="107">
        <v>-0.113075152882077</v>
      </c>
      <c r="N96" s="107">
        <v>-0.10494168675856</v>
      </c>
      <c r="O96" s="107">
        <v>-0.645207100248255</v>
      </c>
      <c r="P96" s="107">
        <v>-1.17773395568542</v>
      </c>
      <c r="Q96" s="107">
        <v>-1.1053972462718</v>
      </c>
      <c r="R96" s="107">
        <v>-1.13884958496309</v>
      </c>
      <c r="S96" s="107">
        <v>-0.865905315982735</v>
      </c>
      <c r="T96" s="107">
        <v>0.0340360031736429</v>
      </c>
    </row>
    <row r="97" ht="15.6" spans="1:21">
      <c r="A97" s="101"/>
      <c r="B97" s="102" t="s">
        <v>20</v>
      </c>
      <c r="C97" s="103">
        <v>1.12364654431306</v>
      </c>
      <c r="D97" s="103">
        <v>1.14924431855877</v>
      </c>
      <c r="E97" s="103">
        <v>1.22538022622265</v>
      </c>
      <c r="F97" s="103">
        <v>0.795899196474852</v>
      </c>
      <c r="G97" s="103">
        <v>1.10134548342468</v>
      </c>
      <c r="H97" s="103">
        <v>1.23722410064592</v>
      </c>
      <c r="I97" s="103">
        <v>1.39145315592485</v>
      </c>
      <c r="J97" s="103">
        <v>1.01196001356732</v>
      </c>
      <c r="K97" s="104"/>
      <c r="L97" s="102" t="s">
        <v>20</v>
      </c>
      <c r="M97" s="103">
        <v>-1.14766297453514</v>
      </c>
      <c r="N97" s="103">
        <v>-1.15419209529388</v>
      </c>
      <c r="O97" s="103">
        <v>-1.42992887343135</v>
      </c>
      <c r="P97" s="103">
        <v>-0.864699768391256</v>
      </c>
      <c r="Q97" s="103">
        <v>-1.23792546360854</v>
      </c>
      <c r="R97" s="103">
        <v>-1.36311717184453</v>
      </c>
      <c r="S97" s="103">
        <v>-1.4981911018251</v>
      </c>
      <c r="T97" s="103">
        <v>-0.945612099943004</v>
      </c>
      <c r="U97" s="105"/>
    </row>
    <row r="98" ht="15.6" spans="1:21">
      <c r="A98" s="101"/>
      <c r="B98" s="102" t="s">
        <v>21</v>
      </c>
      <c r="C98" s="103">
        <v>0.405572073703879</v>
      </c>
      <c r="D98" s="103">
        <v>0.339358493818827</v>
      </c>
      <c r="E98" s="103">
        <v>0.409110009666946</v>
      </c>
      <c r="F98" s="103">
        <v>0.564190927720203</v>
      </c>
      <c r="G98" s="103">
        <v>0.556778949796371</v>
      </c>
      <c r="H98" s="103">
        <v>0.627167705221786</v>
      </c>
      <c r="I98" s="103">
        <v>0.516647140089077</v>
      </c>
      <c r="J98" s="103">
        <v>0.435266392164185</v>
      </c>
      <c r="K98" s="104"/>
      <c r="L98" s="102" t="s">
        <v>21</v>
      </c>
      <c r="M98" s="103">
        <v>-0.442131242887866</v>
      </c>
      <c r="N98" s="103">
        <v>-0.357943833540498</v>
      </c>
      <c r="O98" s="103">
        <v>-0.66841785188867</v>
      </c>
      <c r="P98" s="103">
        <v>-0.621057269284116</v>
      </c>
      <c r="Q98" s="103">
        <v>-0.664597434156645</v>
      </c>
      <c r="R98" s="103">
        <v>-0.733418250305377</v>
      </c>
      <c r="S98" s="103">
        <v>-0.638440293329585</v>
      </c>
      <c r="T98" s="103">
        <v>-0.347872856129477</v>
      </c>
      <c r="U98" s="105"/>
    </row>
    <row r="99" ht="15.6" spans="1:21">
      <c r="A99" s="101"/>
      <c r="B99" s="102" t="s">
        <v>22</v>
      </c>
      <c r="C99" s="103">
        <v>1.30381303701509</v>
      </c>
      <c r="D99" s="103">
        <v>1.29386454544464</v>
      </c>
      <c r="E99" s="103">
        <v>2.17748501921423</v>
      </c>
      <c r="F99" s="103">
        <v>1.9294529863772</v>
      </c>
      <c r="G99" s="103">
        <v>1.95404408929338</v>
      </c>
      <c r="H99" s="103">
        <v>1.90359688438783</v>
      </c>
      <c r="I99" s="103">
        <v>1.59961442433157</v>
      </c>
      <c r="J99" s="103">
        <v>0.862650252686231</v>
      </c>
      <c r="K99" s="104"/>
      <c r="L99" s="102" t="s">
        <v>22</v>
      </c>
      <c r="M99" s="103">
        <v>-1.34125516138655</v>
      </c>
      <c r="N99" s="103">
        <v>-1.3053063370508</v>
      </c>
      <c r="O99" s="103">
        <v>-2.37760502670418</v>
      </c>
      <c r="P99" s="103">
        <v>-2.12323277886074</v>
      </c>
      <c r="Q99" s="103">
        <v>-2.22079429521755</v>
      </c>
      <c r="R99" s="103">
        <v>-2.07832260264534</v>
      </c>
      <c r="S99" s="103">
        <v>-1.75348529809327</v>
      </c>
      <c r="T99" s="103">
        <v>-0.773172397299844</v>
      </c>
      <c r="U99" s="105"/>
    </row>
    <row r="100" ht="15.6" spans="1:21">
      <c r="A100" s="101"/>
      <c r="B100" s="102" t="s">
        <v>23</v>
      </c>
      <c r="C100" s="103">
        <v>1.87007308222215</v>
      </c>
      <c r="D100" s="103">
        <v>1.7969773835689</v>
      </c>
      <c r="E100" s="103">
        <v>2.55754217791877</v>
      </c>
      <c r="F100" s="103">
        <v>2.62532026410103</v>
      </c>
      <c r="G100" s="103">
        <v>2.52521702344234</v>
      </c>
      <c r="H100" s="103">
        <v>2.72994199891913</v>
      </c>
      <c r="I100" s="103">
        <v>2.45498279116214</v>
      </c>
      <c r="J100" s="103">
        <v>1.1079869125713</v>
      </c>
      <c r="K100" s="104"/>
      <c r="L100" s="102" t="s">
        <v>23</v>
      </c>
      <c r="M100" s="103">
        <v>-1.93596253042889</v>
      </c>
      <c r="N100" s="103">
        <v>-1.80974630780724</v>
      </c>
      <c r="O100" s="103">
        <v>-3.24546992273434</v>
      </c>
      <c r="P100" s="103">
        <v>-3.19741842185564</v>
      </c>
      <c r="Q100" s="103">
        <v>-3.47041821662771</v>
      </c>
      <c r="R100" s="103">
        <v>-3.28850672867787</v>
      </c>
      <c r="S100" s="103">
        <v>-2.73663043325365</v>
      </c>
      <c r="T100" s="103">
        <v>-0.967476607698868</v>
      </c>
      <c r="U100" s="105"/>
    </row>
    <row r="101" ht="15.6" spans="1:21">
      <c r="A101" s="101"/>
      <c r="B101" s="102" t="s">
        <v>24</v>
      </c>
      <c r="C101" s="103">
        <v>1.41086422720429</v>
      </c>
      <c r="D101" s="103">
        <v>1.40934495276323</v>
      </c>
      <c r="E101" s="103">
        <v>1.69753237099063</v>
      </c>
      <c r="F101" s="103">
        <v>1.71211987253024</v>
      </c>
      <c r="G101" s="103">
        <v>1.92513075035769</v>
      </c>
      <c r="H101" s="103">
        <v>1.61988182580532</v>
      </c>
      <c r="I101" s="103">
        <v>1.48574468280489</v>
      </c>
      <c r="J101" s="103">
        <v>1.08278121326196</v>
      </c>
      <c r="K101" s="104"/>
      <c r="L101" s="102" t="s">
        <v>24</v>
      </c>
      <c r="M101" s="103">
        <v>-1.4084701383241</v>
      </c>
      <c r="N101" s="103">
        <v>-1.39289924999273</v>
      </c>
      <c r="O101" s="103">
        <v>-1.82061496319015</v>
      </c>
      <c r="P101" s="103">
        <v>-1.76960092821304</v>
      </c>
      <c r="Q101" s="103">
        <v>-1.99636783540541</v>
      </c>
      <c r="R101" s="103">
        <v>-1.69064503469326</v>
      </c>
      <c r="S101" s="103">
        <v>-1.54938658757874</v>
      </c>
      <c r="T101" s="103">
        <v>-1.03231316417485</v>
      </c>
      <c r="U101" s="105"/>
    </row>
    <row r="102" ht="15.6" spans="1:21">
      <c r="A102" s="101"/>
      <c r="B102" s="102" t="s">
        <v>25</v>
      </c>
      <c r="C102" s="103">
        <v>1.11696894800404</v>
      </c>
      <c r="D102" s="103">
        <v>1.17995321627048</v>
      </c>
      <c r="E102" s="103">
        <v>0.899211750810724</v>
      </c>
      <c r="F102" s="103">
        <v>1.33666593885455</v>
      </c>
      <c r="G102" s="103">
        <v>1.18253269241749</v>
      </c>
      <c r="H102" s="103">
        <v>0.968056512300013</v>
      </c>
      <c r="I102" s="103">
        <v>0.871758100090123</v>
      </c>
      <c r="J102" s="103">
        <v>1.20241226459202</v>
      </c>
      <c r="K102" s="104"/>
      <c r="L102" s="102" t="s">
        <v>25</v>
      </c>
      <c r="M102" s="103">
        <v>-1.15750424101635</v>
      </c>
      <c r="N102" s="103">
        <v>-1.19116878269748</v>
      </c>
      <c r="O102" s="103">
        <v>-1.23886403596233</v>
      </c>
      <c r="P102" s="103">
        <v>-1.43017639875886</v>
      </c>
      <c r="Q102" s="103">
        <v>-1.3701883181044</v>
      </c>
      <c r="R102" s="103">
        <v>-1.14670150824508</v>
      </c>
      <c r="S102" s="103">
        <v>-1.06387880474049</v>
      </c>
      <c r="T102" s="103">
        <v>-1.0906570079454</v>
      </c>
      <c r="U102" s="105"/>
    </row>
    <row r="103" ht="15.6" spans="1:21">
      <c r="A103" s="101"/>
      <c r="B103" s="106" t="s">
        <v>120</v>
      </c>
      <c r="C103" s="107">
        <v>2.61976740501884</v>
      </c>
      <c r="D103" s="107">
        <v>2.54565708446099</v>
      </c>
      <c r="E103" s="107">
        <v>2.95216078974683</v>
      </c>
      <c r="F103" s="107">
        <v>2.37673568434062</v>
      </c>
      <c r="G103" s="107">
        <v>3.42030503743889</v>
      </c>
      <c r="H103" s="107">
        <v>2.7655934338115</v>
      </c>
      <c r="I103" s="107">
        <v>2.93486440592952</v>
      </c>
      <c r="J103" s="107">
        <v>1.88790836961903</v>
      </c>
      <c r="K103" s="105"/>
      <c r="L103" s="106" t="s">
        <v>120</v>
      </c>
      <c r="M103" s="107">
        <v>-2.30689950678312</v>
      </c>
      <c r="N103" s="107">
        <v>-2.24941487697445</v>
      </c>
      <c r="O103" s="107">
        <v>-2.63356988309679</v>
      </c>
      <c r="P103" s="107">
        <v>-2.48624594680406</v>
      </c>
      <c r="Q103" s="107">
        <v>-3.28927213579297</v>
      </c>
      <c r="R103" s="107">
        <v>-2.69473126707847</v>
      </c>
      <c r="S103" s="107">
        <v>-2.72408738714691</v>
      </c>
      <c r="T103" s="107">
        <v>-1.69062358387397</v>
      </c>
    </row>
    <row r="104" ht="15.6" spans="1:21">
      <c r="A104" s="101"/>
      <c r="B104" s="106" t="s">
        <v>122</v>
      </c>
      <c r="C104" s="107">
        <v>0.445441507147527</v>
      </c>
      <c r="D104" s="107">
        <v>0.41501253051714</v>
      </c>
      <c r="E104" s="107">
        <v>0.798404437965162</v>
      </c>
      <c r="F104" s="107">
        <v>1.1558475586695</v>
      </c>
      <c r="G104" s="107">
        <v>1.2684816838082</v>
      </c>
      <c r="H104" s="107">
        <v>0.985518451049952</v>
      </c>
      <c r="I104" s="107">
        <v>0.946722807345851</v>
      </c>
      <c r="J104" s="107">
        <v>0.317216559240381</v>
      </c>
      <c r="K104" s="105"/>
      <c r="L104" s="106" t="s">
        <v>122</v>
      </c>
      <c r="M104" s="107">
        <v>-0.142948283104102</v>
      </c>
      <c r="N104" s="107">
        <v>-0.109432785168529</v>
      </c>
      <c r="O104" s="107">
        <v>-0.639627482608415</v>
      </c>
      <c r="P104" s="107">
        <v>-1.23049402845947</v>
      </c>
      <c r="Q104" s="107">
        <v>-1.27485789089938</v>
      </c>
      <c r="R104" s="107">
        <v>-1.03077791996571</v>
      </c>
      <c r="S104" s="107">
        <v>-0.906054330894774</v>
      </c>
      <c r="T104" s="107">
        <v>0.085248748751114</v>
      </c>
    </row>
    <row r="105" ht="15.6" spans="1:21">
      <c r="A105" s="101"/>
      <c r="B105" s="102" t="s">
        <v>26</v>
      </c>
      <c r="C105" s="103">
        <v>1.23336893183315</v>
      </c>
      <c r="D105" s="103">
        <v>1.11559034995416</v>
      </c>
      <c r="E105" s="103">
        <v>1.27119365420114</v>
      </c>
      <c r="F105" s="103">
        <v>1.50810438168069</v>
      </c>
      <c r="G105" s="103">
        <v>1.43455833054347</v>
      </c>
      <c r="H105" s="103">
        <v>1.27758010464011</v>
      </c>
      <c r="I105" s="103">
        <v>1.30288766879416</v>
      </c>
      <c r="J105" s="103">
        <v>0.957066398268372</v>
      </c>
      <c r="K105" s="104"/>
      <c r="L105" s="102" t="s">
        <v>26</v>
      </c>
      <c r="M105" s="103">
        <v>-1.28000098534158</v>
      </c>
      <c r="N105" s="103">
        <v>-1.12983457894172</v>
      </c>
      <c r="O105" s="103">
        <v>-1.63110084721175</v>
      </c>
      <c r="P105" s="103">
        <v>-1.67449913702314</v>
      </c>
      <c r="Q105" s="103">
        <v>-1.71124735324861</v>
      </c>
      <c r="R105" s="103">
        <v>-1.50820588206631</v>
      </c>
      <c r="S105" s="103">
        <v>-1.51246080201112</v>
      </c>
      <c r="T105" s="103">
        <v>-0.848965605090933</v>
      </c>
      <c r="U105" s="105"/>
    </row>
    <row r="106" ht="15.6" spans="1:21">
      <c r="A106" s="101"/>
      <c r="B106" s="102" t="s">
        <v>27</v>
      </c>
      <c r="C106" s="103">
        <v>1.71479992371488</v>
      </c>
      <c r="D106" s="103">
        <v>1.50018960429573</v>
      </c>
      <c r="E106" s="103">
        <v>1.79358017446563</v>
      </c>
      <c r="F106" s="103">
        <v>1.58813686693717</v>
      </c>
      <c r="G106" s="103">
        <v>1.72128662075112</v>
      </c>
      <c r="H106" s="103">
        <v>1.74780955425726</v>
      </c>
      <c r="I106" s="103">
        <v>1.50309481132467</v>
      </c>
      <c r="J106" s="103">
        <v>1.10348400391607</v>
      </c>
      <c r="K106" s="104"/>
      <c r="L106" s="102" t="s">
        <v>27</v>
      </c>
      <c r="M106" s="103">
        <v>-1.7277171350295</v>
      </c>
      <c r="N106" s="103">
        <v>-1.49147286478951</v>
      </c>
      <c r="O106" s="103">
        <v>-2.56858429557546</v>
      </c>
      <c r="P106" s="103">
        <v>-1.89534764592424</v>
      </c>
      <c r="Q106" s="103">
        <v>-2.09447454714762</v>
      </c>
      <c r="R106" s="103">
        <v>-1.97811394556044</v>
      </c>
      <c r="S106" s="103">
        <v>-1.66619901792273</v>
      </c>
      <c r="T106" s="103">
        <v>-1.02971283388508</v>
      </c>
      <c r="U106" s="105"/>
    </row>
    <row r="107" ht="15.6" spans="1:21">
      <c r="A107" s="101"/>
      <c r="B107" s="102" t="s">
        <v>28</v>
      </c>
      <c r="C107" s="103">
        <v>0.906871258632298</v>
      </c>
      <c r="D107" s="103">
        <v>0.796300740407712</v>
      </c>
      <c r="E107" s="103">
        <v>0.686665860116334</v>
      </c>
      <c r="F107" s="103">
        <v>0.443778437111582</v>
      </c>
      <c r="G107" s="103">
        <v>0.450487372586129</v>
      </c>
      <c r="H107" s="103">
        <v>0.478061421434978</v>
      </c>
      <c r="I107" s="103">
        <v>0.503200760493545</v>
      </c>
      <c r="J107" s="103">
        <v>0.883872131065642</v>
      </c>
      <c r="K107" s="104"/>
      <c r="L107" s="102" t="s">
        <v>28</v>
      </c>
      <c r="M107" s="103">
        <v>-0.925628180091058</v>
      </c>
      <c r="N107" s="103">
        <v>-0.825510080276855</v>
      </c>
      <c r="O107" s="103">
        <v>-0.795065220569857</v>
      </c>
      <c r="P107" s="103">
        <v>-0.494035443446836</v>
      </c>
      <c r="Q107" s="103">
        <v>-0.517420369587628</v>
      </c>
      <c r="R107" s="103">
        <v>-0.542901056576915</v>
      </c>
      <c r="S107" s="103">
        <v>-0.568340393250123</v>
      </c>
      <c r="T107" s="103">
        <v>-0.884807654940918</v>
      </c>
      <c r="U107" s="105"/>
    </row>
    <row r="108" ht="15.6" spans="1:21">
      <c r="A108" s="101"/>
      <c r="B108" s="106" t="s">
        <v>92</v>
      </c>
      <c r="C108" s="107">
        <v>0.873890134044212</v>
      </c>
      <c r="D108" s="107">
        <v>0.765162834735127</v>
      </c>
      <c r="E108" s="107">
        <v>0.620597628418775</v>
      </c>
      <c r="F108" s="107">
        <v>0.46182747083872</v>
      </c>
      <c r="G108" s="107">
        <v>0.347022650154606</v>
      </c>
      <c r="H108" s="107">
        <v>0.4446658440014</v>
      </c>
      <c r="I108" s="107">
        <v>0.442838814561491</v>
      </c>
      <c r="J108" s="107">
        <v>0.854890340942187</v>
      </c>
      <c r="K108" s="105"/>
      <c r="L108" s="106" t="s">
        <v>92</v>
      </c>
      <c r="M108" s="107">
        <v>-0.855420563223285</v>
      </c>
      <c r="N108" s="107">
        <v>-0.766993135870193</v>
      </c>
      <c r="O108" s="107">
        <v>-0.600620780850266</v>
      </c>
      <c r="P108" s="107">
        <v>-0.507303801545205</v>
      </c>
      <c r="Q108" s="107">
        <v>-0.380605228707132</v>
      </c>
      <c r="R108" s="107">
        <v>-0.487347063000226</v>
      </c>
      <c r="S108" s="107">
        <v>-0.473011147689648</v>
      </c>
      <c r="T108" s="107">
        <v>-0.837860166031653</v>
      </c>
    </row>
    <row r="109" ht="15.6" spans="1:21">
      <c r="A109" s="101"/>
      <c r="B109" s="106" t="s">
        <v>128</v>
      </c>
      <c r="C109" s="107">
        <v>1.32847078873572</v>
      </c>
      <c r="D109" s="107">
        <v>1.60663380366574</v>
      </c>
      <c r="E109" s="107">
        <v>1.41606175651571</v>
      </c>
      <c r="F109" s="107">
        <v>2.05403994627996</v>
      </c>
      <c r="G109" s="107">
        <v>2.03686775766776</v>
      </c>
      <c r="H109" s="107">
        <v>1.14983277914707</v>
      </c>
      <c r="I109" s="107">
        <v>1.59977736989467</v>
      </c>
      <c r="J109" s="107">
        <v>1.23360501359462</v>
      </c>
      <c r="K109" s="105"/>
      <c r="L109" s="106" t="s">
        <v>128</v>
      </c>
      <c r="M109" s="107">
        <v>3.56716904236272</v>
      </c>
      <c r="N109" s="107">
        <v>3.82535673784587</v>
      </c>
      <c r="O109" s="107">
        <v>0.787585779337041</v>
      </c>
      <c r="P109" s="107">
        <v>-4.43745395754091</v>
      </c>
      <c r="Q109" s="107">
        <v>-2.33632234499488</v>
      </c>
      <c r="R109" s="107">
        <v>-2.17013988609136</v>
      </c>
      <c r="S109" s="107">
        <v>-0.852612241862605</v>
      </c>
      <c r="T109" s="107">
        <v>3.41301134023945</v>
      </c>
    </row>
    <row r="110" ht="15.6" spans="1:21">
      <c r="A110" s="101"/>
      <c r="B110" s="102" t="s">
        <v>29</v>
      </c>
      <c r="C110" s="103">
        <v>2.10694209240997</v>
      </c>
      <c r="D110" s="103">
        <v>1.78150456669313</v>
      </c>
      <c r="E110" s="103">
        <v>2.86543093577761</v>
      </c>
      <c r="F110" s="103">
        <v>1.47190319029401</v>
      </c>
      <c r="G110" s="103">
        <v>1.50644472156396</v>
      </c>
      <c r="H110" s="103">
        <v>1.36019405364204</v>
      </c>
      <c r="I110" s="103">
        <v>1.70495021236913</v>
      </c>
      <c r="J110" s="103">
        <v>1.41851387107982</v>
      </c>
      <c r="K110" s="104"/>
      <c r="L110" s="102" t="s">
        <v>29</v>
      </c>
      <c r="M110" s="103">
        <v>-2.17409696045578</v>
      </c>
      <c r="N110" s="103">
        <v>-1.78891833196458</v>
      </c>
      <c r="O110" s="103">
        <v>-5.67714408318119</v>
      </c>
      <c r="P110" s="103">
        <v>-2.30915397431625</v>
      </c>
      <c r="Q110" s="103">
        <v>-2.5784902177579</v>
      </c>
      <c r="R110" s="103">
        <v>-1.94997627509415</v>
      </c>
      <c r="S110" s="103">
        <v>-2.13051227958867</v>
      </c>
      <c r="T110" s="103">
        <v>-1.26736672836858</v>
      </c>
      <c r="U110" s="105"/>
    </row>
    <row r="111" ht="15.6" spans="1:21">
      <c r="A111" s="101"/>
      <c r="B111" s="102" t="s">
        <v>30</v>
      </c>
      <c r="C111" s="103">
        <v>1.6373482754278</v>
      </c>
      <c r="D111" s="103">
        <v>1.55466568629184</v>
      </c>
      <c r="E111" s="103">
        <v>1.37805796842435</v>
      </c>
      <c r="F111" s="103">
        <v>1.44559977261102</v>
      </c>
      <c r="G111" s="103">
        <v>1.39937810473202</v>
      </c>
      <c r="H111" s="103">
        <v>1.51832438579369</v>
      </c>
      <c r="I111" s="103">
        <v>1.46515459562126</v>
      </c>
      <c r="J111" s="103">
        <v>1.4031902274572</v>
      </c>
      <c r="K111" s="104"/>
      <c r="L111" s="102" t="s">
        <v>30</v>
      </c>
      <c r="M111" s="103">
        <v>-1.57387557919017</v>
      </c>
      <c r="N111" s="103">
        <v>-1.48902493474992</v>
      </c>
      <c r="O111" s="103">
        <v>-1.50982618190531</v>
      </c>
      <c r="P111" s="103">
        <v>-1.46173374701925</v>
      </c>
      <c r="Q111" s="103">
        <v>-1.44967450203162</v>
      </c>
      <c r="R111" s="103">
        <v>-1.53825715080296</v>
      </c>
      <c r="S111" s="103">
        <v>-1.47334920000514</v>
      </c>
      <c r="T111" s="103">
        <v>-1.32564504031321</v>
      </c>
      <c r="U111" s="105"/>
    </row>
    <row r="112" ht="15.6" spans="1:21">
      <c r="A112" s="101"/>
      <c r="B112" s="106" t="s">
        <v>116</v>
      </c>
      <c r="C112" s="107">
        <v>1.21376939422637</v>
      </c>
      <c r="D112" s="107">
        <v>1.1672185921567</v>
      </c>
      <c r="E112" s="107">
        <v>1.39327323943335</v>
      </c>
      <c r="F112" s="107">
        <v>1.53248807075573</v>
      </c>
      <c r="G112" s="107">
        <v>1.56653899878803</v>
      </c>
      <c r="H112" s="107">
        <v>1.20708017205478</v>
      </c>
      <c r="I112" s="107">
        <v>1.2482870411127</v>
      </c>
      <c r="J112" s="107">
        <v>1.00084985920072</v>
      </c>
      <c r="K112" s="105"/>
      <c r="L112" s="106" t="s">
        <v>116</v>
      </c>
      <c r="M112" s="107">
        <v>-1.1134006154617</v>
      </c>
      <c r="N112" s="107">
        <v>-1.0800274860382</v>
      </c>
      <c r="O112" s="107">
        <v>-1.29983902640676</v>
      </c>
      <c r="P112" s="107">
        <v>-1.53744134761456</v>
      </c>
      <c r="Q112" s="107">
        <v>-1.52799912308911</v>
      </c>
      <c r="R112" s="107">
        <v>-1.21229199647576</v>
      </c>
      <c r="S112" s="107">
        <v>-1.21573731190404</v>
      </c>
      <c r="T112" s="107">
        <v>-0.924615509800393</v>
      </c>
    </row>
    <row r="113" ht="15.6" spans="1:22">
      <c r="A113" s="101"/>
      <c r="B113" s="106" t="s">
        <v>134</v>
      </c>
      <c r="C113" s="107">
        <v>1.95850281158035</v>
      </c>
      <c r="D113" s="107">
        <v>1.80559917377313</v>
      </c>
      <c r="E113" s="107">
        <v>1.07764344545864</v>
      </c>
      <c r="F113" s="107">
        <v>1.08684548112187</v>
      </c>
      <c r="G113" s="107">
        <v>1.07027458760249</v>
      </c>
      <c r="H113" s="107">
        <v>1.46326840071822</v>
      </c>
      <c r="I113" s="107">
        <v>1.62976883303248</v>
      </c>
      <c r="J113" s="107">
        <v>1.83309477228346</v>
      </c>
      <c r="K113" s="105"/>
      <c r="L113" s="106" t="s">
        <v>134</v>
      </c>
      <c r="M113" s="107">
        <v>-1.73476330479655</v>
      </c>
      <c r="N113" s="107">
        <v>-1.62467330276176</v>
      </c>
      <c r="O113" s="107">
        <v>-0.837577750828091</v>
      </c>
      <c r="P113" s="107">
        <v>-1.15092912489334</v>
      </c>
      <c r="Q113" s="107">
        <v>-1.08268141622394</v>
      </c>
      <c r="R113" s="107">
        <v>-1.48711890521502</v>
      </c>
      <c r="S113" s="107">
        <v>-1.5703240748503</v>
      </c>
      <c r="T113" s="107">
        <v>-1.63837984020624</v>
      </c>
    </row>
    <row r="114" ht="15.6" spans="1:22">
      <c r="A114" s="101"/>
      <c r="B114" s="106" t="s">
        <v>136</v>
      </c>
      <c r="C114" s="107">
        <v>1.32456907274653</v>
      </c>
      <c r="D114" s="107">
        <v>1.0878832598703</v>
      </c>
      <c r="E114" s="107">
        <v>0.886998646127221</v>
      </c>
      <c r="F114" s="107">
        <v>0.833850865861974</v>
      </c>
      <c r="G114" s="107">
        <v>1.06704454368577</v>
      </c>
      <c r="H114" s="107">
        <v>1.05772042656559</v>
      </c>
      <c r="I114" s="107">
        <v>1.59158928999011</v>
      </c>
      <c r="J114" s="107">
        <v>1.13347274872168</v>
      </c>
      <c r="K114" s="105"/>
      <c r="L114" s="106" t="s">
        <v>136</v>
      </c>
      <c r="M114" s="107">
        <v>2.26562989056184</v>
      </c>
      <c r="N114" s="107">
        <v>1.5122081140968</v>
      </c>
      <c r="O114" s="107">
        <v>8.48509483695532</v>
      </c>
      <c r="P114" s="107">
        <v>-2.22974951690522</v>
      </c>
      <c r="Q114" s="107">
        <v>-1.40987207200702</v>
      </c>
      <c r="R114" s="107">
        <v>-1.98776058295324</v>
      </c>
      <c r="S114" s="107">
        <v>-1.10132427642767</v>
      </c>
      <c r="T114" s="107">
        <v>2.11412037029139</v>
      </c>
    </row>
    <row r="115" ht="15.6" spans="1:22">
      <c r="A115" s="101"/>
      <c r="B115" s="102" t="s">
        <v>31</v>
      </c>
      <c r="C115" s="103">
        <v>1.92450319598669</v>
      </c>
      <c r="D115" s="103">
        <v>1.82806128347314</v>
      </c>
      <c r="E115" s="103">
        <v>1.69473893842254</v>
      </c>
      <c r="F115" s="103">
        <v>1.37594520760334</v>
      </c>
      <c r="G115" s="103">
        <v>1.28179673109268</v>
      </c>
      <c r="H115" s="103">
        <v>1.17854906963858</v>
      </c>
      <c r="I115" s="103">
        <v>1.14497873977944</v>
      </c>
      <c r="J115" s="103">
        <v>1.64793351737438</v>
      </c>
      <c r="K115" s="104"/>
      <c r="L115" s="102" t="s">
        <v>31</v>
      </c>
      <c r="M115" s="103">
        <v>-1.87119122390421</v>
      </c>
      <c r="N115" s="103">
        <v>-1.76323109255124</v>
      </c>
      <c r="O115" s="103">
        <v>-1.94564602685718</v>
      </c>
      <c r="P115" s="103">
        <v>-1.45557488505934</v>
      </c>
      <c r="Q115" s="103">
        <v>-1.42302903011306</v>
      </c>
      <c r="R115" s="103">
        <v>-1.30156776099714</v>
      </c>
      <c r="S115" s="103">
        <v>-1.25766629000989</v>
      </c>
      <c r="T115" s="103">
        <v>-1.54401302769692</v>
      </c>
      <c r="U115" s="105"/>
    </row>
    <row r="116" ht="15.6" spans="1:22">
      <c r="A116" s="101"/>
      <c r="B116" s="106" t="s">
        <v>130</v>
      </c>
      <c r="C116" s="107">
        <v>2.4717805199347</v>
      </c>
      <c r="D116" s="107">
        <v>2.22168468035054</v>
      </c>
      <c r="E116" s="107">
        <v>1.45487897541298</v>
      </c>
      <c r="F116" s="107">
        <v>1.73830797499149</v>
      </c>
      <c r="G116" s="107">
        <v>0.976113420077191</v>
      </c>
      <c r="H116" s="107">
        <v>1.45643170385415</v>
      </c>
      <c r="I116" s="107">
        <v>1.70380549089045</v>
      </c>
      <c r="J116" s="107">
        <v>1.8746392142618</v>
      </c>
      <c r="K116" s="105"/>
      <c r="L116" s="106" t="s">
        <v>130</v>
      </c>
      <c r="M116" s="107">
        <v>0.491430286704054</v>
      </c>
      <c r="N116" s="107">
        <v>-0.0217566537673087</v>
      </c>
      <c r="O116" s="107">
        <v>4.34025623776738</v>
      </c>
      <c r="P116" s="107">
        <v>-6.35220149294498</v>
      </c>
      <c r="Q116" s="107">
        <v>-1.44946462650523</v>
      </c>
      <c r="R116" s="107">
        <v>-2.51489755332011</v>
      </c>
      <c r="S116" s="107">
        <v>-1.03589436102121</v>
      </c>
      <c r="T116" s="107">
        <v>0.109474684503556</v>
      </c>
    </row>
    <row r="117" ht="15.6" spans="1:22">
      <c r="A117" s="101"/>
      <c r="B117" s="106" t="s">
        <v>132</v>
      </c>
      <c r="C117" s="107">
        <v>3.20955424426336</v>
      </c>
      <c r="D117" s="107">
        <v>2.9853146890559</v>
      </c>
      <c r="E117" s="107">
        <v>3.20642192786333</v>
      </c>
      <c r="F117" s="107">
        <v>1.46427727616893</v>
      </c>
      <c r="G117" s="107">
        <v>1.50663610153051</v>
      </c>
      <c r="H117" s="107">
        <v>1.89218652334004</v>
      </c>
      <c r="I117" s="107">
        <v>1.56954359167313</v>
      </c>
      <c r="J117" s="107">
        <v>2.40404758554965</v>
      </c>
      <c r="K117" s="105"/>
      <c r="L117" s="106" t="s">
        <v>132</v>
      </c>
      <c r="M117" s="107">
        <v>-2.63439834377347</v>
      </c>
      <c r="N117" s="107">
        <v>-2.52130406648079</v>
      </c>
      <c r="O117" s="107">
        <v>-2.51516072386604</v>
      </c>
      <c r="P117" s="107">
        <v>-2.54413973110235</v>
      </c>
      <c r="Q117" s="107">
        <v>-1.61299592478058</v>
      </c>
      <c r="R117" s="107">
        <v>-2.15267617170076</v>
      </c>
      <c r="S117" s="107">
        <v>-1.42337308168301</v>
      </c>
      <c r="T117" s="107">
        <v>-2.03839328949653</v>
      </c>
    </row>
    <row r="118" ht="15.15" spans="1:22">
      <c r="A118" s="96"/>
      <c r="B118" s="108"/>
      <c r="C118" s="111"/>
      <c r="D118" s="111"/>
      <c r="E118" s="111"/>
      <c r="F118" s="111"/>
      <c r="G118" s="111"/>
      <c r="H118" s="111"/>
      <c r="I118" s="111"/>
      <c r="J118" s="111"/>
      <c r="L118" s="108"/>
      <c r="M118" s="111"/>
      <c r="N118" s="111"/>
      <c r="O118" s="111"/>
      <c r="P118" s="111"/>
      <c r="Q118" s="111"/>
      <c r="R118" s="111"/>
      <c r="S118" s="111"/>
      <c r="T118" s="111"/>
      <c r="V118" s="94"/>
    </row>
  </sheetData>
  <conditionalFormatting sqref="B3">
    <cfRule type="cellIs" dxfId="0" priority="642" operator="equal">
      <formula>0</formula>
    </cfRule>
  </conditionalFormatting>
  <conditionalFormatting sqref="L3">
    <cfRule type="cellIs" dxfId="0" priority="640" operator="equal">
      <formula>0</formula>
    </cfRule>
  </conditionalFormatting>
  <conditionalFormatting sqref="C4">
    <cfRule type="cellIs" dxfId="0" priority="631" operator="equal">
      <formula>0</formula>
    </cfRule>
  </conditionalFormatting>
  <conditionalFormatting sqref="D4:J4">
    <cfRule type="cellIs" dxfId="0" priority="632" operator="equal">
      <formula>0</formula>
    </cfRule>
  </conditionalFormatting>
  <conditionalFormatting sqref="M4">
    <cfRule type="cellIs" dxfId="0" priority="633" operator="equal">
      <formula>0</formula>
    </cfRule>
  </conditionalFormatting>
  <conditionalFormatting sqref="N4:T4">
    <cfRule type="cellIs" dxfId="0" priority="634" operator="equal">
      <formula>0</formula>
    </cfRule>
  </conditionalFormatting>
  <conditionalFormatting sqref="C7">
    <cfRule type="cellIs" dxfId="0" priority="427" operator="equal">
      <formula>0</formula>
    </cfRule>
  </conditionalFormatting>
  <conditionalFormatting sqref="D7:J7">
    <cfRule type="cellIs" dxfId="0" priority="428" operator="equal">
      <formula>0</formula>
    </cfRule>
  </conditionalFormatting>
  <conditionalFormatting sqref="M7">
    <cfRule type="cellIs" dxfId="0" priority="429" operator="equal">
      <formula>0</formula>
    </cfRule>
  </conditionalFormatting>
  <conditionalFormatting sqref="N7:T7">
    <cfRule type="cellIs" dxfId="0" priority="430" operator="equal">
      <formula>0</formula>
    </cfRule>
  </conditionalFormatting>
  <conditionalFormatting sqref="C8">
    <cfRule type="cellIs" dxfId="0" priority="423" operator="equal">
      <formula>0</formula>
    </cfRule>
  </conditionalFormatting>
  <conditionalFormatting sqref="D8:J8">
    <cfRule type="cellIs" dxfId="0" priority="424" operator="equal">
      <formula>0</formula>
    </cfRule>
  </conditionalFormatting>
  <conditionalFormatting sqref="M8">
    <cfRule type="cellIs" dxfId="0" priority="425" operator="equal">
      <formula>0</formula>
    </cfRule>
  </conditionalFormatting>
  <conditionalFormatting sqref="N8:T8">
    <cfRule type="cellIs" dxfId="0" priority="426" operator="equal">
      <formula>0</formula>
    </cfRule>
  </conditionalFormatting>
  <conditionalFormatting sqref="C9">
    <cfRule type="cellIs" dxfId="0" priority="419" operator="equal">
      <formula>0</formula>
    </cfRule>
  </conditionalFormatting>
  <conditionalFormatting sqref="D9:J9">
    <cfRule type="cellIs" dxfId="0" priority="420" operator="equal">
      <formula>0</formula>
    </cfRule>
  </conditionalFormatting>
  <conditionalFormatting sqref="M9">
    <cfRule type="cellIs" dxfId="0" priority="421" operator="equal">
      <formula>0</formula>
    </cfRule>
  </conditionalFormatting>
  <conditionalFormatting sqref="N9:T9">
    <cfRule type="cellIs" dxfId="0" priority="422" operator="equal">
      <formula>0</formula>
    </cfRule>
  </conditionalFormatting>
  <conditionalFormatting sqref="C10">
    <cfRule type="cellIs" dxfId="0" priority="271" operator="equal">
      <formula>0</formula>
    </cfRule>
  </conditionalFormatting>
  <conditionalFormatting sqref="M10">
    <cfRule type="cellIs" dxfId="0" priority="269" operator="equal">
      <formula>0</formula>
    </cfRule>
  </conditionalFormatting>
  <conditionalFormatting sqref="C11">
    <cfRule type="cellIs" dxfId="0" priority="267" operator="equal">
      <formula>0</formula>
    </cfRule>
  </conditionalFormatting>
  <conditionalFormatting sqref="M11">
    <cfRule type="cellIs" dxfId="0" priority="265" operator="equal">
      <formula>0</formula>
    </cfRule>
  </conditionalFormatting>
  <conditionalFormatting sqref="C12">
    <cfRule type="cellIs" dxfId="0" priority="263" operator="equal">
      <formula>0</formula>
    </cfRule>
  </conditionalFormatting>
  <conditionalFormatting sqref="M12">
    <cfRule type="cellIs" dxfId="0" priority="261" operator="equal">
      <formula>0</formula>
    </cfRule>
  </conditionalFormatting>
  <conditionalFormatting sqref="C13">
    <cfRule type="cellIs" dxfId="0" priority="259" operator="equal">
      <formula>0</formula>
    </cfRule>
  </conditionalFormatting>
  <conditionalFormatting sqref="M13">
    <cfRule type="cellIs" dxfId="0" priority="257" operator="equal">
      <formula>0</formula>
    </cfRule>
  </conditionalFormatting>
  <conditionalFormatting sqref="C14">
    <cfRule type="cellIs" dxfId="0" priority="255" operator="equal">
      <formula>0</formula>
    </cfRule>
  </conditionalFormatting>
  <conditionalFormatting sqref="M14">
    <cfRule type="cellIs" dxfId="0" priority="253" operator="equal">
      <formula>0</formula>
    </cfRule>
  </conditionalFormatting>
  <conditionalFormatting sqref="C15">
    <cfRule type="cellIs" dxfId="0" priority="251" operator="equal">
      <formula>0</formula>
    </cfRule>
  </conditionalFormatting>
  <conditionalFormatting sqref="M15">
    <cfRule type="cellIs" dxfId="0" priority="249" operator="equal">
      <formula>0</formula>
    </cfRule>
  </conditionalFormatting>
  <conditionalFormatting sqref="C16">
    <cfRule type="cellIs" dxfId="0" priority="247" operator="equal">
      <formula>0</formula>
    </cfRule>
  </conditionalFormatting>
  <conditionalFormatting sqref="M16">
    <cfRule type="cellIs" dxfId="0" priority="245" operator="equal">
      <formula>0</formula>
    </cfRule>
  </conditionalFormatting>
  <conditionalFormatting sqref="C17">
    <cfRule type="cellIs" dxfId="0" priority="243" operator="equal">
      <formula>0</formula>
    </cfRule>
  </conditionalFormatting>
  <conditionalFormatting sqref="M17">
    <cfRule type="cellIs" dxfId="0" priority="241" operator="equal">
      <formula>0</formula>
    </cfRule>
  </conditionalFormatting>
  <conditionalFormatting sqref="C18">
    <cfRule type="cellIs" dxfId="0" priority="239" operator="equal">
      <formula>0</formula>
    </cfRule>
  </conditionalFormatting>
  <conditionalFormatting sqref="M18">
    <cfRule type="cellIs" dxfId="0" priority="237" operator="equal">
      <formula>0</formula>
    </cfRule>
  </conditionalFormatting>
  <conditionalFormatting sqref="C19">
    <cfRule type="cellIs" dxfId="0" priority="235" operator="equal">
      <formula>0</formula>
    </cfRule>
  </conditionalFormatting>
  <conditionalFormatting sqref="M19">
    <cfRule type="cellIs" dxfId="0" priority="233" operator="equal">
      <formula>0</formula>
    </cfRule>
  </conditionalFormatting>
  <conditionalFormatting sqref="C20">
    <cfRule type="cellIs" dxfId="0" priority="415" operator="equal">
      <formula>0</formula>
    </cfRule>
  </conditionalFormatting>
  <conditionalFormatting sqref="D20:J20">
    <cfRule type="cellIs" dxfId="0" priority="416" operator="equal">
      <formula>0</formula>
    </cfRule>
  </conditionalFormatting>
  <conditionalFormatting sqref="M20">
    <cfRule type="cellIs" dxfId="0" priority="417" operator="equal">
      <formula>0</formula>
    </cfRule>
  </conditionalFormatting>
  <conditionalFormatting sqref="N20:T20">
    <cfRule type="cellIs" dxfId="0" priority="418" operator="equal">
      <formula>0</formula>
    </cfRule>
  </conditionalFormatting>
  <conditionalFormatting sqref="C21">
    <cfRule type="cellIs" dxfId="0" priority="231" operator="equal">
      <formula>0</formula>
    </cfRule>
  </conditionalFormatting>
  <conditionalFormatting sqref="M21">
    <cfRule type="cellIs" dxfId="0" priority="229" operator="equal">
      <formula>0</formula>
    </cfRule>
  </conditionalFormatting>
  <conditionalFormatting sqref="C22">
    <cfRule type="cellIs" dxfId="0" priority="227" operator="equal">
      <formula>0</formula>
    </cfRule>
  </conditionalFormatting>
  <conditionalFormatting sqref="M22">
    <cfRule type="cellIs" dxfId="0" priority="225" operator="equal">
      <formula>0</formula>
    </cfRule>
  </conditionalFormatting>
  <conditionalFormatting sqref="C23">
    <cfRule type="cellIs" dxfId="0" priority="223" operator="equal">
      <formula>0</formula>
    </cfRule>
  </conditionalFormatting>
  <conditionalFormatting sqref="M23">
    <cfRule type="cellIs" dxfId="0" priority="221" operator="equal">
      <formula>0</formula>
    </cfRule>
  </conditionalFormatting>
  <conditionalFormatting sqref="C24">
    <cfRule type="cellIs" dxfId="0" priority="219" operator="equal">
      <formula>0</formula>
    </cfRule>
  </conditionalFormatting>
  <conditionalFormatting sqref="M24">
    <cfRule type="cellIs" dxfId="0" priority="217" operator="equal">
      <formula>0</formula>
    </cfRule>
  </conditionalFormatting>
  <conditionalFormatting sqref="C25">
    <cfRule type="cellIs" dxfId="0" priority="215" operator="equal">
      <formula>0</formula>
    </cfRule>
  </conditionalFormatting>
  <conditionalFormatting sqref="M25">
    <cfRule type="cellIs" dxfId="0" priority="213" operator="equal">
      <formula>0</formula>
    </cfRule>
  </conditionalFormatting>
  <conditionalFormatting sqref="C26">
    <cfRule type="cellIs" dxfId="0" priority="211" operator="equal">
      <formula>0</formula>
    </cfRule>
  </conditionalFormatting>
  <conditionalFormatting sqref="M26">
    <cfRule type="cellIs" dxfId="0" priority="209" operator="equal">
      <formula>0</formula>
    </cfRule>
  </conditionalFormatting>
  <conditionalFormatting sqref="C27">
    <cfRule type="cellIs" dxfId="0" priority="207" operator="equal">
      <formula>0</formula>
    </cfRule>
  </conditionalFormatting>
  <conditionalFormatting sqref="M27">
    <cfRule type="cellIs" dxfId="0" priority="205" operator="equal">
      <formula>0</formula>
    </cfRule>
  </conditionalFormatting>
  <conditionalFormatting sqref="C28">
    <cfRule type="cellIs" dxfId="0" priority="203" operator="equal">
      <formula>0</formula>
    </cfRule>
  </conditionalFormatting>
  <conditionalFormatting sqref="M28">
    <cfRule type="cellIs" dxfId="0" priority="201" operator="equal">
      <formula>0</formula>
    </cfRule>
  </conditionalFormatting>
  <conditionalFormatting sqref="C29">
    <cfRule type="cellIs" dxfId="0" priority="411" operator="equal">
      <formula>0</formula>
    </cfRule>
  </conditionalFormatting>
  <conditionalFormatting sqref="D29:J29">
    <cfRule type="cellIs" dxfId="0" priority="412" operator="equal">
      <formula>0</formula>
    </cfRule>
  </conditionalFormatting>
  <conditionalFormatting sqref="M29">
    <cfRule type="cellIs" dxfId="0" priority="413" operator="equal">
      <formula>0</formula>
    </cfRule>
  </conditionalFormatting>
  <conditionalFormatting sqref="N29:T29">
    <cfRule type="cellIs" dxfId="0" priority="414" operator="equal">
      <formula>0</formula>
    </cfRule>
  </conditionalFormatting>
  <conditionalFormatting sqref="C30">
    <cfRule type="cellIs" dxfId="0" priority="407" operator="equal">
      <formula>0</formula>
    </cfRule>
  </conditionalFormatting>
  <conditionalFormatting sqref="D30:J30">
    <cfRule type="cellIs" dxfId="0" priority="408" operator="equal">
      <formula>0</formula>
    </cfRule>
  </conditionalFormatting>
  <conditionalFormatting sqref="M30">
    <cfRule type="cellIs" dxfId="0" priority="409" operator="equal">
      <formula>0</formula>
    </cfRule>
  </conditionalFormatting>
  <conditionalFormatting sqref="N30:T30">
    <cfRule type="cellIs" dxfId="0" priority="410" operator="equal">
      <formula>0</formula>
    </cfRule>
  </conditionalFormatting>
  <conditionalFormatting sqref="C31">
    <cfRule type="cellIs" dxfId="0" priority="199" operator="equal">
      <formula>0</formula>
    </cfRule>
  </conditionalFormatting>
  <conditionalFormatting sqref="M31">
    <cfRule type="cellIs" dxfId="0" priority="197" operator="equal">
      <formula>0</formula>
    </cfRule>
  </conditionalFormatting>
  <conditionalFormatting sqref="C32">
    <cfRule type="cellIs" dxfId="0" priority="195" operator="equal">
      <formula>0</formula>
    </cfRule>
  </conditionalFormatting>
  <conditionalFormatting sqref="M32">
    <cfRule type="cellIs" dxfId="0" priority="193" operator="equal">
      <formula>0</formula>
    </cfRule>
  </conditionalFormatting>
  <conditionalFormatting sqref="C33">
    <cfRule type="cellIs" dxfId="0" priority="191" operator="equal">
      <formula>0</formula>
    </cfRule>
  </conditionalFormatting>
  <conditionalFormatting sqref="M33">
    <cfRule type="cellIs" dxfId="0" priority="189" operator="equal">
      <formula>0</formula>
    </cfRule>
  </conditionalFormatting>
  <conditionalFormatting sqref="C34">
    <cfRule type="cellIs" dxfId="0" priority="187" operator="equal">
      <formula>0</formula>
    </cfRule>
  </conditionalFormatting>
  <conditionalFormatting sqref="M34">
    <cfRule type="cellIs" dxfId="0" priority="185" operator="equal">
      <formula>0</formula>
    </cfRule>
  </conditionalFormatting>
  <conditionalFormatting sqref="C35">
    <cfRule type="cellIs" dxfId="0" priority="403" operator="equal">
      <formula>0</formula>
    </cfRule>
  </conditionalFormatting>
  <conditionalFormatting sqref="D35:J35">
    <cfRule type="cellIs" dxfId="0" priority="404" operator="equal">
      <formula>0</formula>
    </cfRule>
  </conditionalFormatting>
  <conditionalFormatting sqref="M35">
    <cfRule type="cellIs" dxfId="0" priority="405" operator="equal">
      <formula>0</formula>
    </cfRule>
  </conditionalFormatting>
  <conditionalFormatting sqref="N35:T35">
    <cfRule type="cellIs" dxfId="0" priority="406" operator="equal">
      <formula>0</formula>
    </cfRule>
  </conditionalFormatting>
  <conditionalFormatting sqref="C36">
    <cfRule type="cellIs" dxfId="0" priority="183" operator="equal">
      <formula>0</formula>
    </cfRule>
  </conditionalFormatting>
  <conditionalFormatting sqref="M36">
    <cfRule type="cellIs" dxfId="0" priority="181" operator="equal">
      <formula>0</formula>
    </cfRule>
  </conditionalFormatting>
  <conditionalFormatting sqref="C37">
    <cfRule type="cellIs" dxfId="0" priority="179" operator="equal">
      <formula>0</formula>
    </cfRule>
  </conditionalFormatting>
  <conditionalFormatting sqref="M37">
    <cfRule type="cellIs" dxfId="0" priority="177" operator="equal">
      <formula>0</formula>
    </cfRule>
  </conditionalFormatting>
  <conditionalFormatting sqref="C38">
    <cfRule type="cellIs" dxfId="0" priority="399" operator="equal">
      <formula>0</formula>
    </cfRule>
  </conditionalFormatting>
  <conditionalFormatting sqref="D38:J38">
    <cfRule type="cellIs" dxfId="0" priority="400" operator="equal">
      <formula>0</formula>
    </cfRule>
  </conditionalFormatting>
  <conditionalFormatting sqref="M38">
    <cfRule type="cellIs" dxfId="0" priority="401" operator="equal">
      <formula>0</formula>
    </cfRule>
  </conditionalFormatting>
  <conditionalFormatting sqref="N38:T38">
    <cfRule type="cellIs" dxfId="0" priority="402" operator="equal">
      <formula>0</formula>
    </cfRule>
  </conditionalFormatting>
  <conditionalFormatting sqref="C39">
    <cfRule type="cellIs" dxfId="0" priority="395" operator="equal">
      <formula>0</formula>
    </cfRule>
  </conditionalFormatting>
  <conditionalFormatting sqref="D39:J39">
    <cfRule type="cellIs" dxfId="0" priority="396" operator="equal">
      <formula>0</formula>
    </cfRule>
  </conditionalFormatting>
  <conditionalFormatting sqref="M39">
    <cfRule type="cellIs" dxfId="0" priority="397" operator="equal">
      <formula>0</formula>
    </cfRule>
  </conditionalFormatting>
  <conditionalFormatting sqref="N39:T39">
    <cfRule type="cellIs" dxfId="0" priority="398" operator="equal">
      <formula>0</formula>
    </cfRule>
  </conditionalFormatting>
  <conditionalFormatting sqref="C40">
    <cfRule type="cellIs" dxfId="0" priority="391" operator="equal">
      <formula>0</formula>
    </cfRule>
  </conditionalFormatting>
  <conditionalFormatting sqref="D40:J40">
    <cfRule type="cellIs" dxfId="0" priority="392" operator="equal">
      <formula>0</formula>
    </cfRule>
  </conditionalFormatting>
  <conditionalFormatting sqref="M40">
    <cfRule type="cellIs" dxfId="0" priority="393" operator="equal">
      <formula>0</formula>
    </cfRule>
  </conditionalFormatting>
  <conditionalFormatting sqref="N40:T40">
    <cfRule type="cellIs" dxfId="0" priority="394" operator="equal">
      <formula>0</formula>
    </cfRule>
  </conditionalFormatting>
  <conditionalFormatting sqref="C41">
    <cfRule type="cellIs" dxfId="0" priority="387" operator="equal">
      <formula>0</formula>
    </cfRule>
  </conditionalFormatting>
  <conditionalFormatting sqref="D41:J41">
    <cfRule type="cellIs" dxfId="0" priority="388" operator="equal">
      <formula>0</formula>
    </cfRule>
  </conditionalFormatting>
  <conditionalFormatting sqref="M41">
    <cfRule type="cellIs" dxfId="0" priority="389" operator="equal">
      <formula>0</formula>
    </cfRule>
  </conditionalFormatting>
  <conditionalFormatting sqref="N41:T41">
    <cfRule type="cellIs" dxfId="0" priority="390" operator="equal">
      <formula>0</formula>
    </cfRule>
  </conditionalFormatting>
  <conditionalFormatting sqref="C42">
    <cfRule type="cellIs" dxfId="0" priority="383" operator="equal">
      <formula>0</formula>
    </cfRule>
  </conditionalFormatting>
  <conditionalFormatting sqref="D42:J42">
    <cfRule type="cellIs" dxfId="0" priority="384" operator="equal">
      <formula>0</formula>
    </cfRule>
  </conditionalFormatting>
  <conditionalFormatting sqref="M42">
    <cfRule type="cellIs" dxfId="0" priority="385" operator="equal">
      <formula>0</formula>
    </cfRule>
  </conditionalFormatting>
  <conditionalFormatting sqref="N42:T42">
    <cfRule type="cellIs" dxfId="0" priority="386" operator="equal">
      <formula>0</formula>
    </cfRule>
  </conditionalFormatting>
  <conditionalFormatting sqref="C43">
    <cfRule type="cellIs" dxfId="0" priority="379" operator="equal">
      <formula>0</formula>
    </cfRule>
  </conditionalFormatting>
  <conditionalFormatting sqref="D43:J43">
    <cfRule type="cellIs" dxfId="0" priority="380" operator="equal">
      <formula>0</formula>
    </cfRule>
  </conditionalFormatting>
  <conditionalFormatting sqref="M43">
    <cfRule type="cellIs" dxfId="0" priority="381" operator="equal">
      <formula>0</formula>
    </cfRule>
  </conditionalFormatting>
  <conditionalFormatting sqref="N43:T43">
    <cfRule type="cellIs" dxfId="0" priority="382" operator="equal">
      <formula>0</formula>
    </cfRule>
  </conditionalFormatting>
  <conditionalFormatting sqref="C44">
    <cfRule type="cellIs" dxfId="0" priority="175" operator="equal">
      <formula>0</formula>
    </cfRule>
  </conditionalFormatting>
  <conditionalFormatting sqref="M44">
    <cfRule type="cellIs" dxfId="0" priority="173" operator="equal">
      <formula>0</formula>
    </cfRule>
  </conditionalFormatting>
  <conditionalFormatting sqref="C45">
    <cfRule type="cellIs" dxfId="0" priority="171" operator="equal">
      <formula>0</formula>
    </cfRule>
  </conditionalFormatting>
  <conditionalFormatting sqref="M45">
    <cfRule type="cellIs" dxfId="0" priority="169" operator="equal">
      <formula>0</formula>
    </cfRule>
  </conditionalFormatting>
  <conditionalFormatting sqref="C46">
    <cfRule type="cellIs" dxfId="0" priority="375" operator="equal">
      <formula>0</formula>
    </cfRule>
  </conditionalFormatting>
  <conditionalFormatting sqref="D46:J46">
    <cfRule type="cellIs" dxfId="0" priority="376" operator="equal">
      <formula>0</formula>
    </cfRule>
  </conditionalFormatting>
  <conditionalFormatting sqref="M46">
    <cfRule type="cellIs" dxfId="0" priority="377" operator="equal">
      <formula>0</formula>
    </cfRule>
  </conditionalFormatting>
  <conditionalFormatting sqref="N46:T46">
    <cfRule type="cellIs" dxfId="0" priority="378" operator="equal">
      <formula>0</formula>
    </cfRule>
  </conditionalFormatting>
  <conditionalFormatting sqref="C47">
    <cfRule type="cellIs" dxfId="0" priority="371" operator="equal">
      <formula>0</formula>
    </cfRule>
  </conditionalFormatting>
  <conditionalFormatting sqref="D47:J47">
    <cfRule type="cellIs" dxfId="0" priority="372" operator="equal">
      <formula>0</formula>
    </cfRule>
  </conditionalFormatting>
  <conditionalFormatting sqref="M47">
    <cfRule type="cellIs" dxfId="0" priority="373" operator="equal">
      <formula>0</formula>
    </cfRule>
  </conditionalFormatting>
  <conditionalFormatting sqref="N47:T47">
    <cfRule type="cellIs" dxfId="0" priority="374" operator="equal">
      <formula>0</formula>
    </cfRule>
  </conditionalFormatting>
  <conditionalFormatting sqref="C48">
    <cfRule type="cellIs" dxfId="0" priority="367" operator="equal">
      <formula>0</formula>
    </cfRule>
  </conditionalFormatting>
  <conditionalFormatting sqref="D48:J48">
    <cfRule type="cellIs" dxfId="0" priority="368" operator="equal">
      <formula>0</formula>
    </cfRule>
  </conditionalFormatting>
  <conditionalFormatting sqref="M48">
    <cfRule type="cellIs" dxfId="0" priority="369" operator="equal">
      <formula>0</formula>
    </cfRule>
  </conditionalFormatting>
  <conditionalFormatting sqref="N48:T48">
    <cfRule type="cellIs" dxfId="0" priority="370" operator="equal">
      <formula>0</formula>
    </cfRule>
  </conditionalFormatting>
  <conditionalFormatting sqref="C49">
    <cfRule type="cellIs" dxfId="0" priority="167" operator="equal">
      <formula>0</formula>
    </cfRule>
  </conditionalFormatting>
  <conditionalFormatting sqref="M49">
    <cfRule type="cellIs" dxfId="0" priority="165" operator="equal">
      <formula>0</formula>
    </cfRule>
  </conditionalFormatting>
  <conditionalFormatting sqref="C50">
    <cfRule type="cellIs" dxfId="0" priority="163" operator="equal">
      <formula>0</formula>
    </cfRule>
  </conditionalFormatting>
  <conditionalFormatting sqref="M50">
    <cfRule type="cellIs" dxfId="0" priority="161" operator="equal">
      <formula>0</formula>
    </cfRule>
  </conditionalFormatting>
  <conditionalFormatting sqref="C51">
    <cfRule type="cellIs" dxfId="0" priority="363" operator="equal">
      <formula>0</formula>
    </cfRule>
  </conditionalFormatting>
  <conditionalFormatting sqref="D51:J51">
    <cfRule type="cellIs" dxfId="0" priority="364" operator="equal">
      <formula>0</formula>
    </cfRule>
  </conditionalFormatting>
  <conditionalFormatting sqref="M51">
    <cfRule type="cellIs" dxfId="0" priority="365" operator="equal">
      <formula>0</formula>
    </cfRule>
  </conditionalFormatting>
  <conditionalFormatting sqref="N51:T51">
    <cfRule type="cellIs" dxfId="0" priority="366" operator="equal">
      <formula>0</formula>
    </cfRule>
  </conditionalFormatting>
  <conditionalFormatting sqref="C52">
    <cfRule type="cellIs" dxfId="0" priority="359" operator="equal">
      <formula>0</formula>
    </cfRule>
  </conditionalFormatting>
  <conditionalFormatting sqref="D52:J52">
    <cfRule type="cellIs" dxfId="0" priority="360" operator="equal">
      <formula>0</formula>
    </cfRule>
  </conditionalFormatting>
  <conditionalFormatting sqref="M52">
    <cfRule type="cellIs" dxfId="0" priority="361" operator="equal">
      <formula>0</formula>
    </cfRule>
  </conditionalFormatting>
  <conditionalFormatting sqref="N52:T52">
    <cfRule type="cellIs" dxfId="0" priority="362" operator="equal">
      <formula>0</formula>
    </cfRule>
  </conditionalFormatting>
  <conditionalFormatting sqref="C53">
    <cfRule type="cellIs" dxfId="0" priority="159" operator="equal">
      <formula>0</formula>
    </cfRule>
  </conditionalFormatting>
  <conditionalFormatting sqref="M53">
    <cfRule type="cellIs" dxfId="0" priority="157" operator="equal">
      <formula>0</formula>
    </cfRule>
  </conditionalFormatting>
  <conditionalFormatting sqref="C54">
    <cfRule type="cellIs" dxfId="0" priority="155" operator="equal">
      <formula>0</formula>
    </cfRule>
  </conditionalFormatting>
  <conditionalFormatting sqref="M54">
    <cfRule type="cellIs" dxfId="0" priority="153" operator="equal">
      <formula>0</formula>
    </cfRule>
  </conditionalFormatting>
  <conditionalFormatting sqref="C55">
    <cfRule type="cellIs" dxfId="0" priority="151" operator="equal">
      <formula>0</formula>
    </cfRule>
  </conditionalFormatting>
  <conditionalFormatting sqref="M55">
    <cfRule type="cellIs" dxfId="0" priority="149" operator="equal">
      <formula>0</formula>
    </cfRule>
  </conditionalFormatting>
  <conditionalFormatting sqref="C56">
    <cfRule type="cellIs" dxfId="0" priority="355" operator="equal">
      <formula>0</formula>
    </cfRule>
  </conditionalFormatting>
  <conditionalFormatting sqref="D56:J56">
    <cfRule type="cellIs" dxfId="0" priority="356" operator="equal">
      <formula>0</formula>
    </cfRule>
  </conditionalFormatting>
  <conditionalFormatting sqref="M56">
    <cfRule type="cellIs" dxfId="0" priority="357" operator="equal">
      <formula>0</formula>
    </cfRule>
  </conditionalFormatting>
  <conditionalFormatting sqref="N56:T56">
    <cfRule type="cellIs" dxfId="0" priority="358" operator="equal">
      <formula>0</formula>
    </cfRule>
  </conditionalFormatting>
  <conditionalFormatting sqref="C57">
    <cfRule type="cellIs" dxfId="0" priority="147" operator="equal">
      <formula>0</formula>
    </cfRule>
  </conditionalFormatting>
  <conditionalFormatting sqref="M57">
    <cfRule type="cellIs" dxfId="0" priority="145" operator="equal">
      <formula>0</formula>
    </cfRule>
  </conditionalFormatting>
  <conditionalFormatting sqref="C58">
    <cfRule type="cellIs" dxfId="0" priority="143" operator="equal">
      <formula>0</formula>
    </cfRule>
  </conditionalFormatting>
  <conditionalFormatting sqref="M58">
    <cfRule type="cellIs" dxfId="0" priority="141" operator="equal">
      <formula>0</formula>
    </cfRule>
  </conditionalFormatting>
  <conditionalFormatting sqref="U59">
    <cfRule type="cellIs" dxfId="0" priority="434" operator="equal">
      <formula>0</formula>
    </cfRule>
  </conditionalFormatting>
  <conditionalFormatting sqref="L61">
    <cfRule type="cellIs" dxfId="0" priority="635" operator="equal">
      <formula>0</formula>
    </cfRule>
  </conditionalFormatting>
  <conditionalFormatting sqref="B62">
    <cfRule type="cellIs" dxfId="0" priority="637" operator="equal">
      <formula>0</formula>
    </cfRule>
  </conditionalFormatting>
  <conditionalFormatting sqref="L62">
    <cfRule type="cellIs" dxfId="0" priority="636" operator="equal">
      <formula>0</formula>
    </cfRule>
  </conditionalFormatting>
  <conditionalFormatting sqref="C63">
    <cfRule type="cellIs" dxfId="0" priority="351" operator="equal">
      <formula>0</formula>
    </cfRule>
  </conditionalFormatting>
  <conditionalFormatting sqref="D63:J63">
    <cfRule type="cellIs" dxfId="0" priority="352" operator="equal">
      <formula>0</formula>
    </cfRule>
  </conditionalFormatting>
  <conditionalFormatting sqref="M63">
    <cfRule type="cellIs" dxfId="0" priority="353" operator="equal">
      <formula>0</formula>
    </cfRule>
  </conditionalFormatting>
  <conditionalFormatting sqref="N63:T63">
    <cfRule type="cellIs" dxfId="0" priority="354" operator="equal">
      <formula>0</formula>
    </cfRule>
  </conditionalFormatting>
  <conditionalFormatting sqref="C64">
    <cfRule type="cellIs" dxfId="0" priority="139" operator="equal">
      <formula>0</formula>
    </cfRule>
  </conditionalFormatting>
  <conditionalFormatting sqref="M64">
    <cfRule type="cellIs" dxfId="0" priority="137" operator="equal">
      <formula>0</formula>
    </cfRule>
  </conditionalFormatting>
  <conditionalFormatting sqref="C65">
    <cfRule type="cellIs" dxfId="0" priority="135" operator="equal">
      <formula>0</formula>
    </cfRule>
  </conditionalFormatting>
  <conditionalFormatting sqref="M65">
    <cfRule type="cellIs" dxfId="0" priority="133" operator="equal">
      <formula>0</formula>
    </cfRule>
  </conditionalFormatting>
  <conditionalFormatting sqref="C66">
    <cfRule type="cellIs" dxfId="0" priority="347" operator="equal">
      <formula>0</formula>
    </cfRule>
  </conditionalFormatting>
  <conditionalFormatting sqref="D66:J66">
    <cfRule type="cellIs" dxfId="0" priority="348" operator="equal">
      <formula>0</formula>
    </cfRule>
  </conditionalFormatting>
  <conditionalFormatting sqref="M66">
    <cfRule type="cellIs" dxfId="0" priority="349" operator="equal">
      <formula>0</formula>
    </cfRule>
  </conditionalFormatting>
  <conditionalFormatting sqref="N66:T66">
    <cfRule type="cellIs" dxfId="0" priority="350" operator="equal">
      <formula>0</formula>
    </cfRule>
  </conditionalFormatting>
  <conditionalFormatting sqref="C67">
    <cfRule type="cellIs" dxfId="0" priority="343" operator="equal">
      <formula>0</formula>
    </cfRule>
  </conditionalFormatting>
  <conditionalFormatting sqref="D67:J67">
    <cfRule type="cellIs" dxfId="0" priority="344" operator="equal">
      <formula>0</formula>
    </cfRule>
  </conditionalFormatting>
  <conditionalFormatting sqref="M67">
    <cfRule type="cellIs" dxfId="0" priority="345" operator="equal">
      <formula>0</formula>
    </cfRule>
  </conditionalFormatting>
  <conditionalFormatting sqref="N67:T67">
    <cfRule type="cellIs" dxfId="0" priority="346" operator="equal">
      <formula>0</formula>
    </cfRule>
  </conditionalFormatting>
  <conditionalFormatting sqref="C68">
    <cfRule type="cellIs" dxfId="0" priority="339" operator="equal">
      <formula>0</formula>
    </cfRule>
  </conditionalFormatting>
  <conditionalFormatting sqref="D68:J68">
    <cfRule type="cellIs" dxfId="0" priority="340" operator="equal">
      <formula>0</formula>
    </cfRule>
  </conditionalFormatting>
  <conditionalFormatting sqref="M68">
    <cfRule type="cellIs" dxfId="0" priority="341" operator="equal">
      <formula>0</formula>
    </cfRule>
  </conditionalFormatting>
  <conditionalFormatting sqref="N68:T68">
    <cfRule type="cellIs" dxfId="0" priority="342" operator="equal">
      <formula>0</formula>
    </cfRule>
  </conditionalFormatting>
  <conditionalFormatting sqref="C69">
    <cfRule type="cellIs" dxfId="0" priority="131" operator="equal">
      <formula>0</formula>
    </cfRule>
  </conditionalFormatting>
  <conditionalFormatting sqref="M69">
    <cfRule type="cellIs" dxfId="0" priority="129" operator="equal">
      <formula>0</formula>
    </cfRule>
  </conditionalFormatting>
  <conditionalFormatting sqref="C70">
    <cfRule type="cellIs" dxfId="0" priority="127" operator="equal">
      <formula>0</formula>
    </cfRule>
  </conditionalFormatting>
  <conditionalFormatting sqref="M70">
    <cfRule type="cellIs" dxfId="0" priority="125" operator="equal">
      <formula>0</formula>
    </cfRule>
  </conditionalFormatting>
  <conditionalFormatting sqref="C71">
    <cfRule type="cellIs" dxfId="0" priority="123" operator="equal">
      <formula>0</formula>
    </cfRule>
  </conditionalFormatting>
  <conditionalFormatting sqref="M71">
    <cfRule type="cellIs" dxfId="0" priority="121" operator="equal">
      <formula>0</formula>
    </cfRule>
  </conditionalFormatting>
  <conditionalFormatting sqref="C72">
    <cfRule type="cellIs" dxfId="0" priority="119" operator="equal">
      <formula>0</formula>
    </cfRule>
  </conditionalFormatting>
  <conditionalFormatting sqref="M72">
    <cfRule type="cellIs" dxfId="0" priority="117" operator="equal">
      <formula>0</formula>
    </cfRule>
  </conditionalFormatting>
  <conditionalFormatting sqref="C73">
    <cfRule type="cellIs" dxfId="0" priority="115" operator="equal">
      <formula>0</formula>
    </cfRule>
  </conditionalFormatting>
  <conditionalFormatting sqref="M73">
    <cfRule type="cellIs" dxfId="0" priority="113" operator="equal">
      <formula>0</formula>
    </cfRule>
  </conditionalFormatting>
  <conditionalFormatting sqref="C74">
    <cfRule type="cellIs" dxfId="0" priority="111" operator="equal">
      <formula>0</formula>
    </cfRule>
  </conditionalFormatting>
  <conditionalFormatting sqref="M74">
    <cfRule type="cellIs" dxfId="0" priority="109" operator="equal">
      <formula>0</formula>
    </cfRule>
  </conditionalFormatting>
  <conditionalFormatting sqref="C75">
    <cfRule type="cellIs" dxfId="0" priority="107" operator="equal">
      <formula>0</formula>
    </cfRule>
  </conditionalFormatting>
  <conditionalFormatting sqref="M75">
    <cfRule type="cellIs" dxfId="0" priority="105" operator="equal">
      <formula>0</formula>
    </cfRule>
  </conditionalFormatting>
  <conditionalFormatting sqref="C76">
    <cfRule type="cellIs" dxfId="0" priority="103" operator="equal">
      <formula>0</formula>
    </cfRule>
  </conditionalFormatting>
  <conditionalFormatting sqref="M76">
    <cfRule type="cellIs" dxfId="0" priority="101" operator="equal">
      <formula>0</formula>
    </cfRule>
  </conditionalFormatting>
  <conditionalFormatting sqref="C77">
    <cfRule type="cellIs" dxfId="0" priority="99" operator="equal">
      <formula>0</formula>
    </cfRule>
  </conditionalFormatting>
  <conditionalFormatting sqref="M77">
    <cfRule type="cellIs" dxfId="0" priority="97" operator="equal">
      <formula>0</formula>
    </cfRule>
  </conditionalFormatting>
  <conditionalFormatting sqref="C78">
    <cfRule type="cellIs" dxfId="0" priority="95" operator="equal">
      <formula>0</formula>
    </cfRule>
  </conditionalFormatting>
  <conditionalFormatting sqref="M78">
    <cfRule type="cellIs" dxfId="0" priority="93" operator="equal">
      <formula>0</formula>
    </cfRule>
  </conditionalFormatting>
  <conditionalFormatting sqref="C79">
    <cfRule type="cellIs" dxfId="0" priority="335" operator="equal">
      <formula>0</formula>
    </cfRule>
  </conditionalFormatting>
  <conditionalFormatting sqref="D79:J79">
    <cfRule type="cellIs" dxfId="0" priority="336" operator="equal">
      <formula>0</formula>
    </cfRule>
  </conditionalFormatting>
  <conditionalFormatting sqref="M79">
    <cfRule type="cellIs" dxfId="0" priority="337" operator="equal">
      <formula>0</formula>
    </cfRule>
  </conditionalFormatting>
  <conditionalFormatting sqref="N79:T79">
    <cfRule type="cellIs" dxfId="0" priority="338" operator="equal">
      <formula>0</formula>
    </cfRule>
  </conditionalFormatting>
  <conditionalFormatting sqref="C80">
    <cfRule type="cellIs" dxfId="0" priority="91" operator="equal">
      <formula>0</formula>
    </cfRule>
  </conditionalFormatting>
  <conditionalFormatting sqref="M80">
    <cfRule type="cellIs" dxfId="0" priority="89" operator="equal">
      <formula>0</formula>
    </cfRule>
  </conditionalFormatting>
  <conditionalFormatting sqref="C81">
    <cfRule type="cellIs" dxfId="0" priority="87" operator="equal">
      <formula>0</formula>
    </cfRule>
  </conditionalFormatting>
  <conditionalFormatting sqref="M81">
    <cfRule type="cellIs" dxfId="0" priority="85" operator="equal">
      <formula>0</formula>
    </cfRule>
  </conditionalFormatting>
  <conditionalFormatting sqref="C82">
    <cfRule type="cellIs" dxfId="0" priority="83" operator="equal">
      <formula>0</formula>
    </cfRule>
  </conditionalFormatting>
  <conditionalFormatting sqref="M82">
    <cfRule type="cellIs" dxfId="0" priority="81" operator="equal">
      <formula>0</formula>
    </cfRule>
  </conditionalFormatting>
  <conditionalFormatting sqref="C83">
    <cfRule type="cellIs" dxfId="0" priority="79" operator="equal">
      <formula>0</formula>
    </cfRule>
  </conditionalFormatting>
  <conditionalFormatting sqref="M83">
    <cfRule type="cellIs" dxfId="0" priority="77" operator="equal">
      <formula>0</formula>
    </cfRule>
  </conditionalFormatting>
  <conditionalFormatting sqref="C84">
    <cfRule type="cellIs" dxfId="0" priority="75" operator="equal">
      <formula>0</formula>
    </cfRule>
  </conditionalFormatting>
  <conditionalFormatting sqref="M84">
    <cfRule type="cellIs" dxfId="0" priority="73" operator="equal">
      <formula>0</formula>
    </cfRule>
  </conditionalFormatting>
  <conditionalFormatting sqref="C85">
    <cfRule type="cellIs" dxfId="0" priority="71" operator="equal">
      <formula>0</formula>
    </cfRule>
  </conditionalFormatting>
  <conditionalFormatting sqref="M85">
    <cfRule type="cellIs" dxfId="0" priority="69" operator="equal">
      <formula>0</formula>
    </cfRule>
  </conditionalFormatting>
  <conditionalFormatting sqref="C86">
    <cfRule type="cellIs" dxfId="0" priority="67" operator="equal">
      <formula>0</formula>
    </cfRule>
  </conditionalFormatting>
  <conditionalFormatting sqref="M86">
    <cfRule type="cellIs" dxfId="0" priority="65" operator="equal">
      <formula>0</formula>
    </cfRule>
  </conditionalFormatting>
  <conditionalFormatting sqref="C87">
    <cfRule type="cellIs" dxfId="0" priority="63" operator="equal">
      <formula>0</formula>
    </cfRule>
  </conditionalFormatting>
  <conditionalFormatting sqref="M87">
    <cfRule type="cellIs" dxfId="0" priority="61" operator="equal">
      <formula>0</formula>
    </cfRule>
  </conditionalFormatting>
  <conditionalFormatting sqref="C88">
    <cfRule type="cellIs" dxfId="0" priority="331" operator="equal">
      <formula>0</formula>
    </cfRule>
  </conditionalFormatting>
  <conditionalFormatting sqref="D88:J88">
    <cfRule type="cellIs" dxfId="0" priority="332" operator="equal">
      <formula>0</formula>
    </cfRule>
  </conditionalFormatting>
  <conditionalFormatting sqref="M88">
    <cfRule type="cellIs" dxfId="0" priority="333" operator="equal">
      <formula>0</formula>
    </cfRule>
  </conditionalFormatting>
  <conditionalFormatting sqref="N88:T88">
    <cfRule type="cellIs" dxfId="0" priority="334" operator="equal">
      <formula>0</formula>
    </cfRule>
  </conditionalFormatting>
  <conditionalFormatting sqref="C89">
    <cfRule type="cellIs" dxfId="0" priority="327" operator="equal">
      <formula>0</formula>
    </cfRule>
  </conditionalFormatting>
  <conditionalFormatting sqref="D89:J89">
    <cfRule type="cellIs" dxfId="0" priority="328" operator="equal">
      <formula>0</formula>
    </cfRule>
  </conditionalFormatting>
  <conditionalFormatting sqref="M89">
    <cfRule type="cellIs" dxfId="0" priority="329" operator="equal">
      <formula>0</formula>
    </cfRule>
  </conditionalFormatting>
  <conditionalFormatting sqref="N89:T89">
    <cfRule type="cellIs" dxfId="0" priority="330" operator="equal">
      <formula>0</formula>
    </cfRule>
  </conditionalFormatting>
  <conditionalFormatting sqref="C90">
    <cfRule type="cellIs" dxfId="0" priority="59" operator="equal">
      <formula>0</formula>
    </cfRule>
  </conditionalFormatting>
  <conditionalFormatting sqref="M90">
    <cfRule type="cellIs" dxfId="0" priority="57" operator="equal">
      <formula>0</formula>
    </cfRule>
  </conditionalFormatting>
  <conditionalFormatting sqref="C91">
    <cfRule type="cellIs" dxfId="0" priority="55" operator="equal">
      <formula>0</formula>
    </cfRule>
  </conditionalFormatting>
  <conditionalFormatting sqref="M91">
    <cfRule type="cellIs" dxfId="0" priority="53" operator="equal">
      <formula>0</formula>
    </cfRule>
  </conditionalFormatting>
  <conditionalFormatting sqref="C92">
    <cfRule type="cellIs" dxfId="0" priority="51" operator="equal">
      <formula>0</formula>
    </cfRule>
  </conditionalFormatting>
  <conditionalFormatting sqref="M92">
    <cfRule type="cellIs" dxfId="0" priority="49" operator="equal">
      <formula>0</formula>
    </cfRule>
  </conditionalFormatting>
  <conditionalFormatting sqref="C93">
    <cfRule type="cellIs" dxfId="0" priority="47" operator="equal">
      <formula>0</formula>
    </cfRule>
  </conditionalFormatting>
  <conditionalFormatting sqref="M93">
    <cfRule type="cellIs" dxfId="0" priority="45" operator="equal">
      <formula>0</formula>
    </cfRule>
  </conditionalFormatting>
  <conditionalFormatting sqref="C94">
    <cfRule type="cellIs" dxfId="0" priority="323" operator="equal">
      <formula>0</formula>
    </cfRule>
  </conditionalFormatting>
  <conditionalFormatting sqref="D94:J94">
    <cfRule type="cellIs" dxfId="0" priority="324" operator="equal">
      <formula>0</formula>
    </cfRule>
  </conditionalFormatting>
  <conditionalFormatting sqref="M94">
    <cfRule type="cellIs" dxfId="0" priority="325" operator="equal">
      <formula>0</formula>
    </cfRule>
  </conditionalFormatting>
  <conditionalFormatting sqref="N94:T94">
    <cfRule type="cellIs" dxfId="0" priority="326" operator="equal">
      <formula>0</formula>
    </cfRule>
  </conditionalFormatting>
  <conditionalFormatting sqref="C95">
    <cfRule type="cellIs" dxfId="0" priority="43" operator="equal">
      <formula>0</formula>
    </cfRule>
  </conditionalFormatting>
  <conditionalFormatting sqref="M95">
    <cfRule type="cellIs" dxfId="0" priority="41" operator="equal">
      <formula>0</formula>
    </cfRule>
  </conditionalFormatting>
  <conditionalFormatting sqref="C96">
    <cfRule type="cellIs" dxfId="0" priority="39" operator="equal">
      <formula>0</formula>
    </cfRule>
  </conditionalFormatting>
  <conditionalFormatting sqref="M96">
    <cfRule type="cellIs" dxfId="0" priority="37" operator="equal">
      <formula>0</formula>
    </cfRule>
  </conditionalFormatting>
  <conditionalFormatting sqref="C97">
    <cfRule type="cellIs" dxfId="0" priority="319" operator="equal">
      <formula>0</formula>
    </cfRule>
  </conditionalFormatting>
  <conditionalFormatting sqref="D97:J97">
    <cfRule type="cellIs" dxfId="0" priority="320" operator="equal">
      <formula>0</formula>
    </cfRule>
  </conditionalFormatting>
  <conditionalFormatting sqref="M97">
    <cfRule type="cellIs" dxfId="0" priority="321" operator="equal">
      <formula>0</formula>
    </cfRule>
  </conditionalFormatting>
  <conditionalFormatting sqref="N97:T97">
    <cfRule type="cellIs" dxfId="0" priority="322" operator="equal">
      <formula>0</formula>
    </cfRule>
  </conditionalFormatting>
  <conditionalFormatting sqref="C98">
    <cfRule type="cellIs" dxfId="0" priority="315" operator="equal">
      <formula>0</formula>
    </cfRule>
  </conditionalFormatting>
  <conditionalFormatting sqref="D98:J98">
    <cfRule type="cellIs" dxfId="0" priority="316" operator="equal">
      <formula>0</formula>
    </cfRule>
  </conditionalFormatting>
  <conditionalFormatting sqref="M98">
    <cfRule type="cellIs" dxfId="0" priority="317" operator="equal">
      <formula>0</formula>
    </cfRule>
  </conditionalFormatting>
  <conditionalFormatting sqref="N98:T98">
    <cfRule type="cellIs" dxfId="0" priority="318" operator="equal">
      <formula>0</formula>
    </cfRule>
  </conditionalFormatting>
  <conditionalFormatting sqref="C99">
    <cfRule type="cellIs" dxfId="0" priority="311" operator="equal">
      <formula>0</formula>
    </cfRule>
  </conditionalFormatting>
  <conditionalFormatting sqref="D99:J99">
    <cfRule type="cellIs" dxfId="0" priority="312" operator="equal">
      <formula>0</formula>
    </cfRule>
  </conditionalFormatting>
  <conditionalFormatting sqref="M99">
    <cfRule type="cellIs" dxfId="0" priority="313" operator="equal">
      <formula>0</formula>
    </cfRule>
  </conditionalFormatting>
  <conditionalFormatting sqref="N99:T99">
    <cfRule type="cellIs" dxfId="0" priority="314" operator="equal">
      <formula>0</formula>
    </cfRule>
  </conditionalFormatting>
  <conditionalFormatting sqref="C100">
    <cfRule type="cellIs" dxfId="0" priority="307" operator="equal">
      <formula>0</formula>
    </cfRule>
  </conditionalFormatting>
  <conditionalFormatting sqref="D100:J100">
    <cfRule type="cellIs" dxfId="0" priority="308" operator="equal">
      <formula>0</formula>
    </cfRule>
  </conditionalFormatting>
  <conditionalFormatting sqref="M100">
    <cfRule type="cellIs" dxfId="0" priority="309" operator="equal">
      <formula>0</formula>
    </cfRule>
  </conditionalFormatting>
  <conditionalFormatting sqref="N100:T100">
    <cfRule type="cellIs" dxfId="0" priority="310" operator="equal">
      <formula>0</formula>
    </cfRule>
  </conditionalFormatting>
  <conditionalFormatting sqref="C101">
    <cfRule type="cellIs" dxfId="0" priority="303" operator="equal">
      <formula>0</formula>
    </cfRule>
  </conditionalFormatting>
  <conditionalFormatting sqref="D101:J101">
    <cfRule type="cellIs" dxfId="0" priority="304" operator="equal">
      <formula>0</formula>
    </cfRule>
  </conditionalFormatting>
  <conditionalFormatting sqref="M101">
    <cfRule type="cellIs" dxfId="0" priority="305" operator="equal">
      <formula>0</formula>
    </cfRule>
  </conditionalFormatting>
  <conditionalFormatting sqref="N101:T101">
    <cfRule type="cellIs" dxfId="0" priority="306" operator="equal">
      <formula>0</formula>
    </cfRule>
  </conditionalFormatting>
  <conditionalFormatting sqref="C102">
    <cfRule type="cellIs" dxfId="0" priority="299" operator="equal">
      <formula>0</formula>
    </cfRule>
  </conditionalFormatting>
  <conditionalFormatting sqref="D102:J102">
    <cfRule type="cellIs" dxfId="0" priority="300" operator="equal">
      <formula>0</formula>
    </cfRule>
  </conditionalFormatting>
  <conditionalFormatting sqref="M102">
    <cfRule type="cellIs" dxfId="0" priority="301" operator="equal">
      <formula>0</formula>
    </cfRule>
  </conditionalFormatting>
  <conditionalFormatting sqref="N102:T102">
    <cfRule type="cellIs" dxfId="0" priority="302" operator="equal">
      <formula>0</formula>
    </cfRule>
  </conditionalFormatting>
  <conditionalFormatting sqref="C103">
    <cfRule type="cellIs" dxfId="0" priority="35" operator="equal">
      <formula>0</formula>
    </cfRule>
  </conditionalFormatting>
  <conditionalFormatting sqref="M103">
    <cfRule type="cellIs" dxfId="0" priority="33" operator="equal">
      <formula>0</formula>
    </cfRule>
  </conditionalFormatting>
  <conditionalFormatting sqref="C104">
    <cfRule type="cellIs" dxfId="0" priority="31" operator="equal">
      <formula>0</formula>
    </cfRule>
  </conditionalFormatting>
  <conditionalFormatting sqref="M104">
    <cfRule type="cellIs" dxfId="0" priority="29" operator="equal">
      <formula>0</formula>
    </cfRule>
  </conditionalFormatting>
  <conditionalFormatting sqref="C105">
    <cfRule type="cellIs" dxfId="0" priority="295" operator="equal">
      <formula>0</formula>
    </cfRule>
  </conditionalFormatting>
  <conditionalFormatting sqref="D105:J105">
    <cfRule type="cellIs" dxfId="0" priority="296" operator="equal">
      <formula>0</formula>
    </cfRule>
  </conditionalFormatting>
  <conditionalFormatting sqref="M105">
    <cfRule type="cellIs" dxfId="0" priority="297" operator="equal">
      <formula>0</formula>
    </cfRule>
  </conditionalFormatting>
  <conditionalFormatting sqref="N105:T105">
    <cfRule type="cellIs" dxfId="0" priority="298" operator="equal">
      <formula>0</formula>
    </cfRule>
  </conditionalFormatting>
  <conditionalFormatting sqref="C106">
    <cfRule type="cellIs" dxfId="0" priority="291" operator="equal">
      <formula>0</formula>
    </cfRule>
  </conditionalFormatting>
  <conditionalFormatting sqref="D106:J106">
    <cfRule type="cellIs" dxfId="0" priority="292" operator="equal">
      <formula>0</formula>
    </cfRule>
  </conditionalFormatting>
  <conditionalFormatting sqref="M106">
    <cfRule type="cellIs" dxfId="0" priority="293" operator="equal">
      <formula>0</formula>
    </cfRule>
  </conditionalFormatting>
  <conditionalFormatting sqref="N106:T106">
    <cfRule type="cellIs" dxfId="0" priority="294" operator="equal">
      <formula>0</formula>
    </cfRule>
  </conditionalFormatting>
  <conditionalFormatting sqref="C107">
    <cfRule type="cellIs" dxfId="0" priority="287" operator="equal">
      <formula>0</formula>
    </cfRule>
  </conditionalFormatting>
  <conditionalFormatting sqref="D107:J107">
    <cfRule type="cellIs" dxfId="0" priority="288" operator="equal">
      <formula>0</formula>
    </cfRule>
  </conditionalFormatting>
  <conditionalFormatting sqref="M107">
    <cfRule type="cellIs" dxfId="0" priority="289" operator="equal">
      <formula>0</formula>
    </cfRule>
  </conditionalFormatting>
  <conditionalFormatting sqref="N107:T107">
    <cfRule type="cellIs" dxfId="0" priority="290" operator="equal">
      <formula>0</formula>
    </cfRule>
  </conditionalFormatting>
  <conditionalFormatting sqref="C108">
    <cfRule type="cellIs" dxfId="0" priority="27" operator="equal">
      <formula>0</formula>
    </cfRule>
  </conditionalFormatting>
  <conditionalFormatting sqref="M108">
    <cfRule type="cellIs" dxfId="0" priority="25" operator="equal">
      <formula>0</formula>
    </cfRule>
  </conditionalFormatting>
  <conditionalFormatting sqref="C109">
    <cfRule type="cellIs" dxfId="0" priority="23" operator="equal">
      <formula>0</formula>
    </cfRule>
  </conditionalFormatting>
  <conditionalFormatting sqref="M109">
    <cfRule type="cellIs" dxfId="0" priority="21" operator="equal">
      <formula>0</formula>
    </cfRule>
  </conditionalFormatting>
  <conditionalFormatting sqref="C110">
    <cfRule type="cellIs" dxfId="0" priority="283" operator="equal">
      <formula>0</formula>
    </cfRule>
  </conditionalFormatting>
  <conditionalFormatting sqref="D110:J110">
    <cfRule type="cellIs" dxfId="0" priority="284" operator="equal">
      <formula>0</formula>
    </cfRule>
  </conditionalFormatting>
  <conditionalFormatting sqref="M110">
    <cfRule type="cellIs" dxfId="0" priority="285" operator="equal">
      <formula>0</formula>
    </cfRule>
  </conditionalFormatting>
  <conditionalFormatting sqref="N110:T110">
    <cfRule type="cellIs" dxfId="0" priority="286" operator="equal">
      <formula>0</formula>
    </cfRule>
  </conditionalFormatting>
  <conditionalFormatting sqref="C111">
    <cfRule type="cellIs" dxfId="0" priority="279" operator="equal">
      <formula>0</formula>
    </cfRule>
  </conditionalFormatting>
  <conditionalFormatting sqref="D111:J111">
    <cfRule type="cellIs" dxfId="0" priority="280" operator="equal">
      <formula>0</formula>
    </cfRule>
  </conditionalFormatting>
  <conditionalFormatting sqref="M111">
    <cfRule type="cellIs" dxfId="0" priority="281" operator="equal">
      <formula>0</formula>
    </cfRule>
  </conditionalFormatting>
  <conditionalFormatting sqref="N111:T111">
    <cfRule type="cellIs" dxfId="0" priority="282" operator="equal">
      <formula>0</formula>
    </cfRule>
  </conditionalFormatting>
  <conditionalFormatting sqref="C112">
    <cfRule type="cellIs" dxfId="0" priority="19" operator="equal">
      <formula>0</formula>
    </cfRule>
  </conditionalFormatting>
  <conditionalFormatting sqref="M112">
    <cfRule type="cellIs" dxfId="0" priority="17" operator="equal">
      <formula>0</formula>
    </cfRule>
  </conditionalFormatting>
  <conditionalFormatting sqref="C113">
    <cfRule type="cellIs" dxfId="0" priority="15" operator="equal">
      <formula>0</formula>
    </cfRule>
  </conditionalFormatting>
  <conditionalFormatting sqref="M113">
    <cfRule type="cellIs" dxfId="0" priority="13" operator="equal">
      <formula>0</formula>
    </cfRule>
  </conditionalFormatting>
  <conditionalFormatting sqref="C114">
    <cfRule type="cellIs" dxfId="0" priority="11" operator="equal">
      <formula>0</formula>
    </cfRule>
  </conditionalFormatting>
  <conditionalFormatting sqref="M114">
    <cfRule type="cellIs" dxfId="0" priority="9" operator="equal">
      <formula>0</formula>
    </cfRule>
  </conditionalFormatting>
  <conditionalFormatting sqref="C115">
    <cfRule type="cellIs" dxfId="0" priority="275" operator="equal">
      <formula>0</formula>
    </cfRule>
  </conditionalFormatting>
  <conditionalFormatting sqref="D115:J115">
    <cfRule type="cellIs" dxfId="0" priority="276" operator="equal">
      <formula>0</formula>
    </cfRule>
  </conditionalFormatting>
  <conditionalFormatting sqref="M115">
    <cfRule type="cellIs" dxfId="0" priority="277" operator="equal">
      <formula>0</formula>
    </cfRule>
  </conditionalFormatting>
  <conditionalFormatting sqref="N115:T115">
    <cfRule type="cellIs" dxfId="0" priority="278" operator="equal">
      <formula>0</formula>
    </cfRule>
  </conditionalFormatting>
  <conditionalFormatting sqref="C116">
    <cfRule type="cellIs" dxfId="0" priority="7" operator="equal">
      <formula>0</formula>
    </cfRule>
  </conditionalFormatting>
  <conditionalFormatting sqref="M116">
    <cfRule type="cellIs" dxfId="0" priority="5" operator="equal">
      <formula>0</formula>
    </cfRule>
  </conditionalFormatting>
  <conditionalFormatting sqref="C117">
    <cfRule type="cellIs" dxfId="0" priority="3" operator="equal">
      <formula>0</formula>
    </cfRule>
  </conditionalFormatting>
  <conditionalFormatting sqref="M117">
    <cfRule type="cellIs" dxfId="0" priority="1" operator="equal">
      <formula>0</formula>
    </cfRule>
  </conditionalFormatting>
  <conditionalFormatting sqref="C5:C6">
    <cfRule type="cellIs" dxfId="0" priority="638" operator="equal">
      <formula>0</formula>
    </cfRule>
  </conditionalFormatting>
  <conditionalFormatting sqref="M5:M6">
    <cfRule type="cellIs" dxfId="0" priority="273" operator="equal">
      <formula>0</formula>
    </cfRule>
  </conditionalFormatting>
  <conditionalFormatting sqref="L2 B5:B6 D5:J6 C62 M62 M59:T59 C59:K59">
    <cfRule type="cellIs" dxfId="0" priority="643" operator="equal">
      <formula>0</formula>
    </cfRule>
  </conditionalFormatting>
  <conditionalFormatting sqref="L5:L6 N5:T6">
    <cfRule type="cellIs" dxfId="0" priority="274" operator="equal">
      <formula>0</formula>
    </cfRule>
  </conditionalFormatting>
  <conditionalFormatting sqref="B10 D10:J10">
    <cfRule type="cellIs" dxfId="0" priority="272" operator="equal">
      <formula>0</formula>
    </cfRule>
  </conditionalFormatting>
  <conditionalFormatting sqref="L10 N10:T10">
    <cfRule type="cellIs" dxfId="0" priority="270" operator="equal">
      <formula>0</formula>
    </cfRule>
  </conditionalFormatting>
  <conditionalFormatting sqref="B11 D11:J11">
    <cfRule type="cellIs" dxfId="0" priority="268" operator="equal">
      <formula>0</formula>
    </cfRule>
  </conditionalFormatting>
  <conditionalFormatting sqref="L11 N11:T11">
    <cfRule type="cellIs" dxfId="0" priority="266" operator="equal">
      <formula>0</formula>
    </cfRule>
  </conditionalFormatting>
  <conditionalFormatting sqref="B12 D12:J12">
    <cfRule type="cellIs" dxfId="0" priority="264" operator="equal">
      <formula>0</formula>
    </cfRule>
  </conditionalFormatting>
  <conditionalFormatting sqref="L12 N12:T12">
    <cfRule type="cellIs" dxfId="0" priority="262" operator="equal">
      <formula>0</formula>
    </cfRule>
  </conditionalFormatting>
  <conditionalFormatting sqref="B13 D13:J13">
    <cfRule type="cellIs" dxfId="0" priority="260" operator="equal">
      <formula>0</formula>
    </cfRule>
  </conditionalFormatting>
  <conditionalFormatting sqref="L13 N13:T13">
    <cfRule type="cellIs" dxfId="0" priority="258" operator="equal">
      <formula>0</formula>
    </cfRule>
  </conditionalFormatting>
  <conditionalFormatting sqref="B14 D14:J14">
    <cfRule type="cellIs" dxfId="0" priority="256" operator="equal">
      <formula>0</formula>
    </cfRule>
  </conditionalFormatting>
  <conditionalFormatting sqref="L14 N14:T14">
    <cfRule type="cellIs" dxfId="0" priority="254" operator="equal">
      <formula>0</formula>
    </cfRule>
  </conditionalFormatting>
  <conditionalFormatting sqref="B15 D15:J15">
    <cfRule type="cellIs" dxfId="0" priority="252" operator="equal">
      <formula>0</formula>
    </cfRule>
  </conditionalFormatting>
  <conditionalFormatting sqref="L15 N15:T15">
    <cfRule type="cellIs" dxfId="0" priority="250" operator="equal">
      <formula>0</formula>
    </cfRule>
  </conditionalFormatting>
  <conditionalFormatting sqref="B16 D16:J16">
    <cfRule type="cellIs" dxfId="0" priority="248" operator="equal">
      <formula>0</formula>
    </cfRule>
  </conditionalFormatting>
  <conditionalFormatting sqref="L16 N16:T16">
    <cfRule type="cellIs" dxfId="0" priority="246" operator="equal">
      <formula>0</formula>
    </cfRule>
  </conditionalFormatting>
  <conditionalFormatting sqref="B17 D17:J17">
    <cfRule type="cellIs" dxfId="0" priority="244" operator="equal">
      <formula>0</formula>
    </cfRule>
  </conditionalFormatting>
  <conditionalFormatting sqref="L17 N17:T17">
    <cfRule type="cellIs" dxfId="0" priority="242" operator="equal">
      <formula>0</formula>
    </cfRule>
  </conditionalFormatting>
  <conditionalFormatting sqref="B18 D18:J18">
    <cfRule type="cellIs" dxfId="0" priority="240" operator="equal">
      <formula>0</formula>
    </cfRule>
  </conditionalFormatting>
  <conditionalFormatting sqref="L18 N18:T18">
    <cfRule type="cellIs" dxfId="0" priority="238" operator="equal">
      <formula>0</formula>
    </cfRule>
  </conditionalFormatting>
  <conditionalFormatting sqref="B19 D19:J19">
    <cfRule type="cellIs" dxfId="0" priority="236" operator="equal">
      <formula>0</formula>
    </cfRule>
  </conditionalFormatting>
  <conditionalFormatting sqref="L19 N19:T19">
    <cfRule type="cellIs" dxfId="0" priority="234" operator="equal">
      <formula>0</formula>
    </cfRule>
  </conditionalFormatting>
  <conditionalFormatting sqref="B21 D21:J21">
    <cfRule type="cellIs" dxfId="0" priority="232" operator="equal">
      <formula>0</formula>
    </cfRule>
  </conditionalFormatting>
  <conditionalFormatting sqref="L21 N21:T21">
    <cfRule type="cellIs" dxfId="0" priority="230" operator="equal">
      <formula>0</formula>
    </cfRule>
  </conditionalFormatting>
  <conditionalFormatting sqref="B22 D22:J22">
    <cfRule type="cellIs" dxfId="0" priority="228" operator="equal">
      <formula>0</formula>
    </cfRule>
  </conditionalFormatting>
  <conditionalFormatting sqref="L22 N22:T22">
    <cfRule type="cellIs" dxfId="0" priority="226" operator="equal">
      <formula>0</formula>
    </cfRule>
  </conditionalFormatting>
  <conditionalFormatting sqref="B23 D23:J23">
    <cfRule type="cellIs" dxfId="0" priority="224" operator="equal">
      <formula>0</formula>
    </cfRule>
  </conditionalFormatting>
  <conditionalFormatting sqref="L23 N23:T23">
    <cfRule type="cellIs" dxfId="0" priority="222" operator="equal">
      <formula>0</formula>
    </cfRule>
  </conditionalFormatting>
  <conditionalFormatting sqref="B24 D24:J24">
    <cfRule type="cellIs" dxfId="0" priority="220" operator="equal">
      <formula>0</formula>
    </cfRule>
  </conditionalFormatting>
  <conditionalFormatting sqref="L24 N24:T24">
    <cfRule type="cellIs" dxfId="0" priority="218" operator="equal">
      <formula>0</formula>
    </cfRule>
  </conditionalFormatting>
  <conditionalFormatting sqref="B25 D25:J25">
    <cfRule type="cellIs" dxfId="0" priority="216" operator="equal">
      <formula>0</formula>
    </cfRule>
  </conditionalFormatting>
  <conditionalFormatting sqref="L25 N25:T25">
    <cfRule type="cellIs" dxfId="0" priority="214" operator="equal">
      <formula>0</formula>
    </cfRule>
  </conditionalFormatting>
  <conditionalFormatting sqref="B26 D26:J26">
    <cfRule type="cellIs" dxfId="0" priority="212" operator="equal">
      <formula>0</formula>
    </cfRule>
  </conditionalFormatting>
  <conditionalFormatting sqref="L26 N26:T26">
    <cfRule type="cellIs" dxfId="0" priority="210" operator="equal">
      <formula>0</formula>
    </cfRule>
  </conditionalFormatting>
  <conditionalFormatting sqref="B27 D27:J27">
    <cfRule type="cellIs" dxfId="0" priority="208" operator="equal">
      <formula>0</formula>
    </cfRule>
  </conditionalFormatting>
  <conditionalFormatting sqref="L27 N27:T27">
    <cfRule type="cellIs" dxfId="0" priority="206" operator="equal">
      <formula>0</formula>
    </cfRule>
  </conditionalFormatting>
  <conditionalFormatting sqref="B28 D28:J28">
    <cfRule type="cellIs" dxfId="0" priority="204" operator="equal">
      <formula>0</formula>
    </cfRule>
  </conditionalFormatting>
  <conditionalFormatting sqref="L28 N28:T28">
    <cfRule type="cellIs" dxfId="0" priority="202" operator="equal">
      <formula>0</formula>
    </cfRule>
  </conditionalFormatting>
  <conditionalFormatting sqref="B31 D31:J31">
    <cfRule type="cellIs" dxfId="0" priority="200" operator="equal">
      <formula>0</formula>
    </cfRule>
  </conditionalFormatting>
  <conditionalFormatting sqref="L31 N31:T31">
    <cfRule type="cellIs" dxfId="0" priority="198" operator="equal">
      <formula>0</formula>
    </cfRule>
  </conditionalFormatting>
  <conditionalFormatting sqref="B32 D32:J32">
    <cfRule type="cellIs" dxfId="0" priority="196" operator="equal">
      <formula>0</formula>
    </cfRule>
  </conditionalFormatting>
  <conditionalFormatting sqref="L32 N32:T32">
    <cfRule type="cellIs" dxfId="0" priority="194" operator="equal">
      <formula>0</formula>
    </cfRule>
  </conditionalFormatting>
  <conditionalFormatting sqref="B33 D33:J33">
    <cfRule type="cellIs" dxfId="0" priority="192" operator="equal">
      <formula>0</formula>
    </cfRule>
  </conditionalFormatting>
  <conditionalFormatting sqref="L33 N33:T33">
    <cfRule type="cellIs" dxfId="0" priority="190" operator="equal">
      <formula>0</formula>
    </cfRule>
  </conditionalFormatting>
  <conditionalFormatting sqref="B34 D34:J34">
    <cfRule type="cellIs" dxfId="0" priority="188" operator="equal">
      <formula>0</formula>
    </cfRule>
  </conditionalFormatting>
  <conditionalFormatting sqref="L34 N34:T34">
    <cfRule type="cellIs" dxfId="0" priority="186" operator="equal">
      <formula>0</formula>
    </cfRule>
  </conditionalFormatting>
  <conditionalFormatting sqref="B36 D36:J36">
    <cfRule type="cellIs" dxfId="0" priority="184" operator="equal">
      <formula>0</formula>
    </cfRule>
  </conditionalFormatting>
  <conditionalFormatting sqref="L36 N36:T36">
    <cfRule type="cellIs" dxfId="0" priority="182" operator="equal">
      <formula>0</formula>
    </cfRule>
  </conditionalFormatting>
  <conditionalFormatting sqref="B37 D37:J37">
    <cfRule type="cellIs" dxfId="0" priority="180" operator="equal">
      <formula>0</formula>
    </cfRule>
  </conditionalFormatting>
  <conditionalFormatting sqref="L37 N37:T37">
    <cfRule type="cellIs" dxfId="0" priority="178" operator="equal">
      <formula>0</formula>
    </cfRule>
  </conditionalFormatting>
  <conditionalFormatting sqref="B44 D44:J44">
    <cfRule type="cellIs" dxfId="0" priority="176" operator="equal">
      <formula>0</formula>
    </cfRule>
  </conditionalFormatting>
  <conditionalFormatting sqref="L44 N44:T44">
    <cfRule type="cellIs" dxfId="0" priority="174" operator="equal">
      <formula>0</formula>
    </cfRule>
  </conditionalFormatting>
  <conditionalFormatting sqref="B45 D45:J45">
    <cfRule type="cellIs" dxfId="0" priority="172" operator="equal">
      <formula>0</formula>
    </cfRule>
  </conditionalFormatting>
  <conditionalFormatting sqref="L45 N45:T45">
    <cfRule type="cellIs" dxfId="0" priority="170" operator="equal">
      <formula>0</formula>
    </cfRule>
  </conditionalFormatting>
  <conditionalFormatting sqref="B49 D49:J49">
    <cfRule type="cellIs" dxfId="0" priority="168" operator="equal">
      <formula>0</formula>
    </cfRule>
  </conditionalFormatting>
  <conditionalFormatting sqref="L49 N49:T49">
    <cfRule type="cellIs" dxfId="0" priority="166" operator="equal">
      <formula>0</formula>
    </cfRule>
  </conditionalFormatting>
  <conditionalFormatting sqref="B50 D50:J50">
    <cfRule type="cellIs" dxfId="0" priority="164" operator="equal">
      <formula>0</formula>
    </cfRule>
  </conditionalFormatting>
  <conditionalFormatting sqref="L50 N50:T50">
    <cfRule type="cellIs" dxfId="0" priority="162" operator="equal">
      <formula>0</formula>
    </cfRule>
  </conditionalFormatting>
  <conditionalFormatting sqref="B53 D53:J53">
    <cfRule type="cellIs" dxfId="0" priority="160" operator="equal">
      <formula>0</formula>
    </cfRule>
  </conditionalFormatting>
  <conditionalFormatting sqref="L53 N53:T53">
    <cfRule type="cellIs" dxfId="0" priority="158" operator="equal">
      <formula>0</formula>
    </cfRule>
  </conditionalFormatting>
  <conditionalFormatting sqref="B54 D54:J54">
    <cfRule type="cellIs" dxfId="0" priority="156" operator="equal">
      <formula>0</formula>
    </cfRule>
  </conditionalFormatting>
  <conditionalFormatting sqref="L54 N54:T54">
    <cfRule type="cellIs" dxfId="0" priority="154" operator="equal">
      <formula>0</formula>
    </cfRule>
  </conditionalFormatting>
  <conditionalFormatting sqref="B55 D55:J55">
    <cfRule type="cellIs" dxfId="0" priority="152" operator="equal">
      <formula>0</formula>
    </cfRule>
  </conditionalFormatting>
  <conditionalFormatting sqref="L55 N55:T55">
    <cfRule type="cellIs" dxfId="0" priority="150" operator="equal">
      <formula>0</formula>
    </cfRule>
  </conditionalFormatting>
  <conditionalFormatting sqref="B57 D57:J57">
    <cfRule type="cellIs" dxfId="0" priority="148" operator="equal">
      <formula>0</formula>
    </cfRule>
  </conditionalFormatting>
  <conditionalFormatting sqref="L57 N57:T57">
    <cfRule type="cellIs" dxfId="0" priority="146" operator="equal">
      <formula>0</formula>
    </cfRule>
  </conditionalFormatting>
  <conditionalFormatting sqref="B58 D58:J58">
    <cfRule type="cellIs" dxfId="0" priority="144" operator="equal">
      <formula>0</formula>
    </cfRule>
  </conditionalFormatting>
  <conditionalFormatting sqref="L58 N58:T58">
    <cfRule type="cellIs" dxfId="0" priority="142" operator="equal">
      <formula>0</formula>
    </cfRule>
  </conditionalFormatting>
  <conditionalFormatting sqref="B64 D64:J64">
    <cfRule type="cellIs" dxfId="0" priority="140" operator="equal">
      <formula>0</formula>
    </cfRule>
  </conditionalFormatting>
  <conditionalFormatting sqref="L64 N64:T64">
    <cfRule type="cellIs" dxfId="0" priority="138" operator="equal">
      <formula>0</formula>
    </cfRule>
  </conditionalFormatting>
  <conditionalFormatting sqref="B65 D65:J65">
    <cfRule type="cellIs" dxfId="0" priority="136" operator="equal">
      <formula>0</formula>
    </cfRule>
  </conditionalFormatting>
  <conditionalFormatting sqref="L65 N65:T65">
    <cfRule type="cellIs" dxfId="0" priority="134" operator="equal">
      <formula>0</formula>
    </cfRule>
  </conditionalFormatting>
  <conditionalFormatting sqref="B69 D69:J69">
    <cfRule type="cellIs" dxfId="0" priority="132" operator="equal">
      <formula>0</formula>
    </cfRule>
  </conditionalFormatting>
  <conditionalFormatting sqref="L69 N69:T69">
    <cfRule type="cellIs" dxfId="0" priority="130" operator="equal">
      <formula>0</formula>
    </cfRule>
  </conditionalFormatting>
  <conditionalFormatting sqref="B70 D70:J70">
    <cfRule type="cellIs" dxfId="0" priority="128" operator="equal">
      <formula>0</formula>
    </cfRule>
  </conditionalFormatting>
  <conditionalFormatting sqref="L70 N70:T70">
    <cfRule type="cellIs" dxfId="0" priority="126" operator="equal">
      <formula>0</formula>
    </cfRule>
  </conditionalFormatting>
  <conditionalFormatting sqref="B71 D71:J71">
    <cfRule type="cellIs" dxfId="0" priority="124" operator="equal">
      <formula>0</formula>
    </cfRule>
  </conditionalFormatting>
  <conditionalFormatting sqref="L71 N71:T71">
    <cfRule type="cellIs" dxfId="0" priority="122" operator="equal">
      <formula>0</formula>
    </cfRule>
  </conditionalFormatting>
  <conditionalFormatting sqref="B72 D72:J72">
    <cfRule type="cellIs" dxfId="0" priority="120" operator="equal">
      <formula>0</formula>
    </cfRule>
  </conditionalFormatting>
  <conditionalFormatting sqref="L72 N72:T72">
    <cfRule type="cellIs" dxfId="0" priority="118" operator="equal">
      <formula>0</formula>
    </cfRule>
  </conditionalFormatting>
  <conditionalFormatting sqref="B73 D73:J73">
    <cfRule type="cellIs" dxfId="0" priority="116" operator="equal">
      <formula>0</formula>
    </cfRule>
  </conditionalFormatting>
  <conditionalFormatting sqref="L73 N73:T73">
    <cfRule type="cellIs" dxfId="0" priority="114" operator="equal">
      <formula>0</formula>
    </cfRule>
  </conditionalFormatting>
  <conditionalFormatting sqref="B74 D74:J74">
    <cfRule type="cellIs" dxfId="0" priority="112" operator="equal">
      <formula>0</formula>
    </cfRule>
  </conditionalFormatting>
  <conditionalFormatting sqref="L74 N74:T74">
    <cfRule type="cellIs" dxfId="0" priority="110" operator="equal">
      <formula>0</formula>
    </cfRule>
  </conditionalFormatting>
  <conditionalFormatting sqref="B75 D75:J75">
    <cfRule type="cellIs" dxfId="0" priority="108" operator="equal">
      <formula>0</formula>
    </cfRule>
  </conditionalFormatting>
  <conditionalFormatting sqref="L75 N75:T75">
    <cfRule type="cellIs" dxfId="0" priority="106" operator="equal">
      <formula>0</formula>
    </cfRule>
  </conditionalFormatting>
  <conditionalFormatting sqref="B76 D76:J76">
    <cfRule type="cellIs" dxfId="0" priority="104" operator="equal">
      <formula>0</formula>
    </cfRule>
  </conditionalFormatting>
  <conditionalFormatting sqref="L76 N76:T76">
    <cfRule type="cellIs" dxfId="0" priority="102" operator="equal">
      <formula>0</formula>
    </cfRule>
  </conditionalFormatting>
  <conditionalFormatting sqref="B77 D77:J77">
    <cfRule type="cellIs" dxfId="0" priority="100" operator="equal">
      <formula>0</formula>
    </cfRule>
  </conditionalFormatting>
  <conditionalFormatting sqref="L77 N77:T77">
    <cfRule type="cellIs" dxfId="0" priority="98" operator="equal">
      <formula>0</formula>
    </cfRule>
  </conditionalFormatting>
  <conditionalFormatting sqref="B78 D78:J78">
    <cfRule type="cellIs" dxfId="0" priority="96" operator="equal">
      <formula>0</formula>
    </cfRule>
  </conditionalFormatting>
  <conditionalFormatting sqref="L78 N78:T78">
    <cfRule type="cellIs" dxfId="0" priority="94" operator="equal">
      <formula>0</formula>
    </cfRule>
  </conditionalFormatting>
  <conditionalFormatting sqref="B80 D80:J80">
    <cfRule type="cellIs" dxfId="0" priority="92" operator="equal">
      <formula>0</formula>
    </cfRule>
  </conditionalFormatting>
  <conditionalFormatting sqref="L80 N80:T80">
    <cfRule type="cellIs" dxfId="0" priority="90" operator="equal">
      <formula>0</formula>
    </cfRule>
  </conditionalFormatting>
  <conditionalFormatting sqref="B81 D81:J81">
    <cfRule type="cellIs" dxfId="0" priority="88" operator="equal">
      <formula>0</formula>
    </cfRule>
  </conditionalFormatting>
  <conditionalFormatting sqref="L81 N81:T81">
    <cfRule type="cellIs" dxfId="0" priority="86" operator="equal">
      <formula>0</formula>
    </cfRule>
  </conditionalFormatting>
  <conditionalFormatting sqref="B82 D82:J82">
    <cfRule type="cellIs" dxfId="0" priority="84" operator="equal">
      <formula>0</formula>
    </cfRule>
  </conditionalFormatting>
  <conditionalFormatting sqref="L82 N82:T82">
    <cfRule type="cellIs" dxfId="0" priority="82" operator="equal">
      <formula>0</formula>
    </cfRule>
  </conditionalFormatting>
  <conditionalFormatting sqref="B83 D83:J83">
    <cfRule type="cellIs" dxfId="0" priority="80" operator="equal">
      <formula>0</formula>
    </cfRule>
  </conditionalFormatting>
  <conditionalFormatting sqref="L83 N83:T83">
    <cfRule type="cellIs" dxfId="0" priority="78" operator="equal">
      <formula>0</formula>
    </cfRule>
  </conditionalFormatting>
  <conditionalFormatting sqref="B84 D84:J84">
    <cfRule type="cellIs" dxfId="0" priority="76" operator="equal">
      <formula>0</formula>
    </cfRule>
  </conditionalFormatting>
  <conditionalFormatting sqref="L84 N84:T84">
    <cfRule type="cellIs" dxfId="0" priority="74" operator="equal">
      <formula>0</formula>
    </cfRule>
  </conditionalFormatting>
  <conditionalFormatting sqref="B85 D85:J85">
    <cfRule type="cellIs" dxfId="0" priority="72" operator="equal">
      <formula>0</formula>
    </cfRule>
  </conditionalFormatting>
  <conditionalFormatting sqref="L85 N85:T85">
    <cfRule type="cellIs" dxfId="0" priority="70" operator="equal">
      <formula>0</formula>
    </cfRule>
  </conditionalFormatting>
  <conditionalFormatting sqref="B86 D86:J86">
    <cfRule type="cellIs" dxfId="0" priority="68" operator="equal">
      <formula>0</formula>
    </cfRule>
  </conditionalFormatting>
  <conditionalFormatting sqref="L86 N86:T86">
    <cfRule type="cellIs" dxfId="0" priority="66" operator="equal">
      <formula>0</formula>
    </cfRule>
  </conditionalFormatting>
  <conditionalFormatting sqref="B87 D87:J87">
    <cfRule type="cellIs" dxfId="0" priority="64" operator="equal">
      <formula>0</formula>
    </cfRule>
  </conditionalFormatting>
  <conditionalFormatting sqref="L87 N87:T87">
    <cfRule type="cellIs" dxfId="0" priority="62" operator="equal">
      <formula>0</formula>
    </cfRule>
  </conditionalFormatting>
  <conditionalFormatting sqref="B90 D90:J90">
    <cfRule type="cellIs" dxfId="0" priority="60" operator="equal">
      <formula>0</formula>
    </cfRule>
  </conditionalFormatting>
  <conditionalFormatting sqref="L90 N90:T90">
    <cfRule type="cellIs" dxfId="0" priority="58" operator="equal">
      <formula>0</formula>
    </cfRule>
  </conditionalFormatting>
  <conditionalFormatting sqref="B91 D91:J91">
    <cfRule type="cellIs" dxfId="0" priority="56" operator="equal">
      <formula>0</formula>
    </cfRule>
  </conditionalFormatting>
  <conditionalFormatting sqref="L91 N91:T91">
    <cfRule type="cellIs" dxfId="0" priority="54" operator="equal">
      <formula>0</formula>
    </cfRule>
  </conditionalFormatting>
  <conditionalFormatting sqref="B92 D92:J92">
    <cfRule type="cellIs" dxfId="0" priority="52" operator="equal">
      <formula>0</formula>
    </cfRule>
  </conditionalFormatting>
  <conditionalFormatting sqref="L92 N92:T92">
    <cfRule type="cellIs" dxfId="0" priority="50" operator="equal">
      <formula>0</formula>
    </cfRule>
  </conditionalFormatting>
  <conditionalFormatting sqref="B93 D93:J93">
    <cfRule type="cellIs" dxfId="0" priority="48" operator="equal">
      <formula>0</formula>
    </cfRule>
  </conditionalFormatting>
  <conditionalFormatting sqref="L93 N93:T93">
    <cfRule type="cellIs" dxfId="0" priority="46" operator="equal">
      <formula>0</formula>
    </cfRule>
  </conditionalFormatting>
  <conditionalFormatting sqref="B95 D95:J95">
    <cfRule type="cellIs" dxfId="0" priority="44" operator="equal">
      <formula>0</formula>
    </cfRule>
  </conditionalFormatting>
  <conditionalFormatting sqref="L95 N95:T95">
    <cfRule type="cellIs" dxfId="0" priority="42" operator="equal">
      <formula>0</formula>
    </cfRule>
  </conditionalFormatting>
  <conditionalFormatting sqref="B96 D96:J96">
    <cfRule type="cellIs" dxfId="0" priority="40" operator="equal">
      <formula>0</formula>
    </cfRule>
  </conditionalFormatting>
  <conditionalFormatting sqref="L96 N96:T96">
    <cfRule type="cellIs" dxfId="0" priority="38" operator="equal">
      <formula>0</formula>
    </cfRule>
  </conditionalFormatting>
  <conditionalFormatting sqref="B103 D103:J103">
    <cfRule type="cellIs" dxfId="0" priority="36" operator="equal">
      <formula>0</formula>
    </cfRule>
  </conditionalFormatting>
  <conditionalFormatting sqref="L103 N103:T103">
    <cfRule type="cellIs" dxfId="0" priority="34" operator="equal">
      <formula>0</formula>
    </cfRule>
  </conditionalFormatting>
  <conditionalFormatting sqref="B104 D104:J104">
    <cfRule type="cellIs" dxfId="0" priority="32" operator="equal">
      <formula>0</formula>
    </cfRule>
  </conditionalFormatting>
  <conditionalFormatting sqref="L104 N104:T104">
    <cfRule type="cellIs" dxfId="0" priority="30" operator="equal">
      <formula>0</formula>
    </cfRule>
  </conditionalFormatting>
  <conditionalFormatting sqref="B108 D108:J108">
    <cfRule type="cellIs" dxfId="0" priority="28" operator="equal">
      <formula>0</formula>
    </cfRule>
  </conditionalFormatting>
  <conditionalFormatting sqref="L108 N108:T108">
    <cfRule type="cellIs" dxfId="0" priority="26" operator="equal">
      <formula>0</formula>
    </cfRule>
  </conditionalFormatting>
  <conditionalFormatting sqref="B109 D109:J109">
    <cfRule type="cellIs" dxfId="0" priority="24" operator="equal">
      <formula>0</formula>
    </cfRule>
  </conditionalFormatting>
  <conditionalFormatting sqref="L109 N109:T109">
    <cfRule type="cellIs" dxfId="0" priority="22" operator="equal">
      <formula>0</formula>
    </cfRule>
  </conditionalFormatting>
  <conditionalFormatting sqref="B112 D112:J112">
    <cfRule type="cellIs" dxfId="0" priority="20" operator="equal">
      <formula>0</formula>
    </cfRule>
  </conditionalFormatting>
  <conditionalFormatting sqref="L112 N112:T112">
    <cfRule type="cellIs" dxfId="0" priority="18" operator="equal">
      <formula>0</formula>
    </cfRule>
  </conditionalFormatting>
  <conditionalFormatting sqref="B113 D113:J113">
    <cfRule type="cellIs" dxfId="0" priority="16" operator="equal">
      <formula>0</formula>
    </cfRule>
  </conditionalFormatting>
  <conditionalFormatting sqref="L113 N113:T113">
    <cfRule type="cellIs" dxfId="0" priority="14" operator="equal">
      <formula>0</formula>
    </cfRule>
  </conditionalFormatting>
  <conditionalFormatting sqref="B114 D114:J114">
    <cfRule type="cellIs" dxfId="0" priority="12" operator="equal">
      <formula>0</formula>
    </cfRule>
  </conditionalFormatting>
  <conditionalFormatting sqref="L114 N114:T114">
    <cfRule type="cellIs" dxfId="0" priority="10" operator="equal">
      <formula>0</formula>
    </cfRule>
  </conditionalFormatting>
  <conditionalFormatting sqref="B116 D116:J116">
    <cfRule type="cellIs" dxfId="0" priority="8" operator="equal">
      <formula>0</formula>
    </cfRule>
  </conditionalFormatting>
  <conditionalFormatting sqref="L116 N116:T116">
    <cfRule type="cellIs" dxfId="0" priority="6" operator="equal">
      <formula>0</formula>
    </cfRule>
  </conditionalFormatting>
  <conditionalFormatting sqref="B117 D117:J117">
    <cfRule type="cellIs" dxfId="0" priority="4" operator="equal">
      <formula>0</formula>
    </cfRule>
  </conditionalFormatting>
  <conditionalFormatting sqref="L117 N117:T117">
    <cfRule type="cellIs" dxfId="0" priority="2" operator="equal">
      <formula>0</formula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78"/>
  <sheetViews>
    <sheetView topLeftCell="M36" workbookViewId="0">
      <selection activeCell="O27" sqref="O27:Z50"/>
    </sheetView>
  </sheetViews>
  <sheetFormatPr defaultColWidth="11" defaultRowHeight="13.8"/>
  <cols>
    <col min="1" max="1" width="4.71296296296296" style="2" customWidth="1"/>
    <col min="2" max="2" width="61.712962962963" style="3" customWidth="1"/>
    <col min="3" max="3" width="1.71296296296296" style="2" customWidth="1"/>
    <col min="4" max="4" width="11.712962962963" style="3" customWidth="1"/>
    <col min="5" max="5" width="1.71296296296296" style="2" customWidth="1"/>
    <col min="6" max="7" width="11.712962962963" style="3" customWidth="1"/>
    <col min="8" max="8" width="1.71296296296296" style="2" customWidth="1"/>
    <col min="9" max="13" width="11.712962962963" style="3" customWidth="1"/>
    <col min="14" max="14" width="4.71296296296296" style="2" customWidth="1"/>
    <col min="15" max="15" width="61.712962962963" style="3" customWidth="1"/>
    <col min="16" max="16" width="1.71296296296296" style="2" customWidth="1"/>
    <col min="17" max="17" width="11.712962962963" style="3" customWidth="1"/>
    <col min="18" max="18" width="1.71296296296296" style="2" customWidth="1"/>
    <col min="19" max="20" width="11.712962962963" style="3" customWidth="1"/>
    <col min="21" max="21" width="1.71296296296296" style="2" customWidth="1"/>
    <col min="22" max="26" width="11.712962962963" style="3" customWidth="1"/>
    <col min="27" max="28" width="4.71296296296296" style="2" customWidth="1"/>
    <col min="29" max="29" width="5.57407407407407" style="3" customWidth="1"/>
    <col min="30" max="30" width="60" style="3" customWidth="1"/>
    <col min="31" max="32" width="17.5740740740741" style="3" customWidth="1"/>
    <col min="33" max="33" width="1.71296296296296" style="2" customWidth="1"/>
    <col min="34" max="34" width="61.712962962963" style="3" customWidth="1"/>
    <col min="35" max="35" width="1.71296296296296" style="2" customWidth="1"/>
    <col min="36" max="37" width="12.712962962963" style="3" customWidth="1"/>
    <col min="38" max="38" width="1.71296296296296" style="2" customWidth="1"/>
    <col min="39" max="40" width="12.712962962963" style="3" customWidth="1"/>
    <col min="41" max="41" width="1.71296296296296" style="76" customWidth="1"/>
    <col min="42" max="42" width="11.4259259259259" style="3"/>
    <col min="43" max="43" width="61.712962962963" style="3" customWidth="1"/>
    <col min="44" max="44" width="1.71296296296296" style="2" customWidth="1"/>
    <col min="45" max="45" width="8.71296296296296" style="3" customWidth="1"/>
    <col min="46" max="46" width="13.1388888888889" style="3" customWidth="1"/>
    <col min="47" max="47" width="8.71296296296296" style="3" customWidth="1"/>
    <col min="48" max="48" width="13.1388888888889" style="3" customWidth="1"/>
    <col min="49" max="49" width="1.71296296296296" style="2" customWidth="1"/>
    <col min="50" max="50" width="8.71296296296296" style="3" customWidth="1"/>
    <col min="51" max="51" width="13.1388888888889" style="3" customWidth="1"/>
    <col min="52" max="52" width="8.71296296296296" style="3" customWidth="1"/>
    <col min="53" max="53" width="13.1388888888889" style="3" customWidth="1"/>
    <col min="54" max="54" width="1.71296296296296" style="76" customWidth="1"/>
    <col min="55" max="16384" width="11.4259259259259" style="3"/>
  </cols>
  <sheetData>
    <row r="1" s="2" customFormat="1" ht="9" customHeight="1" spans="1:54">
      <c r="AO1" s="76"/>
      <c r="BB1" s="76"/>
    </row>
    <row r="2" s="1" customFormat="1" ht="27" customHeight="1" spans="1:54">
      <c r="A2" s="4"/>
      <c r="B2" s="5" t="s">
        <v>8</v>
      </c>
      <c r="C2" s="6"/>
      <c r="D2" s="5" t="s">
        <v>271</v>
      </c>
      <c r="E2" s="6"/>
      <c r="F2" s="7" t="s">
        <v>463</v>
      </c>
      <c r="G2" s="7"/>
      <c r="H2" s="6"/>
      <c r="I2" s="7" t="s">
        <v>464</v>
      </c>
      <c r="J2" s="7"/>
      <c r="K2" s="7"/>
      <c r="L2" s="7"/>
      <c r="M2" s="7"/>
      <c r="N2" s="8"/>
      <c r="O2" s="5" t="s">
        <v>465</v>
      </c>
      <c r="P2" s="9"/>
      <c r="Q2" s="5" t="s">
        <v>271</v>
      </c>
      <c r="R2" s="6"/>
      <c r="S2" s="7" t="s">
        <v>463</v>
      </c>
      <c r="T2" s="7"/>
      <c r="U2" s="6"/>
      <c r="V2" s="7" t="s">
        <v>464</v>
      </c>
      <c r="W2" s="7"/>
      <c r="X2" s="7"/>
      <c r="Y2" s="7"/>
      <c r="Z2" s="7"/>
      <c r="AA2" s="4"/>
      <c r="AB2" s="4"/>
      <c r="AG2" s="4"/>
      <c r="AI2" s="4"/>
      <c r="AL2" s="4"/>
      <c r="AO2" s="8"/>
      <c r="AR2" s="4"/>
      <c r="AW2" s="4"/>
      <c r="BB2" s="8"/>
    </row>
    <row r="3" s="1" customFormat="1" ht="27" customHeight="1" spans="1:54">
      <c r="A3" s="4"/>
      <c r="B3" s="10"/>
      <c r="C3" s="11"/>
      <c r="D3" s="10"/>
      <c r="E3" s="11"/>
      <c r="F3" s="12" t="s">
        <v>461</v>
      </c>
      <c r="G3" s="12" t="s">
        <v>462</v>
      </c>
      <c r="H3" s="11"/>
      <c r="I3" s="12" t="s">
        <v>3</v>
      </c>
      <c r="J3" s="12" t="s">
        <v>4</v>
      </c>
      <c r="K3" s="12" t="s">
        <v>5</v>
      </c>
      <c r="L3" s="12" t="s">
        <v>6</v>
      </c>
      <c r="M3" s="12" t="s">
        <v>7</v>
      </c>
      <c r="N3" s="8"/>
      <c r="O3" s="10"/>
      <c r="P3" s="13"/>
      <c r="Q3" s="10"/>
      <c r="R3" s="11"/>
      <c r="S3" s="12" t="s">
        <v>461</v>
      </c>
      <c r="T3" s="12" t="s">
        <v>462</v>
      </c>
      <c r="U3" s="11"/>
      <c r="V3" s="12" t="s">
        <v>3</v>
      </c>
      <c r="W3" s="12" t="s">
        <v>4</v>
      </c>
      <c r="X3" s="12" t="s">
        <v>5</v>
      </c>
      <c r="Y3" s="12" t="s">
        <v>6</v>
      </c>
      <c r="Z3" s="12" t="s">
        <v>7</v>
      </c>
      <c r="AA3" s="4"/>
      <c r="AB3" s="4"/>
      <c r="AG3" s="4"/>
      <c r="AI3" s="4"/>
      <c r="AL3" s="4"/>
      <c r="AO3" s="8"/>
      <c r="AR3" s="4"/>
      <c r="AW3" s="4"/>
      <c r="BB3" s="8"/>
    </row>
    <row r="4" s="2" customFormat="1" ht="9" customHeight="1" spans="1:5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4"/>
      <c r="AB4" s="14"/>
      <c r="AO4" s="76"/>
      <c r="BB4" s="76"/>
    </row>
    <row r="5" s="75" customFormat="1" ht="24" customHeight="1" spans="1:54">
      <c r="A5" s="16"/>
      <c r="B5" s="17" t="s">
        <v>466</v>
      </c>
      <c r="C5" s="8"/>
      <c r="D5" s="77">
        <v>0.618265338312376</v>
      </c>
      <c r="E5" s="78"/>
      <c r="F5" s="79">
        <v>0.604695708410038</v>
      </c>
      <c r="G5" s="79">
        <v>0.864850863218035</v>
      </c>
      <c r="H5" s="80"/>
      <c r="I5" s="79">
        <v>1.05948177275013</v>
      </c>
      <c r="J5" s="79">
        <v>1.00430473775396</v>
      </c>
      <c r="K5" s="79">
        <v>0.76665567022553</v>
      </c>
      <c r="L5" s="79">
        <v>0.874441900287917</v>
      </c>
      <c r="M5" s="79">
        <v>0.505131218059668</v>
      </c>
      <c r="N5" s="8"/>
      <c r="O5" s="17" t="s">
        <v>466</v>
      </c>
      <c r="P5" s="8"/>
      <c r="Q5" s="77">
        <v>-0.65922936781599</v>
      </c>
      <c r="R5" s="78"/>
      <c r="S5" s="79">
        <v>-0.637894395670571</v>
      </c>
      <c r="T5" s="79">
        <v>-0.931092977355449</v>
      </c>
      <c r="U5" s="80"/>
      <c r="V5" s="79">
        <v>-1.0635157313244</v>
      </c>
      <c r="W5" s="79">
        <v>-1.02364817607857</v>
      </c>
      <c r="X5" s="79">
        <v>-0.848293273789231</v>
      </c>
      <c r="Y5" s="79">
        <v>-0.929186227264343</v>
      </c>
      <c r="Z5" s="79">
        <v>-0.468002368488974</v>
      </c>
      <c r="AA5" s="16"/>
      <c r="AB5" s="16">
        <f>IF(AC5=B5,0,1)</f>
        <v>1</v>
      </c>
      <c r="AC5" s="81" t="s">
        <v>12</v>
      </c>
      <c r="AD5" s="82" t="s">
        <v>467</v>
      </c>
      <c r="AG5" s="76"/>
      <c r="AI5" s="76"/>
      <c r="AL5" s="76"/>
      <c r="AO5" s="76"/>
      <c r="AR5" s="76"/>
      <c r="AW5" s="76"/>
      <c r="BB5" s="76"/>
    </row>
    <row r="6" s="75" customFormat="1" ht="24" customHeight="1" spans="1:54">
      <c r="A6" s="16"/>
      <c r="B6" s="17" t="s">
        <v>468</v>
      </c>
      <c r="C6" s="8"/>
      <c r="D6" s="77">
        <v>0.877965838412718</v>
      </c>
      <c r="E6" s="78"/>
      <c r="F6" s="79">
        <v>0.796724140082713</v>
      </c>
      <c r="G6" s="79">
        <v>0.905881473785776</v>
      </c>
      <c r="H6" s="80"/>
      <c r="I6" s="79">
        <v>1.20822651386976</v>
      </c>
      <c r="J6" s="79">
        <v>0.914544872738923</v>
      </c>
      <c r="K6" s="79">
        <v>1.01656719545427</v>
      </c>
      <c r="L6" s="79">
        <v>0.912567753699157</v>
      </c>
      <c r="M6" s="79">
        <v>0.807144194655531</v>
      </c>
      <c r="N6" s="8"/>
      <c r="O6" s="17" t="s">
        <v>468</v>
      </c>
      <c r="P6" s="8"/>
      <c r="Q6" s="77">
        <v>-0.954766597606162</v>
      </c>
      <c r="R6" s="78"/>
      <c r="S6" s="79">
        <v>-0.806503563393383</v>
      </c>
      <c r="T6" s="79">
        <v>-1.7090431118951</v>
      </c>
      <c r="U6" s="80"/>
      <c r="V6" s="79">
        <v>-1.40688588872377</v>
      </c>
      <c r="W6" s="79">
        <v>-1.197349629159</v>
      </c>
      <c r="X6" s="79">
        <v>-1.69867771146442</v>
      </c>
      <c r="Y6" s="79">
        <v>-1.3728091091464</v>
      </c>
      <c r="Z6" s="79">
        <v>-0.159075448872453</v>
      </c>
      <c r="AA6" s="16"/>
      <c r="AB6" s="16">
        <f t="shared" ref="AB6:AB24" si="0">IF(AC6=B6,0,1)</f>
        <v>1</v>
      </c>
      <c r="AC6" s="81" t="s">
        <v>13</v>
      </c>
      <c r="AD6" s="82" t="s">
        <v>336</v>
      </c>
      <c r="AG6" s="76"/>
      <c r="AI6" s="76"/>
      <c r="AL6" s="76"/>
      <c r="AO6" s="76"/>
      <c r="AR6" s="76"/>
      <c r="AW6" s="76"/>
      <c r="BB6" s="76"/>
    </row>
    <row r="7" s="75" customFormat="1" ht="24" customHeight="1" spans="1:54">
      <c r="A7" s="16"/>
      <c r="B7" s="17" t="s">
        <v>469</v>
      </c>
      <c r="C7" s="8"/>
      <c r="D7" s="77">
        <v>0.312823985539041</v>
      </c>
      <c r="E7" s="78"/>
      <c r="F7" s="79">
        <v>0.354946907840899</v>
      </c>
      <c r="G7" s="79">
        <v>0.533440619847053</v>
      </c>
      <c r="H7" s="80"/>
      <c r="I7" s="79">
        <v>0.900763112413138</v>
      </c>
      <c r="J7" s="79">
        <v>0.800872896642448</v>
      </c>
      <c r="K7" s="79">
        <v>0.653728045613587</v>
      </c>
      <c r="L7" s="79">
        <v>0.580687324412341</v>
      </c>
      <c r="M7" s="79">
        <v>0.212176236387444</v>
      </c>
      <c r="N7" s="8"/>
      <c r="O7" s="17" t="s">
        <v>469</v>
      </c>
      <c r="P7" s="8"/>
      <c r="Q7" s="77">
        <v>-1.82628677392878</v>
      </c>
      <c r="R7" s="78"/>
      <c r="S7" s="79">
        <v>-0.556866780225896</v>
      </c>
      <c r="T7" s="79">
        <v>-9.24789467746283</v>
      </c>
      <c r="U7" s="80"/>
      <c r="V7" s="79">
        <v>-3.53591337537537</v>
      </c>
      <c r="W7" s="79">
        <v>-4.75440324371239</v>
      </c>
      <c r="X7" s="79">
        <v>-11.3915730728513</v>
      </c>
      <c r="Y7" s="79">
        <v>-9.26501077163491</v>
      </c>
      <c r="Z7" s="79">
        <v>19.1833674810229</v>
      </c>
      <c r="AA7" s="16"/>
      <c r="AB7" s="16">
        <f t="shared" si="0"/>
        <v>1</v>
      </c>
      <c r="AC7" s="81" t="s">
        <v>14</v>
      </c>
      <c r="AD7" s="82" t="s">
        <v>338</v>
      </c>
      <c r="AG7" s="76"/>
      <c r="AI7" s="76"/>
      <c r="AL7" s="76"/>
      <c r="AO7" s="76"/>
      <c r="AR7" s="76"/>
      <c r="AW7" s="76"/>
      <c r="BB7" s="76"/>
    </row>
    <row r="8" s="75" customFormat="1" ht="24" customHeight="1" spans="1:54">
      <c r="A8" s="16"/>
      <c r="B8" s="17" t="s">
        <v>470</v>
      </c>
      <c r="C8" s="8"/>
      <c r="D8" s="77">
        <v>0.437568379281185</v>
      </c>
      <c r="E8" s="78"/>
      <c r="F8" s="79">
        <v>0.447341053288337</v>
      </c>
      <c r="G8" s="79">
        <v>0.661421942553687</v>
      </c>
      <c r="H8" s="80"/>
      <c r="I8" s="79">
        <v>0.953103512383691</v>
      </c>
      <c r="J8" s="79">
        <v>0.928611479319078</v>
      </c>
      <c r="K8" s="79">
        <v>0.593940587516405</v>
      </c>
      <c r="L8" s="79">
        <v>0.781015426825763</v>
      </c>
      <c r="M8" s="79">
        <v>0.320797173917246</v>
      </c>
      <c r="N8" s="8"/>
      <c r="O8" s="17" t="s">
        <v>470</v>
      </c>
      <c r="P8" s="8"/>
      <c r="Q8" s="77">
        <v>-0.504718869768233</v>
      </c>
      <c r="R8" s="78"/>
      <c r="S8" s="79">
        <v>-0.503572524957393</v>
      </c>
      <c r="T8" s="79">
        <v>-0.757216819440444</v>
      </c>
      <c r="U8" s="80"/>
      <c r="V8" s="79">
        <v>-0.974173841630177</v>
      </c>
      <c r="W8" s="79">
        <v>-0.959134873708701</v>
      </c>
      <c r="X8" s="79">
        <v>-0.695280369861034</v>
      </c>
      <c r="Y8" s="79">
        <v>-0.848975872591165</v>
      </c>
      <c r="Z8" s="79">
        <v>-0.318615660987057</v>
      </c>
      <c r="AA8" s="16"/>
      <c r="AB8" s="16">
        <f t="shared" si="0"/>
        <v>1</v>
      </c>
      <c r="AC8" s="81" t="s">
        <v>15</v>
      </c>
      <c r="AD8" s="82" t="s">
        <v>340</v>
      </c>
      <c r="AG8" s="76"/>
      <c r="AI8" s="76"/>
      <c r="AL8" s="76"/>
      <c r="AO8" s="76"/>
      <c r="AR8" s="76"/>
      <c r="AW8" s="76"/>
      <c r="BB8" s="76"/>
    </row>
    <row r="9" s="75" customFormat="1" ht="24" customHeight="1" spans="1:54">
      <c r="A9" s="16"/>
      <c r="B9" s="17" t="s">
        <v>471</v>
      </c>
      <c r="C9" s="8"/>
      <c r="D9" s="77">
        <v>1.14189039515574</v>
      </c>
      <c r="E9" s="78"/>
      <c r="F9" s="79">
        <v>1.12838712966823</v>
      </c>
      <c r="G9" s="79">
        <v>1.12085918120607</v>
      </c>
      <c r="H9" s="80"/>
      <c r="I9" s="79">
        <v>1.49512453667373</v>
      </c>
      <c r="J9" s="79">
        <v>1.58851872160766</v>
      </c>
      <c r="K9" s="79">
        <v>1.25024216967319</v>
      </c>
      <c r="L9" s="79">
        <v>1.37398457494911</v>
      </c>
      <c r="M9" s="79">
        <v>0.927535089801782</v>
      </c>
      <c r="N9" s="8"/>
      <c r="O9" s="17" t="s">
        <v>471</v>
      </c>
      <c r="P9" s="8"/>
      <c r="Q9" s="77">
        <v>-1.16149362622057</v>
      </c>
      <c r="R9" s="78"/>
      <c r="S9" s="79">
        <v>-1.12524848902713</v>
      </c>
      <c r="T9" s="79">
        <v>-1.34963866958306</v>
      </c>
      <c r="U9" s="80"/>
      <c r="V9" s="79">
        <v>-1.57984058672639</v>
      </c>
      <c r="W9" s="79">
        <v>-1.68421827986754</v>
      </c>
      <c r="X9" s="79">
        <v>-1.51228623796923</v>
      </c>
      <c r="Y9" s="79">
        <v>-1.51410494774529</v>
      </c>
      <c r="Z9" s="79">
        <v>-0.738002205377876</v>
      </c>
      <c r="AA9" s="16"/>
      <c r="AB9" s="16">
        <f t="shared" si="0"/>
        <v>1</v>
      </c>
      <c r="AC9" s="81" t="s">
        <v>16</v>
      </c>
      <c r="AD9" s="82" t="s">
        <v>472</v>
      </c>
      <c r="AG9" s="76"/>
      <c r="AI9" s="76"/>
      <c r="AL9" s="76"/>
      <c r="AO9" s="76"/>
      <c r="AR9" s="76"/>
      <c r="AW9" s="76"/>
      <c r="BB9" s="76"/>
    </row>
    <row r="10" s="75" customFormat="1" ht="24" customHeight="1" spans="1:54">
      <c r="A10" s="16"/>
      <c r="B10" s="17" t="s">
        <v>473</v>
      </c>
      <c r="C10" s="8"/>
      <c r="D10" s="77">
        <v>0.685367010416078</v>
      </c>
      <c r="E10" s="78"/>
      <c r="F10" s="79">
        <v>0.626435898717174</v>
      </c>
      <c r="G10" s="79">
        <v>0.874464621055748</v>
      </c>
      <c r="H10" s="80"/>
      <c r="I10" s="79">
        <v>1.15077894988322</v>
      </c>
      <c r="J10" s="79">
        <v>0.808820623834407</v>
      </c>
      <c r="K10" s="79">
        <v>1.13431086732546</v>
      </c>
      <c r="L10" s="79">
        <v>1.0577608021773</v>
      </c>
      <c r="M10" s="79">
        <v>0.512121388844157</v>
      </c>
      <c r="N10" s="8"/>
      <c r="O10" s="17" t="s">
        <v>473</v>
      </c>
      <c r="P10" s="8"/>
      <c r="Q10" s="77">
        <v>-0.719107337379179</v>
      </c>
      <c r="R10" s="78"/>
      <c r="S10" s="79">
        <v>-0.639055148250494</v>
      </c>
      <c r="T10" s="79">
        <v>-1.09922164608875</v>
      </c>
      <c r="U10" s="80"/>
      <c r="V10" s="79">
        <v>-1.20965033907588</v>
      </c>
      <c r="W10" s="79">
        <v>-0.900506966025247</v>
      </c>
      <c r="X10" s="79">
        <v>-1.32990053379881</v>
      </c>
      <c r="Y10" s="79">
        <v>-1.19784164748933</v>
      </c>
      <c r="Z10" s="79">
        <v>-0.292258308703471</v>
      </c>
      <c r="AA10" s="16"/>
      <c r="AB10" s="16">
        <f t="shared" si="0"/>
        <v>1</v>
      </c>
      <c r="AC10" s="81" t="s">
        <v>17</v>
      </c>
      <c r="AD10" s="82" t="s">
        <v>344</v>
      </c>
      <c r="AG10" s="76"/>
      <c r="AI10" s="76"/>
      <c r="AL10" s="76"/>
      <c r="AO10" s="76"/>
      <c r="AR10" s="76"/>
      <c r="AW10" s="76"/>
      <c r="BB10" s="76"/>
    </row>
    <row r="11" s="75" customFormat="1" ht="24" customHeight="1" spans="1:54">
      <c r="A11" s="16"/>
      <c r="B11" s="17" t="s">
        <v>474</v>
      </c>
      <c r="C11" s="8"/>
      <c r="D11" s="77">
        <v>2.45139625231847</v>
      </c>
      <c r="E11" s="78"/>
      <c r="F11" s="79">
        <v>2.37576013446674</v>
      </c>
      <c r="G11" s="79">
        <v>2.24445933387293</v>
      </c>
      <c r="H11" s="80"/>
      <c r="I11" s="79">
        <v>1.33734224347324</v>
      </c>
      <c r="J11" s="79">
        <v>1.27004280132967</v>
      </c>
      <c r="K11" s="79">
        <v>1.73164793118082</v>
      </c>
      <c r="L11" s="79">
        <v>1.40804871796054</v>
      </c>
      <c r="M11" s="79">
        <v>2.16039166639925</v>
      </c>
      <c r="N11" s="8"/>
      <c r="O11" s="17" t="s">
        <v>474</v>
      </c>
      <c r="P11" s="8"/>
      <c r="Q11" s="77">
        <v>-2.26953369514929</v>
      </c>
      <c r="R11" s="78"/>
      <c r="S11" s="79">
        <v>-2.17849653890656</v>
      </c>
      <c r="T11" s="79">
        <v>-2.30749855970455</v>
      </c>
      <c r="U11" s="80"/>
      <c r="V11" s="79">
        <v>-1.43778222857783</v>
      </c>
      <c r="W11" s="79">
        <v>-1.40406624476843</v>
      </c>
      <c r="X11" s="79">
        <v>-1.98077978220858</v>
      </c>
      <c r="Y11" s="79">
        <v>-1.5668546388537</v>
      </c>
      <c r="Z11" s="79">
        <v>-1.8623260183087</v>
      </c>
      <c r="AA11" s="16"/>
      <c r="AB11" s="16">
        <f t="shared" si="0"/>
        <v>1</v>
      </c>
      <c r="AC11" s="81" t="s">
        <v>18</v>
      </c>
      <c r="AD11" s="82" t="s">
        <v>346</v>
      </c>
      <c r="AG11" s="76"/>
      <c r="AI11" s="76"/>
      <c r="AL11" s="76"/>
      <c r="AO11" s="76"/>
      <c r="AR11" s="76"/>
      <c r="AW11" s="76"/>
      <c r="BB11" s="76"/>
    </row>
    <row r="12" s="75" customFormat="1" ht="24" customHeight="1" spans="1:54">
      <c r="A12" s="16"/>
      <c r="B12" s="17" t="s">
        <v>475</v>
      </c>
      <c r="C12" s="8"/>
      <c r="D12" s="77">
        <v>1.53535249642766</v>
      </c>
      <c r="E12" s="78"/>
      <c r="F12" s="79">
        <v>1.52659957442401</v>
      </c>
      <c r="G12" s="79">
        <v>1.4186744436791</v>
      </c>
      <c r="H12" s="80"/>
      <c r="I12" s="79">
        <v>1.35558446910889</v>
      </c>
      <c r="J12" s="79">
        <v>1.5692897796622</v>
      </c>
      <c r="K12" s="79">
        <v>1.53403993359329</v>
      </c>
      <c r="L12" s="79">
        <v>1.608594310817</v>
      </c>
      <c r="M12" s="79">
        <v>1.17015744887274</v>
      </c>
      <c r="N12" s="8"/>
      <c r="O12" s="17" t="s">
        <v>475</v>
      </c>
      <c r="P12" s="8"/>
      <c r="Q12" s="77">
        <v>-1.61490735904144</v>
      </c>
      <c r="R12" s="78"/>
      <c r="S12" s="79">
        <v>-1.52584993783257</v>
      </c>
      <c r="T12" s="79">
        <v>-2.24798861776157</v>
      </c>
      <c r="U12" s="80"/>
      <c r="V12" s="79">
        <v>-1.80101858050052</v>
      </c>
      <c r="W12" s="79">
        <v>-2.11312707508224</v>
      </c>
      <c r="X12" s="79">
        <v>-2.69597486608664</v>
      </c>
      <c r="Y12" s="79">
        <v>-2.28546634509929</v>
      </c>
      <c r="Z12" s="79">
        <v>-0.610847692353174</v>
      </c>
      <c r="AA12" s="16"/>
      <c r="AB12" s="16">
        <f t="shared" si="0"/>
        <v>1</v>
      </c>
      <c r="AC12" s="81" t="s">
        <v>19</v>
      </c>
      <c r="AD12" s="82" t="s">
        <v>476</v>
      </c>
      <c r="AG12" s="76"/>
      <c r="AI12" s="76"/>
      <c r="AL12" s="76"/>
      <c r="AO12" s="76"/>
      <c r="AR12" s="76"/>
      <c r="AW12" s="76"/>
      <c r="BB12" s="76"/>
    </row>
    <row r="13" s="75" customFormat="1" ht="24" customHeight="1" spans="1:54">
      <c r="A13" s="16"/>
      <c r="B13" s="17" t="s">
        <v>477</v>
      </c>
      <c r="C13" s="8"/>
      <c r="D13" s="77">
        <v>1.69451565104643</v>
      </c>
      <c r="E13" s="78"/>
      <c r="F13" s="79">
        <v>1.77020430489713</v>
      </c>
      <c r="G13" s="79">
        <v>1.37337009716524</v>
      </c>
      <c r="H13" s="80"/>
      <c r="I13" s="79">
        <v>0.748369596311687</v>
      </c>
      <c r="J13" s="79">
        <v>0.750279711776798</v>
      </c>
      <c r="K13" s="79">
        <v>0.621011135829252</v>
      </c>
      <c r="L13" s="79">
        <v>0.890229983981797</v>
      </c>
      <c r="M13" s="79">
        <v>1.90052096510213</v>
      </c>
      <c r="N13" s="8"/>
      <c r="O13" s="17" t="s">
        <v>477</v>
      </c>
      <c r="P13" s="8"/>
      <c r="Q13" s="77">
        <v>-1.65442047089264</v>
      </c>
      <c r="R13" s="78"/>
      <c r="S13" s="79">
        <v>-1.70308539144177</v>
      </c>
      <c r="T13" s="79">
        <v>-1.51735387505553</v>
      </c>
      <c r="U13" s="80"/>
      <c r="V13" s="79">
        <v>-0.81134677435527</v>
      </c>
      <c r="W13" s="79">
        <v>-0.844602941627483</v>
      </c>
      <c r="X13" s="79">
        <v>-0.859401228895835</v>
      </c>
      <c r="Y13" s="79">
        <v>-1.06165079435908</v>
      </c>
      <c r="Z13" s="79">
        <v>-1.66585226967778</v>
      </c>
      <c r="AA13" s="16"/>
      <c r="AB13" s="16">
        <f t="shared" si="0"/>
        <v>1</v>
      </c>
      <c r="AC13" s="81" t="s">
        <v>350</v>
      </c>
      <c r="AD13" s="82" t="s">
        <v>478</v>
      </c>
      <c r="AG13" s="76"/>
      <c r="AI13" s="76"/>
      <c r="AL13" s="76"/>
      <c r="AO13" s="76"/>
      <c r="AR13" s="76"/>
      <c r="AW13" s="76"/>
      <c r="BB13" s="76"/>
    </row>
    <row r="14" s="75" customFormat="1" ht="24" customHeight="1" spans="1:54">
      <c r="A14" s="16"/>
      <c r="B14" s="17" t="s">
        <v>479</v>
      </c>
      <c r="C14" s="8"/>
      <c r="D14" s="77">
        <v>0.387932614044005</v>
      </c>
      <c r="E14" s="78"/>
      <c r="F14" s="79">
        <v>0.385719311450105</v>
      </c>
      <c r="G14" s="79">
        <v>0.510672500738804</v>
      </c>
      <c r="H14" s="80"/>
      <c r="I14" s="79">
        <v>0.707831702388216</v>
      </c>
      <c r="J14" s="79">
        <v>0.643414704418264</v>
      </c>
      <c r="K14" s="79">
        <v>0.487706994671802</v>
      </c>
      <c r="L14" s="79">
        <v>0.61225275832281</v>
      </c>
      <c r="M14" s="79">
        <v>0.380286382678758</v>
      </c>
      <c r="N14" s="8"/>
      <c r="O14" s="17" t="s">
        <v>479</v>
      </c>
      <c r="P14" s="8"/>
      <c r="Q14" s="77">
        <v>-0.425627870947727</v>
      </c>
      <c r="R14" s="78"/>
      <c r="S14" s="79">
        <v>-0.396948328816857</v>
      </c>
      <c r="T14" s="79">
        <v>-0.728706219261416</v>
      </c>
      <c r="U14" s="80"/>
      <c r="V14" s="79">
        <v>-0.76542552629583</v>
      </c>
      <c r="W14" s="79">
        <v>-0.730490584407015</v>
      </c>
      <c r="X14" s="79">
        <v>-0.715423391934076</v>
      </c>
      <c r="Y14" s="79">
        <v>-0.796715553003852</v>
      </c>
      <c r="Z14" s="79">
        <v>-0.0312629160241786</v>
      </c>
      <c r="AA14" s="16"/>
      <c r="AB14" s="16">
        <f t="shared" si="0"/>
        <v>1</v>
      </c>
      <c r="AC14" s="81" t="s">
        <v>21</v>
      </c>
      <c r="AD14" s="82" t="s">
        <v>480</v>
      </c>
      <c r="AG14" s="76"/>
      <c r="AI14" s="76"/>
      <c r="AL14" s="76"/>
      <c r="AO14" s="76"/>
      <c r="AR14" s="76"/>
      <c r="AW14" s="76"/>
      <c r="BB14" s="76"/>
    </row>
    <row r="15" s="75" customFormat="1" ht="24" customHeight="1" spans="1:54">
      <c r="A15" s="16"/>
      <c r="B15" s="17" t="s">
        <v>481</v>
      </c>
      <c r="C15" s="8"/>
      <c r="D15" s="77">
        <v>1.18681539587733</v>
      </c>
      <c r="E15" s="78"/>
      <c r="F15" s="79">
        <v>1.31125577622658</v>
      </c>
      <c r="G15" s="79">
        <v>1.47656617705745</v>
      </c>
      <c r="H15" s="80"/>
      <c r="I15" s="79">
        <v>1.67115367627581</v>
      </c>
      <c r="J15" s="79">
        <v>2.23005309786126</v>
      </c>
      <c r="K15" s="79">
        <v>1.26230074101326</v>
      </c>
      <c r="L15" s="79">
        <v>0.671526462977224</v>
      </c>
      <c r="M15" s="79">
        <v>0.871650618065884</v>
      </c>
      <c r="N15" s="8"/>
      <c r="O15" s="17" t="s">
        <v>481</v>
      </c>
      <c r="P15" s="8"/>
      <c r="Q15" s="77">
        <v>-1.217860770249</v>
      </c>
      <c r="R15" s="78"/>
      <c r="S15" s="79">
        <v>-1.30608856893576</v>
      </c>
      <c r="T15" s="79">
        <v>-1.68519560236299</v>
      </c>
      <c r="U15" s="80"/>
      <c r="V15" s="79">
        <v>-1.79947238572975</v>
      </c>
      <c r="W15" s="79">
        <v>-2.35746635634243</v>
      </c>
      <c r="X15" s="79">
        <v>-1.6750632631989</v>
      </c>
      <c r="Y15" s="79">
        <v>-0.936008804717344</v>
      </c>
      <c r="Z15" s="79">
        <v>-0.615478776687426</v>
      </c>
      <c r="AA15" s="16"/>
      <c r="AB15" s="16">
        <f t="shared" si="0"/>
        <v>1</v>
      </c>
      <c r="AC15" s="81" t="s">
        <v>22</v>
      </c>
      <c r="AD15" s="82" t="s">
        <v>355</v>
      </c>
      <c r="AG15" s="76"/>
      <c r="AI15" s="76"/>
      <c r="AL15" s="76"/>
      <c r="AO15" s="76"/>
      <c r="AR15" s="76"/>
      <c r="AW15" s="76"/>
      <c r="BB15" s="76"/>
    </row>
    <row r="16" s="75" customFormat="1" ht="24" customHeight="1" spans="1:54">
      <c r="A16" s="16"/>
      <c r="B16" s="17" t="s">
        <v>482</v>
      </c>
      <c r="C16" s="8"/>
      <c r="D16" s="77">
        <v>3.26096594428639</v>
      </c>
      <c r="E16" s="78"/>
      <c r="F16" s="79">
        <v>3.13455578325534</v>
      </c>
      <c r="G16" s="79">
        <v>3.03767400712058</v>
      </c>
      <c r="H16" s="80"/>
      <c r="I16" s="79">
        <v>1.5272769137773</v>
      </c>
      <c r="J16" s="79">
        <v>2.05644928805845</v>
      </c>
      <c r="K16" s="79">
        <v>1.20225766889895</v>
      </c>
      <c r="L16" s="79">
        <v>1.84331855319738</v>
      </c>
      <c r="M16" s="79">
        <v>2.56993607362524</v>
      </c>
      <c r="N16" s="8"/>
      <c r="O16" s="17" t="s">
        <v>482</v>
      </c>
      <c r="P16" s="8"/>
      <c r="Q16" s="77">
        <v>-3.27339470086574</v>
      </c>
      <c r="R16" s="78"/>
      <c r="S16" s="79">
        <v>-3.06158798978766</v>
      </c>
      <c r="T16" s="79">
        <v>-4.07034335498018</v>
      </c>
      <c r="U16" s="80"/>
      <c r="V16" s="79">
        <v>-3.03595678763277</v>
      </c>
      <c r="W16" s="79">
        <v>-3.64546869307611</v>
      </c>
      <c r="X16" s="79">
        <v>-3.76375026680408</v>
      </c>
      <c r="Y16" s="79">
        <v>-3.15317668473394</v>
      </c>
      <c r="Z16" s="79">
        <v>-2.0594184122564</v>
      </c>
      <c r="AA16" s="16"/>
      <c r="AB16" s="16">
        <f t="shared" si="0"/>
        <v>1</v>
      </c>
      <c r="AC16" s="81" t="s">
        <v>23</v>
      </c>
      <c r="AD16" s="82" t="s">
        <v>483</v>
      </c>
      <c r="AG16" s="76"/>
      <c r="AI16" s="76"/>
      <c r="AL16" s="76"/>
      <c r="AO16" s="76"/>
      <c r="AR16" s="76"/>
      <c r="AW16" s="76"/>
      <c r="BB16" s="76"/>
    </row>
    <row r="17" s="75" customFormat="1" ht="24" customHeight="1" spans="1:54">
      <c r="A17" s="16"/>
      <c r="B17" s="17" t="s">
        <v>484</v>
      </c>
      <c r="C17" s="8"/>
      <c r="D17" s="77">
        <v>1.37690942754018</v>
      </c>
      <c r="E17" s="78"/>
      <c r="F17" s="79">
        <v>1.35634853864284</v>
      </c>
      <c r="G17" s="79">
        <v>1.53796248480476</v>
      </c>
      <c r="H17" s="80"/>
      <c r="I17" s="79">
        <v>0.75365890190486</v>
      </c>
      <c r="J17" s="79">
        <v>1.25310607344076</v>
      </c>
      <c r="K17" s="79">
        <v>1.77850346866293</v>
      </c>
      <c r="L17" s="79">
        <v>1.43670015481355</v>
      </c>
      <c r="M17" s="79">
        <v>1.12234793556936</v>
      </c>
      <c r="N17" s="8"/>
      <c r="O17" s="17" t="s">
        <v>484</v>
      </c>
      <c r="P17" s="8"/>
      <c r="Q17" s="77">
        <v>-1.38291015203511</v>
      </c>
      <c r="R17" s="78"/>
      <c r="S17" s="79">
        <v>-1.34012750630289</v>
      </c>
      <c r="T17" s="79">
        <v>-1.73438311342314</v>
      </c>
      <c r="U17" s="80"/>
      <c r="V17" s="79">
        <v>-0.86876870651379</v>
      </c>
      <c r="W17" s="79">
        <v>-1.40104842840922</v>
      </c>
      <c r="X17" s="79">
        <v>-2.04450334310633</v>
      </c>
      <c r="Y17" s="79">
        <v>-1.59040203861404</v>
      </c>
      <c r="Z17" s="79">
        <v>-0.939505568497596</v>
      </c>
      <c r="AA17" s="16"/>
      <c r="AB17" s="16">
        <f t="shared" si="0"/>
        <v>1</v>
      </c>
      <c r="AC17" s="81" t="s">
        <v>24</v>
      </c>
      <c r="AD17" s="82" t="s">
        <v>359</v>
      </c>
      <c r="AG17" s="76"/>
      <c r="AI17" s="76"/>
      <c r="AL17" s="76"/>
      <c r="AO17" s="76"/>
      <c r="AR17" s="76"/>
      <c r="AW17" s="76"/>
      <c r="BB17" s="76"/>
    </row>
    <row r="18" s="75" customFormat="1" ht="24" customHeight="1" spans="1:54">
      <c r="A18" s="16"/>
      <c r="B18" s="17" t="s">
        <v>485</v>
      </c>
      <c r="C18" s="8"/>
      <c r="D18" s="77">
        <v>0.700442207000552</v>
      </c>
      <c r="E18" s="78"/>
      <c r="F18" s="79">
        <v>0.702884005270112</v>
      </c>
      <c r="G18" s="79">
        <v>0.777000041341209</v>
      </c>
      <c r="H18" s="80"/>
      <c r="I18" s="79">
        <v>1.39751740567965</v>
      </c>
      <c r="J18" s="79">
        <v>1.27420341327499</v>
      </c>
      <c r="K18" s="79">
        <v>1.24261199718145</v>
      </c>
      <c r="L18" s="79">
        <v>1.16393086660876</v>
      </c>
      <c r="M18" s="79">
        <v>0.457833863452295</v>
      </c>
      <c r="N18" s="8"/>
      <c r="O18" s="17" t="s">
        <v>485</v>
      </c>
      <c r="P18" s="8"/>
      <c r="Q18" s="77">
        <v>-0.754491728865016</v>
      </c>
      <c r="R18" s="78"/>
      <c r="S18" s="79">
        <v>-0.712585833582901</v>
      </c>
      <c r="T18" s="79">
        <v>-1.17022728859826</v>
      </c>
      <c r="U18" s="80"/>
      <c r="V18" s="79">
        <v>-1.53566966229931</v>
      </c>
      <c r="W18" s="79">
        <v>-1.45948328925275</v>
      </c>
      <c r="X18" s="79">
        <v>-1.66510328125795</v>
      </c>
      <c r="Y18" s="79">
        <v>-1.42901369381528</v>
      </c>
      <c r="Z18" s="79">
        <v>-0.0154984313523786</v>
      </c>
      <c r="AA18" s="16"/>
      <c r="AB18" s="16">
        <f t="shared" si="0"/>
        <v>1</v>
      </c>
      <c r="AC18" s="81" t="s">
        <v>25</v>
      </c>
      <c r="AD18" s="82" t="s">
        <v>361</v>
      </c>
      <c r="AG18" s="76"/>
      <c r="AI18" s="76"/>
      <c r="AL18" s="76"/>
      <c r="AO18" s="76"/>
      <c r="AR18" s="76"/>
      <c r="AW18" s="76"/>
      <c r="BB18" s="76"/>
    </row>
    <row r="19" s="75" customFormat="1" ht="24" customHeight="1" spans="1:54">
      <c r="A19" s="16"/>
      <c r="B19" s="17" t="s">
        <v>486</v>
      </c>
      <c r="C19" s="8"/>
      <c r="D19" s="77">
        <v>1.38318516506499</v>
      </c>
      <c r="E19" s="78"/>
      <c r="F19" s="79">
        <v>1.21639217388429</v>
      </c>
      <c r="G19" s="79">
        <v>1.69837937401929</v>
      </c>
      <c r="H19" s="80"/>
      <c r="I19" s="79">
        <v>1.48878231315383</v>
      </c>
      <c r="J19" s="79">
        <v>1.76369957846194</v>
      </c>
      <c r="K19" s="79">
        <v>1.6630947664526</v>
      </c>
      <c r="L19" s="79">
        <v>1.82714938217547</v>
      </c>
      <c r="M19" s="79">
        <v>1.05499812348886</v>
      </c>
      <c r="N19" s="8"/>
      <c r="O19" s="17" t="s">
        <v>486</v>
      </c>
      <c r="P19" s="8"/>
      <c r="Q19" s="77">
        <v>-1.41142286488087</v>
      </c>
      <c r="R19" s="78"/>
      <c r="S19" s="79">
        <v>-1.21274509573817</v>
      </c>
      <c r="T19" s="79">
        <v>-2.20413819441576</v>
      </c>
      <c r="U19" s="80"/>
      <c r="V19" s="79">
        <v>-1.69675728739874</v>
      </c>
      <c r="W19" s="79">
        <v>-1.98052409867263</v>
      </c>
      <c r="X19" s="79">
        <v>-2.16179109088282</v>
      </c>
      <c r="Y19" s="79">
        <v>-2.06830936913006</v>
      </c>
      <c r="Z19" s="79">
        <v>-0.779745097157419</v>
      </c>
      <c r="AA19" s="16"/>
      <c r="AB19" s="16">
        <f t="shared" si="0"/>
        <v>1</v>
      </c>
      <c r="AC19" s="81" t="s">
        <v>26</v>
      </c>
      <c r="AD19" s="82" t="s">
        <v>363</v>
      </c>
      <c r="AG19" s="76"/>
      <c r="AI19" s="76"/>
      <c r="AL19" s="76"/>
      <c r="AO19" s="76"/>
      <c r="AR19" s="76"/>
      <c r="AW19" s="76"/>
      <c r="BB19" s="76"/>
    </row>
    <row r="20" s="75" customFormat="1" ht="24" customHeight="1" spans="1:54">
      <c r="A20" s="16"/>
      <c r="B20" s="17" t="s">
        <v>487</v>
      </c>
      <c r="C20" s="8"/>
      <c r="D20" s="77">
        <v>1.65926271642991</v>
      </c>
      <c r="E20" s="78"/>
      <c r="F20" s="79">
        <v>1.36785666051934</v>
      </c>
      <c r="G20" s="79">
        <v>2.54603911421165</v>
      </c>
      <c r="H20" s="80"/>
      <c r="I20" s="79">
        <v>1.15684957721971</v>
      </c>
      <c r="J20" s="79">
        <v>1.64269315770483</v>
      </c>
      <c r="K20" s="79">
        <v>2.50357386535822</v>
      </c>
      <c r="L20" s="79">
        <v>2.20989528855005</v>
      </c>
      <c r="M20" s="79">
        <v>1.02832471023052</v>
      </c>
      <c r="N20" s="8"/>
      <c r="O20" s="17" t="s">
        <v>487</v>
      </c>
      <c r="P20" s="8"/>
      <c r="Q20" s="77">
        <v>-1.68626927050458</v>
      </c>
      <c r="R20" s="78"/>
      <c r="S20" s="79">
        <v>-1.35931143991415</v>
      </c>
      <c r="T20" s="79">
        <v>-3.40149423731761</v>
      </c>
      <c r="U20" s="80"/>
      <c r="V20" s="79">
        <v>-1.86653440093351</v>
      </c>
      <c r="W20" s="79">
        <v>-1.55931892567838</v>
      </c>
      <c r="X20" s="79">
        <v>-3.18049927861839</v>
      </c>
      <c r="Y20" s="79">
        <v>-2.55509772260648</v>
      </c>
      <c r="Z20" s="79">
        <v>-0.748967048291603</v>
      </c>
      <c r="AA20" s="16"/>
      <c r="AB20" s="16">
        <f t="shared" si="0"/>
        <v>1</v>
      </c>
      <c r="AC20" s="81" t="s">
        <v>27</v>
      </c>
      <c r="AD20" s="82" t="s">
        <v>365</v>
      </c>
      <c r="AG20" s="76"/>
      <c r="AI20" s="76"/>
      <c r="AL20" s="76"/>
      <c r="AO20" s="76"/>
      <c r="AR20" s="76"/>
      <c r="AW20" s="76"/>
      <c r="BB20" s="76"/>
    </row>
    <row r="21" s="75" customFormat="1" ht="24" customHeight="1" spans="1:54">
      <c r="A21" s="16"/>
      <c r="B21" s="17" t="s">
        <v>488</v>
      </c>
      <c r="C21" s="8"/>
      <c r="D21" s="77">
        <v>0.982249093065184</v>
      </c>
      <c r="E21" s="78"/>
      <c r="F21" s="79">
        <v>0.853234255689011</v>
      </c>
      <c r="G21" s="79">
        <v>0.617065251050622</v>
      </c>
      <c r="H21" s="80"/>
      <c r="I21" s="79">
        <v>0.77067166231921</v>
      </c>
      <c r="J21" s="79">
        <v>0.731792020701094</v>
      </c>
      <c r="K21" s="79">
        <v>1.1543103097471</v>
      </c>
      <c r="L21" s="79">
        <v>0.811201222388874</v>
      </c>
      <c r="M21" s="79">
        <v>1.19888966394336</v>
      </c>
      <c r="N21" s="8"/>
      <c r="O21" s="17" t="s">
        <v>488</v>
      </c>
      <c r="P21" s="8"/>
      <c r="Q21" s="77">
        <v>-0.993299096312787</v>
      </c>
      <c r="R21" s="78"/>
      <c r="S21" s="79">
        <v>-0.869495750121762</v>
      </c>
      <c r="T21" s="79">
        <v>-0.779354492891874</v>
      </c>
      <c r="U21" s="80"/>
      <c r="V21" s="79">
        <v>-0.813372935727007</v>
      </c>
      <c r="W21" s="79">
        <v>-0.786297472662056</v>
      </c>
      <c r="X21" s="79">
        <v>-1.21371857953453</v>
      </c>
      <c r="Y21" s="79">
        <v>-0.888320563792954</v>
      </c>
      <c r="Z21" s="79">
        <v>-1.09395722066305</v>
      </c>
      <c r="AA21" s="16"/>
      <c r="AB21" s="16">
        <f t="shared" si="0"/>
        <v>1</v>
      </c>
      <c r="AC21" s="81" t="s">
        <v>28</v>
      </c>
      <c r="AD21" s="82" t="s">
        <v>489</v>
      </c>
      <c r="AG21" s="76"/>
      <c r="AI21" s="76"/>
      <c r="AL21" s="76"/>
      <c r="AO21" s="76"/>
      <c r="AR21" s="76"/>
      <c r="AW21" s="76"/>
      <c r="BB21" s="76"/>
    </row>
    <row r="22" s="75" customFormat="1" ht="24" customHeight="1" spans="1:54">
      <c r="A22" s="16"/>
      <c r="B22" s="17" t="s">
        <v>490</v>
      </c>
      <c r="C22" s="8"/>
      <c r="D22" s="77">
        <v>1.95272736128961</v>
      </c>
      <c r="E22" s="78"/>
      <c r="F22" s="79">
        <v>1.62228839367294</v>
      </c>
      <c r="G22" s="79">
        <v>2.33845407466858</v>
      </c>
      <c r="H22" s="80"/>
      <c r="I22" s="79">
        <v>0.921732226846428</v>
      </c>
      <c r="J22" s="79">
        <v>1.95819962370157</v>
      </c>
      <c r="K22" s="79">
        <v>2.67507207418549</v>
      </c>
      <c r="L22" s="79">
        <v>3.01976300411404</v>
      </c>
      <c r="M22" s="79">
        <v>1.16596633655726</v>
      </c>
      <c r="N22" s="8"/>
      <c r="O22" s="17" t="s">
        <v>490</v>
      </c>
      <c r="P22" s="8"/>
      <c r="Q22" s="77">
        <v>-2.097867294101</v>
      </c>
      <c r="R22" s="78"/>
      <c r="S22" s="79">
        <v>-1.62668551936635</v>
      </c>
      <c r="T22" s="79">
        <v>-4.6650294883739</v>
      </c>
      <c r="U22" s="80"/>
      <c r="V22" s="79">
        <v>-2.5291359170654</v>
      </c>
      <c r="W22" s="79">
        <v>-3.84848963867878</v>
      </c>
      <c r="X22" s="79">
        <v>-4.52881450695113</v>
      </c>
      <c r="Y22" s="79">
        <v>-4.64470560846222</v>
      </c>
      <c r="Z22" s="79">
        <v>-0.370580399615352</v>
      </c>
      <c r="AA22" s="16"/>
      <c r="AB22" s="16">
        <f t="shared" si="0"/>
        <v>1</v>
      </c>
      <c r="AC22" s="81" t="s">
        <v>29</v>
      </c>
      <c r="AD22" s="82" t="s">
        <v>491</v>
      </c>
      <c r="AG22" s="76"/>
      <c r="AI22" s="76"/>
      <c r="AL22" s="76"/>
      <c r="AO22" s="76"/>
      <c r="AR22" s="76"/>
      <c r="AW22" s="76"/>
      <c r="BB22" s="76"/>
    </row>
    <row r="23" s="75" customFormat="1" ht="24" customHeight="1" spans="1:54">
      <c r="A23" s="16"/>
      <c r="B23" s="21" t="s">
        <v>492</v>
      </c>
      <c r="C23" s="8"/>
      <c r="D23" s="77">
        <v>1.46833677993131</v>
      </c>
      <c r="E23" s="78"/>
      <c r="F23" s="79">
        <v>1.38066765672123</v>
      </c>
      <c r="G23" s="79">
        <v>1.22565974599912</v>
      </c>
      <c r="H23" s="80"/>
      <c r="I23" s="79">
        <v>1.16332970278173</v>
      </c>
      <c r="J23" s="79">
        <v>1.15175009240405</v>
      </c>
      <c r="K23" s="79">
        <v>1.95377277696872</v>
      </c>
      <c r="L23" s="79">
        <v>1.19224886423466</v>
      </c>
      <c r="M23" s="79">
        <v>1.21664092939238</v>
      </c>
      <c r="N23" s="8"/>
      <c r="O23" s="21" t="s">
        <v>492</v>
      </c>
      <c r="P23" s="8"/>
      <c r="Q23" s="77">
        <v>-1.45050038249726</v>
      </c>
      <c r="R23" s="78"/>
      <c r="S23" s="79">
        <v>-0.98429545856733</v>
      </c>
      <c r="T23" s="79">
        <v>-1.43629922996067</v>
      </c>
      <c r="U23" s="80"/>
      <c r="V23" s="79">
        <v>-1.25232194195344</v>
      </c>
      <c r="W23" s="79">
        <v>-1.25560356254367</v>
      </c>
      <c r="X23" s="79">
        <v>-2.10085543424324</v>
      </c>
      <c r="Y23" s="79">
        <v>-1.31320507174203</v>
      </c>
      <c r="Z23" s="79">
        <v>-1.0766413915987</v>
      </c>
      <c r="AA23" s="16"/>
      <c r="AB23" s="16">
        <f t="shared" si="0"/>
        <v>1</v>
      </c>
      <c r="AC23" s="81" t="s">
        <v>371</v>
      </c>
      <c r="AD23" s="83" t="s">
        <v>372</v>
      </c>
      <c r="AG23" s="76"/>
      <c r="AI23" s="76"/>
      <c r="AL23" s="76"/>
      <c r="AO23" s="76"/>
      <c r="AR23" s="76"/>
      <c r="AW23" s="76"/>
      <c r="BB23" s="76"/>
    </row>
    <row r="24" s="75" customFormat="1" ht="24" customHeight="1" spans="1:54">
      <c r="A24" s="16"/>
      <c r="B24" s="17" t="s">
        <v>493</v>
      </c>
      <c r="C24" s="8"/>
      <c r="D24" s="77">
        <v>1.50073819233444</v>
      </c>
      <c r="E24" s="78"/>
      <c r="F24" s="79">
        <v>1.41129762565068</v>
      </c>
      <c r="G24" s="79">
        <v>1.46665989921864</v>
      </c>
      <c r="H24" s="80"/>
      <c r="I24" s="79">
        <v>1.32020032593397</v>
      </c>
      <c r="J24" s="79">
        <v>1.0095392400663</v>
      </c>
      <c r="K24" s="79">
        <v>2.06595689232033</v>
      </c>
      <c r="L24" s="79">
        <v>1.32389731884916</v>
      </c>
      <c r="M24" s="79">
        <v>1.35295725949737</v>
      </c>
      <c r="N24" s="8"/>
      <c r="O24" s="17" t="s">
        <v>493</v>
      </c>
      <c r="P24" s="8"/>
      <c r="Q24" s="77">
        <v>-1.49794567358798</v>
      </c>
      <c r="R24" s="78"/>
      <c r="S24" s="79">
        <v>-1.38932991421235</v>
      </c>
      <c r="T24" s="79">
        <v>-1.7355895142691</v>
      </c>
      <c r="U24" s="80"/>
      <c r="V24" s="79">
        <v>-1.43088254110276</v>
      </c>
      <c r="W24" s="79">
        <v>-1.14494054362403</v>
      </c>
      <c r="X24" s="79">
        <v>-1.23678709444123</v>
      </c>
      <c r="Y24" s="79">
        <v>-1.50151672693546</v>
      </c>
      <c r="Z24" s="79">
        <v>-1.15467017266849</v>
      </c>
      <c r="AA24" s="16"/>
      <c r="AB24" s="16">
        <f t="shared" si="0"/>
        <v>1</v>
      </c>
      <c r="AC24" s="81" t="s">
        <v>31</v>
      </c>
      <c r="AD24" s="82" t="s">
        <v>374</v>
      </c>
      <c r="AG24" s="76"/>
      <c r="AI24" s="76"/>
      <c r="AL24" s="76"/>
      <c r="AO24" s="76"/>
      <c r="AR24" s="76"/>
      <c r="AW24" s="76"/>
      <c r="BB24" s="76"/>
    </row>
    <row r="25" s="76" customFormat="1" ht="9" customHeight="1" spans="1:54">
      <c r="A25" s="16"/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16"/>
      <c r="O25" s="22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16"/>
      <c r="AB25" s="16"/>
    </row>
    <row r="26" s="2" customFormat="1" ht="9" customHeight="1" spans="1:54">
      <c r="AO26" s="76"/>
      <c r="BB26" s="76"/>
    </row>
    <row r="27" s="1" customFormat="1" ht="27" customHeight="1" spans="1:54">
      <c r="A27" s="4"/>
      <c r="B27" s="5" t="s">
        <v>36</v>
      </c>
      <c r="C27" s="6"/>
      <c r="D27" s="5" t="s">
        <v>271</v>
      </c>
      <c r="E27" s="6"/>
      <c r="F27" s="7" t="s">
        <v>463</v>
      </c>
      <c r="G27" s="7"/>
      <c r="H27" s="6"/>
      <c r="I27" s="7" t="s">
        <v>464</v>
      </c>
      <c r="J27" s="7"/>
      <c r="K27" s="7"/>
      <c r="L27" s="7"/>
      <c r="M27" s="7"/>
      <c r="N27" s="8"/>
      <c r="O27" s="5" t="s">
        <v>494</v>
      </c>
      <c r="P27" s="9"/>
      <c r="Q27" s="5" t="s">
        <v>271</v>
      </c>
      <c r="R27" s="6"/>
      <c r="S27" s="7" t="s">
        <v>463</v>
      </c>
      <c r="T27" s="7"/>
      <c r="U27" s="6"/>
      <c r="V27" s="7" t="s">
        <v>464</v>
      </c>
      <c r="W27" s="7"/>
      <c r="X27" s="7"/>
      <c r="Y27" s="7"/>
      <c r="Z27" s="7"/>
      <c r="AA27" s="4"/>
      <c r="AB27" s="4"/>
      <c r="AG27" s="4"/>
      <c r="AI27" s="4"/>
      <c r="AL27" s="4"/>
      <c r="AO27" s="8"/>
      <c r="AR27" s="4"/>
      <c r="AW27" s="4"/>
      <c r="BB27" s="8"/>
    </row>
    <row r="28" s="1" customFormat="1" ht="27" customHeight="1" spans="1:54">
      <c r="A28" s="4"/>
      <c r="B28" s="10"/>
      <c r="C28" s="11"/>
      <c r="D28" s="10"/>
      <c r="E28" s="11"/>
      <c r="F28" s="12" t="s">
        <v>461</v>
      </c>
      <c r="G28" s="12" t="s">
        <v>462</v>
      </c>
      <c r="H28" s="11"/>
      <c r="I28" s="12" t="s">
        <v>3</v>
      </c>
      <c r="J28" s="12" t="s">
        <v>4</v>
      </c>
      <c r="K28" s="12" t="s">
        <v>5</v>
      </c>
      <c r="L28" s="12" t="s">
        <v>6</v>
      </c>
      <c r="M28" s="12" t="s">
        <v>7</v>
      </c>
      <c r="N28" s="8"/>
      <c r="O28" s="10"/>
      <c r="P28" s="13"/>
      <c r="Q28" s="10"/>
      <c r="R28" s="11"/>
      <c r="S28" s="12" t="s">
        <v>461</v>
      </c>
      <c r="T28" s="12" t="s">
        <v>462</v>
      </c>
      <c r="U28" s="11"/>
      <c r="V28" s="12" t="s">
        <v>3</v>
      </c>
      <c r="W28" s="12" t="s">
        <v>4</v>
      </c>
      <c r="X28" s="12" t="s">
        <v>5</v>
      </c>
      <c r="Y28" s="12" t="s">
        <v>6</v>
      </c>
      <c r="Z28" s="12" t="s">
        <v>7</v>
      </c>
      <c r="AA28" s="4"/>
      <c r="AB28" s="4"/>
      <c r="AG28" s="4"/>
      <c r="AI28" s="4"/>
      <c r="AL28" s="4"/>
      <c r="AO28" s="8"/>
      <c r="AR28" s="4"/>
      <c r="AW28" s="4"/>
      <c r="BB28" s="8"/>
    </row>
    <row r="29" s="76" customFormat="1" ht="9" customHeight="1" spans="1:54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  <c r="AB29" s="16"/>
    </row>
    <row r="30" s="75" customFormat="1" ht="24" customHeight="1" spans="1:54">
      <c r="A30" s="16"/>
      <c r="B30" s="17" t="s">
        <v>466</v>
      </c>
      <c r="C30" s="8"/>
      <c r="D30" s="77">
        <v>0.40012939265987</v>
      </c>
      <c r="E30" s="78"/>
      <c r="F30" s="79">
        <v>0.439415707472235</v>
      </c>
      <c r="G30" s="79">
        <v>0.687267634037585</v>
      </c>
      <c r="H30" s="80"/>
      <c r="I30" s="79">
        <v>1.00812831650257</v>
      </c>
      <c r="J30" s="79">
        <v>0.921025585193057</v>
      </c>
      <c r="K30" s="79">
        <v>0.936018629597534</v>
      </c>
      <c r="L30" s="79">
        <v>0.784742597227138</v>
      </c>
      <c r="M30" s="79">
        <v>0.449121208423391</v>
      </c>
      <c r="N30" s="8"/>
      <c r="O30" s="17" t="s">
        <v>466</v>
      </c>
      <c r="P30" s="8"/>
      <c r="Q30" s="77">
        <v>-0.439173640050531</v>
      </c>
      <c r="R30" s="78"/>
      <c r="S30" s="79">
        <v>-0.469251465193615</v>
      </c>
      <c r="T30" s="79">
        <v>-0.767648860083966</v>
      </c>
      <c r="U30" s="80"/>
      <c r="V30" s="79">
        <v>-1.01599871161061</v>
      </c>
      <c r="W30" s="79">
        <v>-0.957137303130522</v>
      </c>
      <c r="X30" s="79">
        <v>-0.969998940591794</v>
      </c>
      <c r="Y30" s="79">
        <v>-0.837748633892292</v>
      </c>
      <c r="Z30" s="79">
        <v>-0.439866014341069</v>
      </c>
      <c r="AA30" s="16"/>
      <c r="AB30" s="16"/>
      <c r="AG30" s="76"/>
      <c r="AI30" s="76"/>
      <c r="AL30" s="76"/>
      <c r="AO30" s="76"/>
      <c r="AR30" s="76"/>
      <c r="AW30" s="76"/>
      <c r="BB30" s="76"/>
    </row>
    <row r="31" s="75" customFormat="1" ht="24" customHeight="1" spans="1:54">
      <c r="A31" s="16"/>
      <c r="B31" s="17" t="s">
        <v>468</v>
      </c>
      <c r="C31" s="8"/>
      <c r="D31" s="77">
        <v>0.937164844187972</v>
      </c>
      <c r="E31" s="78"/>
      <c r="F31" s="79">
        <v>0.912980271369784</v>
      </c>
      <c r="G31" s="79">
        <v>0.875644725797499</v>
      </c>
      <c r="H31" s="80"/>
      <c r="I31" s="79">
        <v>1.0302135137454</v>
      </c>
      <c r="J31" s="79">
        <v>0.847541114693497</v>
      </c>
      <c r="K31" s="79">
        <v>0.93151282214922</v>
      </c>
      <c r="L31" s="79">
        <v>1.06457461817926</v>
      </c>
      <c r="M31" s="79">
        <v>0.895812214243601</v>
      </c>
      <c r="N31" s="8"/>
      <c r="O31" s="17" t="s">
        <v>468</v>
      </c>
      <c r="P31" s="8"/>
      <c r="Q31" s="77">
        <v>-1.0131318392006</v>
      </c>
      <c r="R31" s="78"/>
      <c r="S31" s="79">
        <v>-0.94078404598112</v>
      </c>
      <c r="T31" s="79">
        <v>-1.53816812324162</v>
      </c>
      <c r="U31" s="80"/>
      <c r="V31" s="79">
        <v>-1.20701650199668</v>
      </c>
      <c r="W31" s="79">
        <v>-1.17600033750663</v>
      </c>
      <c r="X31" s="79">
        <v>-1.24194672135127</v>
      </c>
      <c r="Y31" s="79">
        <v>-1.3734576956832</v>
      </c>
      <c r="Z31" s="79">
        <v>-0.709066838809937</v>
      </c>
      <c r="AA31" s="16"/>
      <c r="AB31" s="16"/>
      <c r="AG31" s="76"/>
      <c r="AI31" s="76"/>
      <c r="AL31" s="76"/>
      <c r="AO31" s="76"/>
      <c r="AR31" s="76"/>
      <c r="AW31" s="76"/>
      <c r="BB31" s="76"/>
    </row>
    <row r="32" s="75" customFormat="1" ht="24" customHeight="1" spans="1:54">
      <c r="A32" s="16"/>
      <c r="B32" s="17" t="s">
        <v>469</v>
      </c>
      <c r="C32" s="8"/>
      <c r="D32" s="77">
        <v>0.104930736370016</v>
      </c>
      <c r="E32" s="78"/>
      <c r="F32" s="79">
        <v>0.14988081065849</v>
      </c>
      <c r="G32" s="79">
        <v>0.499773638540686</v>
      </c>
      <c r="H32" s="80"/>
      <c r="I32" s="79">
        <v>0.704870446454583</v>
      </c>
      <c r="J32" s="79">
        <v>0.806955214445041</v>
      </c>
      <c r="K32" s="79">
        <v>0.603561202172971</v>
      </c>
      <c r="L32" s="79">
        <v>0.557297990452982</v>
      </c>
      <c r="M32" s="79">
        <v>0.199431478457934</v>
      </c>
      <c r="N32" s="8"/>
      <c r="O32" s="17" t="s">
        <v>469</v>
      </c>
      <c r="P32" s="8"/>
      <c r="Q32" s="77">
        <v>-1.88533688164402</v>
      </c>
      <c r="R32" s="78"/>
      <c r="S32" s="79">
        <v>-1.1464154694643</v>
      </c>
      <c r="T32" s="79">
        <v>-7.73514743463086</v>
      </c>
      <c r="U32" s="80"/>
      <c r="V32" s="79">
        <v>-2.57575082418454</v>
      </c>
      <c r="W32" s="79">
        <v>-6.05669104454438</v>
      </c>
      <c r="X32" s="79">
        <v>-6.78559228436303</v>
      </c>
      <c r="Y32" s="79">
        <v>-8.50956173442424</v>
      </c>
      <c r="Z32" s="79">
        <v>9.67705878630275</v>
      </c>
      <c r="AA32" s="16"/>
      <c r="AB32" s="16"/>
      <c r="AG32" s="76"/>
      <c r="AI32" s="76"/>
      <c r="AL32" s="76"/>
      <c r="AO32" s="76"/>
      <c r="AR32" s="76"/>
      <c r="AW32" s="76"/>
      <c r="BB32" s="76"/>
    </row>
    <row r="33" s="75" customFormat="1" ht="24" customHeight="1" spans="1:54">
      <c r="A33" s="16"/>
      <c r="B33" s="17" t="s">
        <v>470</v>
      </c>
      <c r="C33" s="8"/>
      <c r="D33" s="77">
        <v>0.490511477877507</v>
      </c>
      <c r="E33" s="78"/>
      <c r="F33" s="79">
        <v>0.499346541315005</v>
      </c>
      <c r="G33" s="79">
        <v>0.676091620594271</v>
      </c>
      <c r="H33" s="80"/>
      <c r="I33" s="79">
        <v>0.94815138044614</v>
      </c>
      <c r="J33" s="79">
        <v>0.871027846817476</v>
      </c>
      <c r="K33" s="79">
        <v>0.848372699458314</v>
      </c>
      <c r="L33" s="79">
        <v>0.757808657552641</v>
      </c>
      <c r="M33" s="79">
        <v>0.508136380008612</v>
      </c>
      <c r="N33" s="8"/>
      <c r="O33" s="17" t="s">
        <v>470</v>
      </c>
      <c r="P33" s="8"/>
      <c r="Q33" s="77">
        <v>-0.551489516317134</v>
      </c>
      <c r="R33" s="78"/>
      <c r="S33" s="79">
        <v>-0.552600770473784</v>
      </c>
      <c r="T33" s="79">
        <v>-0.763270628313596</v>
      </c>
      <c r="U33" s="80"/>
      <c r="V33" s="79">
        <v>-0.968556134713936</v>
      </c>
      <c r="W33" s="79">
        <v>-0.915563346432556</v>
      </c>
      <c r="X33" s="79">
        <v>-0.89547842803786</v>
      </c>
      <c r="Y33" s="79">
        <v>-0.816889940381446</v>
      </c>
      <c r="Z33" s="79">
        <v>-0.534792188191839</v>
      </c>
      <c r="AA33" s="16"/>
      <c r="AB33" s="16"/>
      <c r="AG33" s="76"/>
      <c r="AI33" s="76"/>
      <c r="AL33" s="76"/>
      <c r="AO33" s="76"/>
      <c r="AR33" s="76"/>
      <c r="AW33" s="76"/>
      <c r="BB33" s="76"/>
    </row>
    <row r="34" s="75" customFormat="1" ht="24" customHeight="1" spans="1:54">
      <c r="A34" s="16"/>
      <c r="B34" s="17" t="s">
        <v>471</v>
      </c>
      <c r="C34" s="8"/>
      <c r="D34" s="77">
        <v>1.36880360284833</v>
      </c>
      <c r="E34" s="78"/>
      <c r="F34" s="79">
        <v>1.39929684085223</v>
      </c>
      <c r="G34" s="79">
        <v>1.28809105317826</v>
      </c>
      <c r="H34" s="80"/>
      <c r="I34" s="79">
        <v>1.61318358277722</v>
      </c>
      <c r="J34" s="79">
        <v>1.50970890875083</v>
      </c>
      <c r="K34" s="79">
        <v>1.21735754664038</v>
      </c>
      <c r="L34" s="79">
        <v>1.25764939929273</v>
      </c>
      <c r="M34" s="79">
        <v>1.45755887059609</v>
      </c>
      <c r="N34" s="8"/>
      <c r="O34" s="17" t="s">
        <v>471</v>
      </c>
      <c r="P34" s="8"/>
      <c r="Q34" s="77">
        <v>-1.3772023611052</v>
      </c>
      <c r="R34" s="78"/>
      <c r="S34" s="79">
        <v>-1.38827291892408</v>
      </c>
      <c r="T34" s="79">
        <v>-1.49745148451702</v>
      </c>
      <c r="U34" s="80"/>
      <c r="V34" s="79">
        <v>-1.65672917926015</v>
      </c>
      <c r="W34" s="79">
        <v>-1.62245159997797</v>
      </c>
      <c r="X34" s="79">
        <v>-1.31991355833799</v>
      </c>
      <c r="Y34" s="79">
        <v>-1.35456938684589</v>
      </c>
      <c r="Z34" s="79">
        <v>-1.36811625833927</v>
      </c>
      <c r="AA34" s="16"/>
      <c r="AB34" s="16"/>
      <c r="AG34" s="76"/>
      <c r="AI34" s="76"/>
      <c r="AL34" s="76"/>
      <c r="AO34" s="76"/>
      <c r="AR34" s="76"/>
      <c r="AW34" s="76"/>
      <c r="BB34" s="76"/>
    </row>
    <row r="35" s="75" customFormat="1" ht="24" customHeight="1" spans="1:54">
      <c r="A35" s="16"/>
      <c r="B35" s="17" t="s">
        <v>473</v>
      </c>
      <c r="C35" s="8"/>
      <c r="D35" s="77">
        <v>0.922743843121122</v>
      </c>
      <c r="E35" s="78"/>
      <c r="F35" s="79">
        <v>0.893818903176997</v>
      </c>
      <c r="G35" s="79">
        <v>1.09974265137597</v>
      </c>
      <c r="H35" s="80"/>
      <c r="I35" s="79">
        <v>1.22050152105558</v>
      </c>
      <c r="J35" s="79">
        <v>1.1264975480271</v>
      </c>
      <c r="K35" s="79">
        <v>1.08955457964013</v>
      </c>
      <c r="L35" s="79">
        <v>1.14359664610099</v>
      </c>
      <c r="M35" s="79">
        <v>0.832145080044927</v>
      </c>
      <c r="N35" s="8"/>
      <c r="O35" s="17" t="s">
        <v>473</v>
      </c>
      <c r="P35" s="8"/>
      <c r="Q35" s="77">
        <v>-0.947180552921931</v>
      </c>
      <c r="R35" s="78"/>
      <c r="S35" s="79">
        <v>-0.906105645040229</v>
      </c>
      <c r="T35" s="79">
        <v>-1.26154791700142</v>
      </c>
      <c r="U35" s="80"/>
      <c r="V35" s="79">
        <v>-1.25494740788115</v>
      </c>
      <c r="W35" s="79">
        <v>-1.21218004255468</v>
      </c>
      <c r="X35" s="79">
        <v>-1.17049375549814</v>
      </c>
      <c r="Y35" s="79">
        <v>-1.21978066257376</v>
      </c>
      <c r="Z35" s="79">
        <v>-0.785933673569914</v>
      </c>
      <c r="AA35" s="16"/>
      <c r="AB35" s="16"/>
      <c r="AG35" s="76"/>
      <c r="AI35" s="76"/>
      <c r="AL35" s="76"/>
      <c r="AO35" s="76"/>
      <c r="AR35" s="76"/>
      <c r="AW35" s="76"/>
      <c r="BB35" s="76"/>
    </row>
    <row r="36" s="75" customFormat="1" ht="24" customHeight="1" spans="1:54">
      <c r="A36" s="16"/>
      <c r="B36" s="17" t="s">
        <v>474</v>
      </c>
      <c r="C36" s="8"/>
      <c r="D36" s="77">
        <v>2.43978099198705</v>
      </c>
      <c r="E36" s="78"/>
      <c r="F36" s="79">
        <v>2.36053739477788</v>
      </c>
      <c r="G36" s="79">
        <v>2.31449185928135</v>
      </c>
      <c r="H36" s="80"/>
      <c r="I36" s="79">
        <v>1.14818868306109</v>
      </c>
      <c r="J36" s="79">
        <v>1.87174132478898</v>
      </c>
      <c r="K36" s="79">
        <v>1.47162770472262</v>
      </c>
      <c r="L36" s="79">
        <v>1.78258056053567</v>
      </c>
      <c r="M36" s="79">
        <v>1.96520209552435</v>
      </c>
      <c r="N36" s="8"/>
      <c r="O36" s="17" t="s">
        <v>474</v>
      </c>
      <c r="P36" s="8"/>
      <c r="Q36" s="77">
        <v>-2.33908755230611</v>
      </c>
      <c r="R36" s="78"/>
      <c r="S36" s="79">
        <v>-2.24138910742586</v>
      </c>
      <c r="T36" s="79">
        <v>-2.54482319209126</v>
      </c>
      <c r="U36" s="80"/>
      <c r="V36" s="79">
        <v>-1.27655653804671</v>
      </c>
      <c r="W36" s="79">
        <v>-2.06680263777598</v>
      </c>
      <c r="X36" s="79">
        <v>-1.64702334701879</v>
      </c>
      <c r="Y36" s="79">
        <v>-1.87824201512229</v>
      </c>
      <c r="Z36" s="79">
        <v>-1.81619161811958</v>
      </c>
      <c r="AA36" s="16"/>
      <c r="AB36" s="16"/>
      <c r="AG36" s="76"/>
      <c r="AI36" s="76"/>
      <c r="AL36" s="76"/>
      <c r="AO36" s="76"/>
      <c r="AR36" s="76"/>
      <c r="AW36" s="76"/>
      <c r="BB36" s="76"/>
    </row>
    <row r="37" s="75" customFormat="1" ht="24" customHeight="1" spans="1:54">
      <c r="A37" s="16"/>
      <c r="B37" s="17" t="s">
        <v>475</v>
      </c>
      <c r="C37" s="8"/>
      <c r="D37" s="77">
        <v>1.67161422114897</v>
      </c>
      <c r="E37" s="78"/>
      <c r="F37" s="79">
        <v>1.60278385375238</v>
      </c>
      <c r="G37" s="79">
        <v>1.93667868098651</v>
      </c>
      <c r="H37" s="80"/>
      <c r="I37" s="79">
        <v>1.81448953801734</v>
      </c>
      <c r="J37" s="79">
        <v>1.28064370484467</v>
      </c>
      <c r="K37" s="79">
        <v>1.23706809990595</v>
      </c>
      <c r="L37" s="79">
        <v>1.59306877939265</v>
      </c>
      <c r="M37" s="79">
        <v>1.16977221097383</v>
      </c>
      <c r="N37" s="8"/>
      <c r="O37" s="17" t="s">
        <v>475</v>
      </c>
      <c r="P37" s="8"/>
      <c r="Q37" s="77">
        <v>-1.76692559373027</v>
      </c>
      <c r="R37" s="78"/>
      <c r="S37" s="79">
        <v>-1.62948037815426</v>
      </c>
      <c r="T37" s="79">
        <v>-2.94163287410403</v>
      </c>
      <c r="U37" s="80"/>
      <c r="V37" s="79">
        <v>-2.3267504294539</v>
      </c>
      <c r="W37" s="79">
        <v>-2.12186879533442</v>
      </c>
      <c r="X37" s="79">
        <v>-1.85572821018609</v>
      </c>
      <c r="Y37" s="79">
        <v>-2.03852842524086</v>
      </c>
      <c r="Z37" s="79">
        <v>-0.984717831430099</v>
      </c>
      <c r="AA37" s="16"/>
      <c r="AB37" s="16"/>
      <c r="AG37" s="76"/>
      <c r="AI37" s="76"/>
      <c r="AL37" s="76"/>
      <c r="AO37" s="76"/>
      <c r="AR37" s="76"/>
      <c r="AW37" s="76"/>
      <c r="BB37" s="76"/>
    </row>
    <row r="38" s="75" customFormat="1" ht="24" customHeight="1" spans="1:54">
      <c r="A38" s="16"/>
      <c r="B38" s="17" t="s">
        <v>477</v>
      </c>
      <c r="C38" s="8"/>
      <c r="D38" s="77">
        <v>1.12364654431306</v>
      </c>
      <c r="E38" s="78"/>
      <c r="F38" s="79">
        <v>1.14924431855877</v>
      </c>
      <c r="G38" s="79">
        <v>1.22538022622265</v>
      </c>
      <c r="H38" s="80"/>
      <c r="I38" s="79">
        <v>0.795899196474852</v>
      </c>
      <c r="J38" s="79">
        <v>1.10134548342468</v>
      </c>
      <c r="K38" s="79">
        <v>1.23722410064592</v>
      </c>
      <c r="L38" s="79">
        <v>1.39145315592485</v>
      </c>
      <c r="M38" s="79">
        <v>1.01196001356732</v>
      </c>
      <c r="N38" s="8"/>
      <c r="O38" s="17" t="s">
        <v>477</v>
      </c>
      <c r="P38" s="8"/>
      <c r="Q38" s="77">
        <v>-1.14766297453514</v>
      </c>
      <c r="R38" s="78"/>
      <c r="S38" s="79">
        <v>-1.15419209529388</v>
      </c>
      <c r="T38" s="79">
        <v>-1.42992887343135</v>
      </c>
      <c r="U38" s="80"/>
      <c r="V38" s="79">
        <v>-0.864699768391256</v>
      </c>
      <c r="W38" s="79">
        <v>-1.23792546360854</v>
      </c>
      <c r="X38" s="79">
        <v>-1.36311717184453</v>
      </c>
      <c r="Y38" s="79">
        <v>-1.4981911018251</v>
      </c>
      <c r="Z38" s="79">
        <v>-0.945612099943004</v>
      </c>
      <c r="AA38" s="16"/>
      <c r="AB38" s="16"/>
      <c r="AG38" s="76"/>
      <c r="AI38" s="76"/>
      <c r="AL38" s="76"/>
      <c r="AO38" s="76"/>
      <c r="AR38" s="76"/>
      <c r="AW38" s="76"/>
      <c r="BB38" s="76"/>
    </row>
    <row r="39" s="75" customFormat="1" ht="24" customHeight="1" spans="1:54">
      <c r="A39" s="16"/>
      <c r="B39" s="17" t="s">
        <v>479</v>
      </c>
      <c r="C39" s="8"/>
      <c r="D39" s="77">
        <v>0.405572073703879</v>
      </c>
      <c r="E39" s="78"/>
      <c r="F39" s="79">
        <v>0.339358493818827</v>
      </c>
      <c r="G39" s="79">
        <v>0.409110009666946</v>
      </c>
      <c r="H39" s="80"/>
      <c r="I39" s="79">
        <v>0.564190927720203</v>
      </c>
      <c r="J39" s="79">
        <v>0.556778949796371</v>
      </c>
      <c r="K39" s="79">
        <v>0.627167705221786</v>
      </c>
      <c r="L39" s="79">
        <v>0.516647140089077</v>
      </c>
      <c r="M39" s="79">
        <v>0.435266392164185</v>
      </c>
      <c r="N39" s="8"/>
      <c r="O39" s="17" t="s">
        <v>479</v>
      </c>
      <c r="P39" s="8"/>
      <c r="Q39" s="77">
        <v>-0.442131242887866</v>
      </c>
      <c r="R39" s="78"/>
      <c r="S39" s="79">
        <v>-0.357943833540498</v>
      </c>
      <c r="T39" s="79">
        <v>-0.66841785188867</v>
      </c>
      <c r="U39" s="80"/>
      <c r="V39" s="79">
        <v>-0.621057269284116</v>
      </c>
      <c r="W39" s="79">
        <v>-0.664597434156645</v>
      </c>
      <c r="X39" s="79">
        <v>-0.733418250305377</v>
      </c>
      <c r="Y39" s="79">
        <v>-0.638440293329585</v>
      </c>
      <c r="Z39" s="79">
        <v>-0.347872856129477</v>
      </c>
      <c r="AA39" s="16"/>
      <c r="AB39" s="16"/>
      <c r="AG39" s="76"/>
      <c r="AI39" s="76"/>
      <c r="AL39" s="76"/>
      <c r="AO39" s="76"/>
      <c r="AR39" s="76"/>
      <c r="AW39" s="76"/>
      <c r="BB39" s="76"/>
    </row>
    <row r="40" s="75" customFormat="1" ht="24" customHeight="1" spans="1:54">
      <c r="A40" s="16"/>
      <c r="B40" s="17" t="s">
        <v>481</v>
      </c>
      <c r="C40" s="8"/>
      <c r="D40" s="77">
        <v>1.30381303701509</v>
      </c>
      <c r="E40" s="78"/>
      <c r="F40" s="79">
        <v>1.29386454544464</v>
      </c>
      <c r="G40" s="79">
        <v>2.17748501921423</v>
      </c>
      <c r="H40" s="80"/>
      <c r="I40" s="79">
        <v>1.9294529863772</v>
      </c>
      <c r="J40" s="79">
        <v>1.95404408929338</v>
      </c>
      <c r="K40" s="79">
        <v>1.90359688438783</v>
      </c>
      <c r="L40" s="79">
        <v>1.59961442433157</v>
      </c>
      <c r="M40" s="79">
        <v>0.862650252686231</v>
      </c>
      <c r="N40" s="8"/>
      <c r="O40" s="17" t="s">
        <v>481</v>
      </c>
      <c r="P40" s="8"/>
      <c r="Q40" s="77">
        <v>-1.34125516138655</v>
      </c>
      <c r="R40" s="78"/>
      <c r="S40" s="79">
        <v>-1.3053063370508</v>
      </c>
      <c r="T40" s="79">
        <v>-2.37760502670418</v>
      </c>
      <c r="U40" s="80"/>
      <c r="V40" s="79">
        <v>-2.12323277886074</v>
      </c>
      <c r="W40" s="79">
        <v>-2.22079429521755</v>
      </c>
      <c r="X40" s="79">
        <v>-2.07832260264534</v>
      </c>
      <c r="Y40" s="79">
        <v>-1.75348529809327</v>
      </c>
      <c r="Z40" s="79">
        <v>-0.773172397299844</v>
      </c>
      <c r="AA40" s="16"/>
      <c r="AB40" s="16"/>
      <c r="AG40" s="76"/>
      <c r="AI40" s="76"/>
      <c r="AL40" s="76"/>
      <c r="AO40" s="76"/>
      <c r="AR40" s="76"/>
      <c r="AW40" s="76"/>
      <c r="BB40" s="76"/>
    </row>
    <row r="41" s="75" customFormat="1" ht="24" customHeight="1" spans="1:54">
      <c r="A41" s="16"/>
      <c r="B41" s="17" t="s">
        <v>482</v>
      </c>
      <c r="C41" s="8"/>
      <c r="D41" s="77">
        <v>1.87007308222215</v>
      </c>
      <c r="E41" s="78"/>
      <c r="F41" s="79">
        <v>1.7969773835689</v>
      </c>
      <c r="G41" s="79">
        <v>2.55754217791877</v>
      </c>
      <c r="H41" s="80"/>
      <c r="I41" s="79">
        <v>2.62532026410103</v>
      </c>
      <c r="J41" s="79">
        <v>2.52521702344234</v>
      </c>
      <c r="K41" s="79">
        <v>2.72994199891913</v>
      </c>
      <c r="L41" s="79">
        <v>2.45498279116214</v>
      </c>
      <c r="M41" s="79">
        <v>1.1079869125713</v>
      </c>
      <c r="N41" s="8"/>
      <c r="O41" s="17" t="s">
        <v>482</v>
      </c>
      <c r="P41" s="8"/>
      <c r="Q41" s="77">
        <v>-1.93596253042889</v>
      </c>
      <c r="R41" s="78"/>
      <c r="S41" s="79">
        <v>-1.80974630780724</v>
      </c>
      <c r="T41" s="79">
        <v>-3.24546992273434</v>
      </c>
      <c r="U41" s="80"/>
      <c r="V41" s="79">
        <v>-3.19741842185564</v>
      </c>
      <c r="W41" s="79">
        <v>-3.47041821662771</v>
      </c>
      <c r="X41" s="79">
        <v>-3.28850672867787</v>
      </c>
      <c r="Y41" s="79">
        <v>-2.73663043325365</v>
      </c>
      <c r="Z41" s="79">
        <v>-0.967476607698868</v>
      </c>
      <c r="AA41" s="16"/>
      <c r="AB41" s="16"/>
      <c r="AG41" s="76"/>
      <c r="AI41" s="76"/>
      <c r="AL41" s="76"/>
      <c r="AO41" s="76"/>
      <c r="AR41" s="76"/>
      <c r="AW41" s="76"/>
      <c r="BB41" s="76"/>
    </row>
    <row r="42" s="75" customFormat="1" ht="24" customHeight="1" spans="1:54">
      <c r="A42" s="16"/>
      <c r="B42" s="17" t="s">
        <v>484</v>
      </c>
      <c r="C42" s="8"/>
      <c r="D42" s="77">
        <v>1.41086422720429</v>
      </c>
      <c r="E42" s="78"/>
      <c r="F42" s="79">
        <v>1.40934495276323</v>
      </c>
      <c r="G42" s="79">
        <v>1.69753237099063</v>
      </c>
      <c r="H42" s="80"/>
      <c r="I42" s="79">
        <v>1.71211987253024</v>
      </c>
      <c r="J42" s="79">
        <v>1.92513075035769</v>
      </c>
      <c r="K42" s="79">
        <v>1.61988182580532</v>
      </c>
      <c r="L42" s="79">
        <v>1.48574468280489</v>
      </c>
      <c r="M42" s="79">
        <v>1.08278121326196</v>
      </c>
      <c r="N42" s="8"/>
      <c r="O42" s="17" t="s">
        <v>484</v>
      </c>
      <c r="P42" s="8"/>
      <c r="Q42" s="77">
        <v>-1.4084701383241</v>
      </c>
      <c r="R42" s="78"/>
      <c r="S42" s="79">
        <v>-1.39289924999273</v>
      </c>
      <c r="T42" s="79">
        <v>-1.82061496319015</v>
      </c>
      <c r="U42" s="80"/>
      <c r="V42" s="79">
        <v>-1.76960092821304</v>
      </c>
      <c r="W42" s="79">
        <v>-1.99636783540541</v>
      </c>
      <c r="X42" s="79">
        <v>-1.69064503469326</v>
      </c>
      <c r="Y42" s="79">
        <v>-1.54938658757874</v>
      </c>
      <c r="Z42" s="79">
        <v>-1.03231316417485</v>
      </c>
      <c r="AA42" s="16"/>
      <c r="AB42" s="16"/>
      <c r="AG42" s="76"/>
      <c r="AI42" s="76"/>
      <c r="AL42" s="76"/>
      <c r="AO42" s="76"/>
      <c r="AR42" s="76"/>
      <c r="AW42" s="76"/>
      <c r="BB42" s="76"/>
    </row>
    <row r="43" s="75" customFormat="1" ht="24" customHeight="1" spans="1:54">
      <c r="A43" s="16"/>
      <c r="B43" s="17" t="s">
        <v>485</v>
      </c>
      <c r="C43" s="8"/>
      <c r="D43" s="77">
        <v>1.11696894800404</v>
      </c>
      <c r="E43" s="78"/>
      <c r="F43" s="79">
        <v>1.17995321627048</v>
      </c>
      <c r="G43" s="79">
        <v>0.899211750810724</v>
      </c>
      <c r="H43" s="80"/>
      <c r="I43" s="79">
        <v>1.33666593885455</v>
      </c>
      <c r="J43" s="79">
        <v>1.18253269241749</v>
      </c>
      <c r="K43" s="79">
        <v>0.968056512300013</v>
      </c>
      <c r="L43" s="79">
        <v>0.871758100090123</v>
      </c>
      <c r="M43" s="79">
        <v>1.20241226459202</v>
      </c>
      <c r="N43" s="8"/>
      <c r="O43" s="17" t="s">
        <v>485</v>
      </c>
      <c r="P43" s="8"/>
      <c r="Q43" s="77">
        <v>-1.15750424101635</v>
      </c>
      <c r="R43" s="78"/>
      <c r="S43" s="79">
        <v>-1.19116878269748</v>
      </c>
      <c r="T43" s="79">
        <v>-1.23886403596233</v>
      </c>
      <c r="U43" s="80"/>
      <c r="V43" s="79">
        <v>-1.43017639875886</v>
      </c>
      <c r="W43" s="79">
        <v>-1.3701883181044</v>
      </c>
      <c r="X43" s="79">
        <v>-1.14670150824508</v>
      </c>
      <c r="Y43" s="79">
        <v>-1.06387880474049</v>
      </c>
      <c r="Z43" s="79">
        <v>-1.0906570079454</v>
      </c>
      <c r="AA43" s="16"/>
      <c r="AB43" s="16"/>
      <c r="AG43" s="76"/>
      <c r="AI43" s="76"/>
      <c r="AL43" s="76"/>
      <c r="AO43" s="76"/>
      <c r="AR43" s="76"/>
      <c r="AW43" s="76"/>
      <c r="BB43" s="76"/>
    </row>
    <row r="44" s="75" customFormat="1" ht="24" customHeight="1" spans="1:54">
      <c r="A44" s="16"/>
      <c r="B44" s="17" t="s">
        <v>486</v>
      </c>
      <c r="C44" s="8"/>
      <c r="D44" s="77">
        <v>1.23336893183315</v>
      </c>
      <c r="E44" s="78"/>
      <c r="F44" s="79">
        <v>1.11559034995416</v>
      </c>
      <c r="G44" s="79">
        <v>1.27119365420114</v>
      </c>
      <c r="H44" s="80"/>
      <c r="I44" s="79">
        <v>1.50810438168069</v>
      </c>
      <c r="J44" s="79">
        <v>1.43455833054347</v>
      </c>
      <c r="K44" s="79">
        <v>1.27758010464011</v>
      </c>
      <c r="L44" s="79">
        <v>1.30288766879416</v>
      </c>
      <c r="M44" s="79">
        <v>0.957066398268372</v>
      </c>
      <c r="N44" s="8"/>
      <c r="O44" s="17" t="s">
        <v>486</v>
      </c>
      <c r="P44" s="8"/>
      <c r="Q44" s="77">
        <v>-1.28000098534158</v>
      </c>
      <c r="R44" s="78"/>
      <c r="S44" s="79">
        <v>-1.12983457894172</v>
      </c>
      <c r="T44" s="79">
        <v>-1.63110084721175</v>
      </c>
      <c r="U44" s="80"/>
      <c r="V44" s="79">
        <v>-1.67449913702314</v>
      </c>
      <c r="W44" s="79">
        <v>-1.71124735324861</v>
      </c>
      <c r="X44" s="79">
        <v>-1.50820588206631</v>
      </c>
      <c r="Y44" s="79">
        <v>-1.51246080201112</v>
      </c>
      <c r="Z44" s="79">
        <v>-0.848965605090933</v>
      </c>
      <c r="AA44" s="16"/>
      <c r="AB44" s="16"/>
      <c r="AG44" s="76"/>
      <c r="AI44" s="76"/>
      <c r="AL44" s="76"/>
      <c r="AO44" s="76"/>
      <c r="AR44" s="76"/>
      <c r="AW44" s="76"/>
      <c r="BB44" s="76"/>
    </row>
    <row r="45" s="75" customFormat="1" ht="24" customHeight="1" spans="1:54">
      <c r="A45" s="16"/>
      <c r="B45" s="17" t="s">
        <v>487</v>
      </c>
      <c r="C45" s="8"/>
      <c r="D45" s="77">
        <v>1.71479992371488</v>
      </c>
      <c r="E45" s="78"/>
      <c r="F45" s="79">
        <v>1.50018960429573</v>
      </c>
      <c r="G45" s="79">
        <v>1.79358017446563</v>
      </c>
      <c r="H45" s="80"/>
      <c r="I45" s="79">
        <v>1.58813686693717</v>
      </c>
      <c r="J45" s="79">
        <v>1.72128662075112</v>
      </c>
      <c r="K45" s="79">
        <v>1.74780955425726</v>
      </c>
      <c r="L45" s="79">
        <v>1.50309481132467</v>
      </c>
      <c r="M45" s="79">
        <v>1.10348400391607</v>
      </c>
      <c r="N45" s="8"/>
      <c r="O45" s="17" t="s">
        <v>487</v>
      </c>
      <c r="P45" s="8"/>
      <c r="Q45" s="77">
        <v>-1.7277171350295</v>
      </c>
      <c r="R45" s="78"/>
      <c r="S45" s="79">
        <v>-1.49147286478951</v>
      </c>
      <c r="T45" s="79">
        <v>-2.56858429557546</v>
      </c>
      <c r="U45" s="80"/>
      <c r="V45" s="79">
        <v>-1.89534764592424</v>
      </c>
      <c r="W45" s="79">
        <v>-2.09447454714762</v>
      </c>
      <c r="X45" s="79">
        <v>-1.97811394556044</v>
      </c>
      <c r="Y45" s="79">
        <v>-1.66619901792273</v>
      </c>
      <c r="Z45" s="79">
        <v>-1.02971283388508</v>
      </c>
      <c r="AA45" s="16"/>
      <c r="AB45" s="16"/>
      <c r="AG45" s="76"/>
      <c r="AI45" s="76"/>
      <c r="AL45" s="76"/>
      <c r="AO45" s="76"/>
      <c r="AR45" s="76"/>
      <c r="AW45" s="76"/>
      <c r="BB45" s="76"/>
    </row>
    <row r="46" s="75" customFormat="1" ht="24" customHeight="1" spans="1:54">
      <c r="A46" s="16"/>
      <c r="B46" s="17" t="s">
        <v>488</v>
      </c>
      <c r="C46" s="8"/>
      <c r="D46" s="77">
        <v>0.906871258632298</v>
      </c>
      <c r="E46" s="78"/>
      <c r="F46" s="79">
        <v>0.796300740407712</v>
      </c>
      <c r="G46" s="79">
        <v>0.686665860116334</v>
      </c>
      <c r="H46" s="80"/>
      <c r="I46" s="79">
        <v>0.443778437111582</v>
      </c>
      <c r="J46" s="79">
        <v>0.450487372586129</v>
      </c>
      <c r="K46" s="79">
        <v>0.478061421434978</v>
      </c>
      <c r="L46" s="79">
        <v>0.503200760493545</v>
      </c>
      <c r="M46" s="79">
        <v>0.883872131065642</v>
      </c>
      <c r="N46" s="8"/>
      <c r="O46" s="17" t="s">
        <v>488</v>
      </c>
      <c r="P46" s="8"/>
      <c r="Q46" s="77">
        <v>-0.925628180091058</v>
      </c>
      <c r="R46" s="78"/>
      <c r="S46" s="79">
        <v>-0.825510080276855</v>
      </c>
      <c r="T46" s="79">
        <v>-0.795065220569857</v>
      </c>
      <c r="U46" s="80"/>
      <c r="V46" s="79">
        <v>-0.494035443446836</v>
      </c>
      <c r="W46" s="79">
        <v>-0.517420369587628</v>
      </c>
      <c r="X46" s="79">
        <v>-0.542901056576915</v>
      </c>
      <c r="Y46" s="79">
        <v>-0.568340393250123</v>
      </c>
      <c r="Z46" s="79">
        <v>-0.884807654940918</v>
      </c>
      <c r="AA46" s="16"/>
      <c r="AB46" s="16"/>
      <c r="AG46" s="76"/>
      <c r="AI46" s="76"/>
      <c r="AL46" s="76"/>
      <c r="AO46" s="76"/>
      <c r="AR46" s="76"/>
      <c r="AW46" s="76"/>
      <c r="BB46" s="76"/>
    </row>
    <row r="47" s="75" customFormat="1" ht="24" customHeight="1" spans="1:54">
      <c r="A47" s="16"/>
      <c r="B47" s="17" t="s">
        <v>490</v>
      </c>
      <c r="C47" s="8"/>
      <c r="D47" s="77">
        <v>2.10694209240997</v>
      </c>
      <c r="E47" s="78"/>
      <c r="F47" s="79">
        <v>1.78150456669313</v>
      </c>
      <c r="G47" s="79">
        <v>2.86543093577761</v>
      </c>
      <c r="H47" s="80"/>
      <c r="I47" s="79">
        <v>1.47190319029401</v>
      </c>
      <c r="J47" s="79">
        <v>1.50644472156396</v>
      </c>
      <c r="K47" s="79">
        <v>1.36019405364204</v>
      </c>
      <c r="L47" s="79">
        <v>1.70495021236913</v>
      </c>
      <c r="M47" s="79">
        <v>1.41851387107982</v>
      </c>
      <c r="N47" s="8"/>
      <c r="O47" s="17" t="s">
        <v>490</v>
      </c>
      <c r="P47" s="8"/>
      <c r="Q47" s="77">
        <v>-2.17409696045578</v>
      </c>
      <c r="R47" s="78"/>
      <c r="S47" s="79">
        <v>-1.78891833196458</v>
      </c>
      <c r="T47" s="79">
        <v>-5.67714408318119</v>
      </c>
      <c r="U47" s="80"/>
      <c r="V47" s="79">
        <v>-2.30915397431625</v>
      </c>
      <c r="W47" s="79">
        <v>-2.5784902177579</v>
      </c>
      <c r="X47" s="79">
        <v>-1.94997627509415</v>
      </c>
      <c r="Y47" s="79">
        <v>-2.13051227958867</v>
      </c>
      <c r="Z47" s="79">
        <v>-1.26736672836858</v>
      </c>
      <c r="AA47" s="16"/>
      <c r="AB47" s="16"/>
      <c r="AG47" s="76"/>
      <c r="AI47" s="76"/>
      <c r="AL47" s="76"/>
      <c r="AO47" s="76"/>
      <c r="AR47" s="76"/>
      <c r="AW47" s="76"/>
      <c r="BB47" s="76"/>
    </row>
    <row r="48" s="75" customFormat="1" ht="24" customHeight="1" spans="1:54">
      <c r="A48" s="16"/>
      <c r="B48" s="21" t="s">
        <v>492</v>
      </c>
      <c r="C48" s="8"/>
      <c r="D48" s="77">
        <v>1.6373482754278</v>
      </c>
      <c r="E48" s="78"/>
      <c r="F48" s="79">
        <v>1.55466568629184</v>
      </c>
      <c r="G48" s="79">
        <v>1.37805796842435</v>
      </c>
      <c r="H48" s="80"/>
      <c r="I48" s="79">
        <v>1.44559977261102</v>
      </c>
      <c r="J48" s="79">
        <v>1.39937810473202</v>
      </c>
      <c r="K48" s="79">
        <v>1.51832438579369</v>
      </c>
      <c r="L48" s="79">
        <v>1.46515459562126</v>
      </c>
      <c r="M48" s="79">
        <v>1.4031902274572</v>
      </c>
      <c r="N48" s="8"/>
      <c r="O48" s="21" t="s">
        <v>492</v>
      </c>
      <c r="P48" s="8"/>
      <c r="Q48" s="77">
        <v>-1.57387557919017</v>
      </c>
      <c r="R48" s="78"/>
      <c r="S48" s="79">
        <v>-1.48902493474992</v>
      </c>
      <c r="T48" s="79">
        <v>-1.50982618190531</v>
      </c>
      <c r="U48" s="80"/>
      <c r="V48" s="79">
        <v>-1.46173374701925</v>
      </c>
      <c r="W48" s="79">
        <v>-1.44967450203162</v>
      </c>
      <c r="X48" s="79">
        <v>-1.53825715080296</v>
      </c>
      <c r="Y48" s="79">
        <v>-1.47334920000514</v>
      </c>
      <c r="Z48" s="79">
        <v>-1.32564504031321</v>
      </c>
      <c r="AA48" s="16"/>
      <c r="AB48" s="16"/>
      <c r="AG48" s="76"/>
      <c r="AI48" s="76"/>
      <c r="AL48" s="76"/>
      <c r="AO48" s="76"/>
      <c r="AR48" s="76"/>
      <c r="AW48" s="76"/>
      <c r="BB48" s="76"/>
    </row>
    <row r="49" s="75" customFormat="1" ht="24" customHeight="1" spans="1:54">
      <c r="A49" s="16"/>
      <c r="B49" s="17" t="s">
        <v>493</v>
      </c>
      <c r="C49" s="8"/>
      <c r="D49" s="77">
        <v>1.92450319598669</v>
      </c>
      <c r="E49" s="78"/>
      <c r="F49" s="79">
        <v>1.82806128347314</v>
      </c>
      <c r="G49" s="79">
        <v>1.69473893842254</v>
      </c>
      <c r="H49" s="80"/>
      <c r="I49" s="79">
        <v>1.37594520760334</v>
      </c>
      <c r="J49" s="79">
        <v>1.28179673109268</v>
      </c>
      <c r="K49" s="79">
        <v>1.17854906963858</v>
      </c>
      <c r="L49" s="79">
        <v>1.14497873977944</v>
      </c>
      <c r="M49" s="79">
        <v>1.64793351737438</v>
      </c>
      <c r="N49" s="8"/>
      <c r="O49" s="17" t="s">
        <v>493</v>
      </c>
      <c r="P49" s="8"/>
      <c r="Q49" s="77">
        <v>-1.87119122390421</v>
      </c>
      <c r="R49" s="78"/>
      <c r="S49" s="79">
        <v>-1.76323109255124</v>
      </c>
      <c r="T49" s="79">
        <v>-1.94564602685718</v>
      </c>
      <c r="U49" s="80"/>
      <c r="V49" s="79">
        <v>-1.45557488505934</v>
      </c>
      <c r="W49" s="79">
        <v>-1.42302903011306</v>
      </c>
      <c r="X49" s="79">
        <v>-1.30156776099714</v>
      </c>
      <c r="Y49" s="79">
        <v>-1.25766629000989</v>
      </c>
      <c r="Z49" s="79">
        <v>-1.54401302769692</v>
      </c>
      <c r="AA49" s="16"/>
      <c r="AB49" s="16"/>
      <c r="AG49" s="76"/>
      <c r="AI49" s="76"/>
      <c r="AL49" s="76"/>
      <c r="AO49" s="76"/>
      <c r="AR49" s="76"/>
      <c r="AW49" s="76"/>
      <c r="BB49" s="76"/>
    </row>
    <row r="50" s="76" customFormat="1" ht="9" customHeight="1" spans="1:54">
      <c r="A50" s="16"/>
      <c r="B50" s="22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16"/>
      <c r="O50" s="22"/>
      <c r="P50" s="22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16"/>
      <c r="AB50" s="16"/>
    </row>
    <row r="51" s="2" customFormat="1" ht="9" customHeight="1" spans="1:54">
      <c r="AO51" s="76"/>
      <c r="BB51" s="76"/>
    </row>
    <row r="52" s="2" customFormat="1" ht="9" customHeight="1" spans="1:54">
      <c r="AO52" s="76"/>
      <c r="BB52" s="76"/>
    </row>
    <row r="53" ht="9" customHeight="1" spans="1:54">
      <c r="AC53" s="2"/>
      <c r="AD53" s="2"/>
      <c r="AE53" s="2"/>
      <c r="AF53" s="2"/>
      <c r="AH53" s="2"/>
      <c r="AJ53" s="2"/>
      <c r="AK53" s="2"/>
      <c r="AM53" s="2"/>
      <c r="AN53" s="2"/>
      <c r="AP53" s="2"/>
      <c r="AQ53" s="2"/>
      <c r="AS53" s="2"/>
      <c r="AT53" s="2"/>
      <c r="AU53" s="2"/>
      <c r="AV53" s="2"/>
      <c r="AX53" s="2"/>
      <c r="AY53" s="2"/>
      <c r="AZ53" s="2"/>
      <c r="BA53" s="2"/>
    </row>
    <row r="54" ht="24" customHeight="1" spans="1:54">
      <c r="AC54" s="2"/>
      <c r="AD54" s="2"/>
      <c r="AE54" s="2"/>
      <c r="AF54" s="2"/>
      <c r="AH54" s="5" t="s">
        <v>495</v>
      </c>
      <c r="AI54" s="9"/>
      <c r="AJ54" s="5" t="s">
        <v>496</v>
      </c>
      <c r="AK54" s="5"/>
      <c r="AL54" s="9"/>
      <c r="AM54" s="5" t="s">
        <v>222</v>
      </c>
      <c r="AN54" s="5"/>
      <c r="AO54" s="84"/>
      <c r="AP54" s="2"/>
      <c r="AQ54" s="5" t="s">
        <v>495</v>
      </c>
      <c r="AR54" s="9"/>
      <c r="AS54" s="5" t="s">
        <v>496</v>
      </c>
      <c r="AT54" s="5"/>
      <c r="AU54" s="5"/>
      <c r="AV54" s="5"/>
      <c r="AW54" s="9"/>
      <c r="AX54" s="5" t="s">
        <v>222</v>
      </c>
      <c r="AY54" s="5"/>
      <c r="AZ54" s="5"/>
      <c r="BA54" s="5"/>
      <c r="BB54" s="85"/>
    </row>
    <row r="55" ht="24" customHeight="1" spans="1:54">
      <c r="AC55" s="2"/>
      <c r="AD55" s="2"/>
      <c r="AE55" s="2"/>
      <c r="AF55" s="2"/>
      <c r="AH55" s="10"/>
      <c r="AI55" s="13"/>
      <c r="AJ55" s="10">
        <v>2007</v>
      </c>
      <c r="AK55" s="10">
        <v>2014</v>
      </c>
      <c r="AL55" s="13"/>
      <c r="AM55" s="10">
        <v>2007</v>
      </c>
      <c r="AN55" s="10">
        <v>2014</v>
      </c>
      <c r="AO55" s="84"/>
      <c r="AP55" s="2"/>
      <c r="AQ55" s="10"/>
      <c r="AR55" s="13"/>
      <c r="AS55" s="10">
        <v>2007</v>
      </c>
      <c r="AT55" s="10" t="s">
        <v>497</v>
      </c>
      <c r="AU55" s="10">
        <v>2014</v>
      </c>
      <c r="AV55" s="10" t="s">
        <v>498</v>
      </c>
      <c r="AW55" s="13"/>
      <c r="AX55" s="10">
        <v>2007</v>
      </c>
      <c r="AY55" s="10" t="s">
        <v>497</v>
      </c>
      <c r="AZ55" s="10">
        <v>2014</v>
      </c>
      <c r="BA55" s="10" t="s">
        <v>498</v>
      </c>
      <c r="BB55" s="85"/>
    </row>
    <row r="56" ht="9" customHeight="1" spans="1:54">
      <c r="AC56" s="2"/>
      <c r="AD56" s="2"/>
      <c r="AE56" s="2"/>
      <c r="AF56" s="2"/>
      <c r="AH56" s="15"/>
      <c r="AI56" s="15"/>
      <c r="AJ56" s="15"/>
      <c r="AK56" s="15"/>
      <c r="AL56" s="15"/>
      <c r="AM56" s="15"/>
      <c r="AN56" s="15"/>
      <c r="AO56" s="86"/>
      <c r="AP56" s="2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86"/>
      <c r="BB56" s="86"/>
    </row>
    <row r="57" ht="24" customHeight="1" spans="1:54">
      <c r="AC57" s="2"/>
      <c r="AD57" s="2"/>
      <c r="AE57" s="2"/>
      <c r="AF57" s="2"/>
      <c r="AH57" s="17" t="s">
        <v>466</v>
      </c>
      <c r="AI57" s="87"/>
      <c r="AJ57" s="88">
        <f>STDEV('Synthèse-20'!I4:M4)/AVERAGE('Synthèse-20'!I4:M4)</f>
        <v>0.261451010331255</v>
      </c>
      <c r="AK57" s="88">
        <f>STDEV('Synthèse-20'!I28:M28)/AVERAGE('Synthèse-20'!I28:M28)</f>
        <v>0.271287176558546</v>
      </c>
      <c r="AL57" s="89"/>
      <c r="AM57" s="88">
        <f>-STDEV('Synthèse-20'!V4:Z4)/AVERAGE('Synthèse-20'!V4:Z4)</f>
        <v>0.274656632590956</v>
      </c>
      <c r="AN57" s="88">
        <f>-STDEV('Synthèse-20'!V28:Z28)/AVERAGE('Synthèse-20'!V28:Z28)</f>
        <v>0.278841511456772</v>
      </c>
      <c r="AO57" s="90"/>
      <c r="AP57" s="2"/>
      <c r="AQ57" s="17" t="s">
        <v>466</v>
      </c>
      <c r="AR57" s="87"/>
      <c r="AS57" s="88">
        <v>0.261451010331255</v>
      </c>
      <c r="AT57" s="91">
        <f>RANK(AS57,AS$57:AS$76,1)</f>
        <v>9</v>
      </c>
      <c r="AU57" s="88">
        <v>0.271287176558547</v>
      </c>
      <c r="AV57" s="91">
        <f>RANK(AU57,AU$57:AU$76,1)</f>
        <v>16</v>
      </c>
      <c r="AW57" s="89"/>
      <c r="AX57" s="88">
        <v>0.274656632590956</v>
      </c>
      <c r="AY57" s="91">
        <f>RANK(AX57,AX$57:AX$76,1)</f>
        <v>6</v>
      </c>
      <c r="AZ57" s="88">
        <v>0.278841511456772</v>
      </c>
      <c r="BA57" s="91">
        <f>RANK(AZ57,AZ$57:AZ$76,1)</f>
        <v>16</v>
      </c>
      <c r="BB57" s="89"/>
    </row>
    <row r="58" ht="24" customHeight="1" spans="1:54">
      <c r="AC58" s="2"/>
      <c r="AD58" s="2"/>
      <c r="AE58" s="2"/>
      <c r="AF58" s="2"/>
      <c r="AH58" s="17" t="s">
        <v>468</v>
      </c>
      <c r="AI58" s="87"/>
      <c r="AJ58" s="88">
        <f>STDEV('Synthèse-20'!I5:M5)/AVERAGE('Synthèse-20'!I5:M5)</f>
        <v>0.155886792148893</v>
      </c>
      <c r="AK58" s="88">
        <f>STDEV('Synthèse-20'!I29:M29)/AVERAGE('Synthèse-20'!I29:M29)</f>
        <v>0.0955906877815631</v>
      </c>
      <c r="AL58" s="89"/>
      <c r="AM58" s="88">
        <f>-STDEV('Synthèse-20'!V5:Z5)/AVERAGE('Synthèse-20'!V5:Z5)</f>
        <v>0.506859676847621</v>
      </c>
      <c r="AN58" s="88">
        <f>-STDEV('Synthèse-20'!V29:Z29)/AVERAGE('Synthèse-20'!V29:Z29)</f>
        <v>0.221785355076477</v>
      </c>
      <c r="AO58" s="90"/>
      <c r="AP58" s="2"/>
      <c r="AQ58" s="17" t="s">
        <v>468</v>
      </c>
      <c r="AR58" s="87"/>
      <c r="AS58" s="88">
        <v>0.155886792148892</v>
      </c>
      <c r="AT58" s="91">
        <f t="shared" ref="AT58:AV76" si="1">RANK(AS58,AS$57:AS$76,1)</f>
        <v>2</v>
      </c>
      <c r="AU58" s="88">
        <v>0.0955906877815631</v>
      </c>
      <c r="AV58" s="91">
        <f t="shared" si="1"/>
        <v>3</v>
      </c>
      <c r="AW58" s="89"/>
      <c r="AX58" s="88">
        <v>0.506859676847621</v>
      </c>
      <c r="AY58" s="91">
        <f t="shared" ref="AY58" si="2">RANK(AX58,AX$57:AX$76,1)</f>
        <v>16</v>
      </c>
      <c r="AZ58" s="88">
        <v>0.221785355076477</v>
      </c>
      <c r="BA58" s="91">
        <f t="shared" ref="BA58" si="3">RANK(AZ58,AZ$57:AZ$76,1)</f>
        <v>8</v>
      </c>
      <c r="BB58" s="89"/>
    </row>
    <row r="59" ht="24" customHeight="1" spans="1:54">
      <c r="AC59" s="2"/>
      <c r="AD59" s="2"/>
      <c r="AE59" s="2"/>
      <c r="AF59" s="2"/>
      <c r="AH59" s="17" t="s">
        <v>469</v>
      </c>
      <c r="AI59" s="87"/>
      <c r="AJ59" s="88">
        <f>STDEV('Synthèse-20'!I6:M6)/AVERAGE('Synthèse-20'!I6:M6)</f>
        <v>0.420257757781693</v>
      </c>
      <c r="AK59" s="88">
        <f>STDEV('Synthèse-20'!I30:M30)/AVERAGE('Synthèse-20'!I30:M30)</f>
        <v>0.401581310229282</v>
      </c>
      <c r="AL59" s="89"/>
      <c r="AM59" s="88">
        <f>-STDEV('Synthèse-20'!V6:Z6)/AVERAGE('Synthèse-20'!V6:Z6)</f>
        <v>6.27021646279018</v>
      </c>
      <c r="AN59" s="88">
        <f>-STDEV('Synthèse-20'!V30:Z30)/AVERAGE('Synthèse-20'!V30:Z30)</f>
        <v>2.57116989241449</v>
      </c>
      <c r="AO59" s="90"/>
      <c r="AP59" s="2"/>
      <c r="AQ59" s="17" t="s">
        <v>469</v>
      </c>
      <c r="AR59" s="87"/>
      <c r="AS59" s="88">
        <v>0.420257757781693</v>
      </c>
      <c r="AT59" s="91">
        <f t="shared" si="1"/>
        <v>17</v>
      </c>
      <c r="AU59" s="88">
        <v>0.401581310229282</v>
      </c>
      <c r="AV59" s="91">
        <f t="shared" si="1"/>
        <v>20</v>
      </c>
      <c r="AW59" s="89"/>
      <c r="AX59" s="88">
        <v>6.27021646279018</v>
      </c>
      <c r="AY59" s="91">
        <f t="shared" ref="AY59" si="4">RANK(AX59,AX$57:AX$76,1)</f>
        <v>20</v>
      </c>
      <c r="AZ59" s="88">
        <v>2.57116989241449</v>
      </c>
      <c r="BA59" s="91">
        <f t="shared" ref="BA59" si="5">RANK(AZ59,AZ$57:AZ$76,1)</f>
        <v>20</v>
      </c>
      <c r="BB59" s="89"/>
    </row>
    <row r="60" ht="24" customHeight="1" spans="1:54">
      <c r="AC60" s="2"/>
      <c r="AD60" s="2"/>
      <c r="AE60" s="2"/>
      <c r="AF60" s="2"/>
      <c r="AH60" s="17" t="s">
        <v>470</v>
      </c>
      <c r="AI60" s="87"/>
      <c r="AJ60" s="88">
        <f>STDEV('Synthèse-20'!I7:M7)/AVERAGE('Synthèse-20'!I7:M7)</f>
        <v>0.367615067443075</v>
      </c>
      <c r="AK60" s="88">
        <f>STDEV('Synthèse-20'!I31:M31)/AVERAGE('Synthèse-20'!I31:M31)</f>
        <v>0.215918467159627</v>
      </c>
      <c r="AL60" s="89"/>
      <c r="AM60" s="88">
        <f>-STDEV('Synthèse-20'!V7:Z7)/AVERAGE('Synthèse-20'!V7:Z7)</f>
        <v>0.356137114603058</v>
      </c>
      <c r="AN60" s="88">
        <f>-STDEV('Synthèse-20'!V31:Z31)/AVERAGE('Synthèse-20'!V31:Z31)</f>
        <v>0.207921284520495</v>
      </c>
      <c r="AO60" s="90"/>
      <c r="AP60" s="2"/>
      <c r="AQ60" s="17" t="s">
        <v>470</v>
      </c>
      <c r="AR60" s="87"/>
      <c r="AS60" s="88">
        <v>0.367615067443076</v>
      </c>
      <c r="AT60" s="91">
        <f t="shared" si="1"/>
        <v>15</v>
      </c>
      <c r="AU60" s="88">
        <v>0.215918467159626</v>
      </c>
      <c r="AV60" s="91">
        <f t="shared" si="1"/>
        <v>15</v>
      </c>
      <c r="AW60" s="89"/>
      <c r="AX60" s="88">
        <v>0.356137114603058</v>
      </c>
      <c r="AY60" s="91">
        <f t="shared" ref="AY60" si="6">RANK(AX60,AX$57:AX$76,1)</f>
        <v>11</v>
      </c>
      <c r="AZ60" s="88">
        <v>0.207921284520494</v>
      </c>
      <c r="BA60" s="91">
        <f t="shared" ref="BA60" si="7">RANK(AZ60,AZ$57:AZ$76,1)</f>
        <v>7</v>
      </c>
      <c r="BB60" s="89"/>
    </row>
    <row r="61" ht="24" customHeight="1" spans="1:54">
      <c r="AC61" s="2"/>
      <c r="AD61" s="2"/>
      <c r="AE61" s="2"/>
      <c r="AF61" s="2"/>
      <c r="AH61" s="17" t="s">
        <v>471</v>
      </c>
      <c r="AI61" s="87"/>
      <c r="AJ61" s="88">
        <f>STDEV('Synthèse-20'!I8:M8)/AVERAGE('Synthèse-20'!I8:M8)</f>
        <v>0.193706993421451</v>
      </c>
      <c r="AK61" s="88">
        <f>STDEV('Synthèse-20'!I32:M32)/AVERAGE('Synthèse-20'!I32:M32)</f>
        <v>0.119534124911656</v>
      </c>
      <c r="AL61" s="89"/>
      <c r="AM61" s="88">
        <f>-STDEV('Synthèse-20'!V8:Z8)/AVERAGE('Synthèse-20'!V8:Z8)</f>
        <v>0.270149533194012</v>
      </c>
      <c r="AN61" s="88">
        <f>-STDEV('Synthèse-20'!V32:Z32)/AVERAGE('Synthèse-20'!V32:Z32)</f>
        <v>0.110208852972281</v>
      </c>
      <c r="AO61" s="90"/>
      <c r="AP61" s="2"/>
      <c r="AQ61" s="17" t="s">
        <v>471</v>
      </c>
      <c r="AR61" s="87"/>
      <c r="AS61" s="88">
        <v>0.193706993421452</v>
      </c>
      <c r="AT61" s="91">
        <f t="shared" si="1"/>
        <v>3</v>
      </c>
      <c r="AU61" s="88">
        <v>0.119534124911656</v>
      </c>
      <c r="AV61" s="91">
        <f t="shared" si="1"/>
        <v>4</v>
      </c>
      <c r="AW61" s="89"/>
      <c r="AX61" s="88">
        <v>0.270149533194011</v>
      </c>
      <c r="AY61" s="91">
        <f t="shared" ref="AY61" si="8">RANK(AX61,AX$57:AX$76,1)</f>
        <v>5</v>
      </c>
      <c r="AZ61" s="88">
        <v>0.110208852972281</v>
      </c>
      <c r="BA61" s="91">
        <f t="shared" ref="BA61" si="9">RANK(AZ61,AZ$57:AZ$76,1)</f>
        <v>3</v>
      </c>
      <c r="BB61" s="89"/>
    </row>
    <row r="62" ht="24" customHeight="1" spans="1:54">
      <c r="AC62" s="2"/>
      <c r="AD62" s="2"/>
      <c r="AE62" s="2"/>
      <c r="AF62" s="2"/>
      <c r="AH62" s="17" t="s">
        <v>473</v>
      </c>
      <c r="AI62" s="87"/>
      <c r="AJ62" s="88">
        <f>STDEV('Synthèse-20'!I9:M9)/AVERAGE('Synthèse-20'!I9:M9)</f>
        <v>0.291678128322019</v>
      </c>
      <c r="AK62" s="88">
        <f>STDEV('Synthèse-20'!I33:M33)/AVERAGE('Synthèse-20'!I33:M33)</f>
        <v>0.136588601822954</v>
      </c>
      <c r="AL62" s="89"/>
      <c r="AM62" s="88">
        <f>-STDEV('Synthèse-20'!V9:Z9)/AVERAGE('Synthèse-20'!V9:Z9)</f>
        <v>0.424786358647185</v>
      </c>
      <c r="AN62" s="88">
        <f>-STDEV('Synthèse-20'!V33:Z33)/AVERAGE('Synthèse-20'!V33:Z33)</f>
        <v>0.171823912263311</v>
      </c>
      <c r="AO62" s="90"/>
      <c r="AP62" s="2"/>
      <c r="AQ62" s="17" t="s">
        <v>473</v>
      </c>
      <c r="AR62" s="87"/>
      <c r="AS62" s="88">
        <v>0.29167812832202</v>
      </c>
      <c r="AT62" s="91">
        <f t="shared" si="1"/>
        <v>12</v>
      </c>
      <c r="AU62" s="88">
        <v>0.136588601822953</v>
      </c>
      <c r="AV62" s="91">
        <f t="shared" si="1"/>
        <v>6</v>
      </c>
      <c r="AW62" s="89"/>
      <c r="AX62" s="88">
        <v>0.424786358647185</v>
      </c>
      <c r="AY62" s="91">
        <f t="shared" ref="AY62" si="10">RANK(AX62,AX$57:AX$76,1)</f>
        <v>13</v>
      </c>
      <c r="AZ62" s="88">
        <v>0.171823912263311</v>
      </c>
      <c r="BA62" s="91">
        <f t="shared" ref="BA62" si="11">RANK(AZ62,AZ$57:AZ$76,1)</f>
        <v>6</v>
      </c>
      <c r="BB62" s="89"/>
    </row>
    <row r="63" ht="24" customHeight="1" spans="1:54">
      <c r="AC63" s="2"/>
      <c r="AD63" s="2"/>
      <c r="AE63" s="2"/>
      <c r="AF63" s="2"/>
      <c r="AH63" s="17" t="s">
        <v>474</v>
      </c>
      <c r="AI63" s="87"/>
      <c r="AJ63" s="88">
        <f>STDEV('Synthèse-20'!I10:M10)/AVERAGE('Synthèse-20'!I10:M10)</f>
        <v>0.233263577595871</v>
      </c>
      <c r="AK63" s="88">
        <f>STDEV('Synthèse-20'!I34:M34)/AVERAGE('Synthèse-20'!I34:M34)</f>
        <v>0.203475788727727</v>
      </c>
      <c r="AL63" s="89"/>
      <c r="AM63" s="88">
        <f>-STDEV('Synthèse-20'!V10:Z10)/AVERAGE('Synthèse-20'!V10:Z10)</f>
        <v>0.156527068902866</v>
      </c>
      <c r="AN63" s="88">
        <f>-STDEV('Synthèse-20'!V34:Z34)/AVERAGE('Synthèse-20'!V34:Z34)</f>
        <v>0.171534418146275</v>
      </c>
      <c r="AO63" s="90"/>
      <c r="AP63" s="2"/>
      <c r="AQ63" s="17" t="s">
        <v>474</v>
      </c>
      <c r="AR63" s="87"/>
      <c r="AS63" s="88">
        <v>0.233263577595871</v>
      </c>
      <c r="AT63" s="91">
        <f t="shared" si="1"/>
        <v>6</v>
      </c>
      <c r="AU63" s="88">
        <v>0.203475788727728</v>
      </c>
      <c r="AV63" s="91">
        <f t="shared" si="1"/>
        <v>13</v>
      </c>
      <c r="AW63" s="89"/>
      <c r="AX63" s="88">
        <v>0.156527068902864</v>
      </c>
      <c r="AY63" s="91">
        <f t="shared" ref="AY63" si="12">RANK(AX63,AX$57:AX$76,1)</f>
        <v>2</v>
      </c>
      <c r="AZ63" s="88">
        <v>0.171534418146275</v>
      </c>
      <c r="BA63" s="91">
        <f t="shared" ref="BA63" si="13">RANK(AZ63,AZ$57:AZ$76,1)</f>
        <v>5</v>
      </c>
      <c r="BB63" s="89"/>
    </row>
    <row r="64" ht="24" customHeight="1" spans="1:54">
      <c r="AC64" s="2"/>
      <c r="AD64" s="2"/>
      <c r="AE64" s="2"/>
      <c r="AF64" s="2"/>
      <c r="AH64" s="17" t="s">
        <v>475</v>
      </c>
      <c r="AI64" s="87"/>
      <c r="AJ64" s="88">
        <f>STDEV('Synthèse-20'!I11:M11)/AVERAGE('Synthèse-20'!I11:M11)</f>
        <v>0.126273071306859</v>
      </c>
      <c r="AK64" s="88">
        <f>STDEV('Synthèse-20'!I35:M35)/AVERAGE('Synthèse-20'!I35:M35)</f>
        <v>0.19333806970623</v>
      </c>
      <c r="AL64" s="89"/>
      <c r="AM64" s="88">
        <f>-STDEV('Synthèse-20'!V11:Z11)/AVERAGE('Synthèse-20'!V11:Z11)</f>
        <v>0.415748161453754</v>
      </c>
      <c r="AN64" s="88">
        <f>-STDEV('Synthèse-20'!V35:Z35)/AVERAGE('Synthèse-20'!V35:Z35)</f>
        <v>0.279089056921817</v>
      </c>
      <c r="AO64" s="90"/>
      <c r="AP64" s="2"/>
      <c r="AQ64" s="17" t="s">
        <v>475</v>
      </c>
      <c r="AR64" s="87"/>
      <c r="AS64" s="88">
        <v>0.12627307130686</v>
      </c>
      <c r="AT64" s="91">
        <f t="shared" si="1"/>
        <v>1</v>
      </c>
      <c r="AU64" s="88">
        <v>0.19333806970623</v>
      </c>
      <c r="AV64" s="91">
        <f t="shared" si="1"/>
        <v>11</v>
      </c>
      <c r="AW64" s="89"/>
      <c r="AX64" s="88">
        <v>0.415748161453754</v>
      </c>
      <c r="AY64" s="91">
        <f t="shared" ref="AY64" si="14">RANK(AX64,AX$57:AX$76,1)</f>
        <v>12</v>
      </c>
      <c r="AZ64" s="88">
        <v>0.279089056921818</v>
      </c>
      <c r="BA64" s="91">
        <f t="shared" ref="BA64" si="15">RANK(AZ64,AZ$57:AZ$76,1)</f>
        <v>17</v>
      </c>
      <c r="BB64" s="89"/>
    </row>
    <row r="65" ht="24" customHeight="1" spans="29:54">
      <c r="AC65" s="2"/>
      <c r="AD65" s="2"/>
      <c r="AE65" s="2"/>
      <c r="AF65" s="2"/>
      <c r="AH65" s="17" t="s">
        <v>477</v>
      </c>
      <c r="AI65" s="87"/>
      <c r="AJ65" s="88">
        <f>STDEV('Synthèse-20'!I12:M12)/AVERAGE('Synthèse-20'!I12:M12)</f>
        <v>0.531708214091816</v>
      </c>
      <c r="AK65" s="88">
        <f>STDEV('Synthèse-20'!I36:M36)/AVERAGE('Synthèse-20'!I36:M36)</f>
        <v>0.203756554374674</v>
      </c>
      <c r="AL65" s="89"/>
      <c r="AM65" s="88">
        <f>-STDEV('Synthèse-20'!V12:Z12)/AVERAGE('Synthèse-20'!V12:Z12)</f>
        <v>0.342153789711609</v>
      </c>
      <c r="AN65" s="88">
        <f>-STDEV('Synthèse-20'!V36:Z36)/AVERAGE('Synthèse-20'!V36:Z36)</f>
        <v>0.228783136796934</v>
      </c>
      <c r="AO65" s="90"/>
      <c r="AP65" s="2"/>
      <c r="AQ65" s="17" t="s">
        <v>477</v>
      </c>
      <c r="AR65" s="87"/>
      <c r="AS65" s="88">
        <v>0.531708214091816</v>
      </c>
      <c r="AT65" s="91">
        <f t="shared" si="1"/>
        <v>20</v>
      </c>
      <c r="AU65" s="88">
        <v>0.203756554374674</v>
      </c>
      <c r="AV65" s="91">
        <f t="shared" si="1"/>
        <v>14</v>
      </c>
      <c r="AW65" s="89"/>
      <c r="AX65" s="88">
        <v>0.342153789711609</v>
      </c>
      <c r="AY65" s="91">
        <f t="shared" ref="AY65" si="16">RANK(AX65,AX$57:AX$76,1)</f>
        <v>9</v>
      </c>
      <c r="AZ65" s="88">
        <v>0.228783136796934</v>
      </c>
      <c r="BA65" s="91">
        <f t="shared" ref="BA65" si="17">RANK(AZ65,AZ$57:AZ$76,1)</f>
        <v>10</v>
      </c>
      <c r="BB65" s="89"/>
    </row>
    <row r="66" ht="24" customHeight="1" spans="29:54">
      <c r="AC66" s="2"/>
      <c r="AD66" s="2"/>
      <c r="AE66" s="2"/>
      <c r="AF66" s="2"/>
      <c r="AH66" s="17" t="s">
        <v>479</v>
      </c>
      <c r="AI66" s="87"/>
      <c r="AJ66" s="88">
        <f>STDEV('Synthèse-20'!I13:M13)/AVERAGE('Synthèse-20'!I13:M13)</f>
        <v>0.231703018139923</v>
      </c>
      <c r="AK66" s="88">
        <f>STDEV('Synthèse-20'!I37:M37)/AVERAGE('Synthèse-20'!I37:M37)</f>
        <v>0.13087585698862</v>
      </c>
      <c r="AL66" s="89"/>
      <c r="AM66" s="88">
        <f>-STDEV('Synthèse-20'!V13:Z13)/AVERAGE('Synthèse-20'!V13:Z13)</f>
        <v>0.532799533709765</v>
      </c>
      <c r="AN66" s="88">
        <f>-STDEV('Synthèse-20'!V37:Z37)/AVERAGE('Synthèse-20'!V37:Z37)</f>
        <v>0.246000546973695</v>
      </c>
      <c r="AO66" s="90"/>
      <c r="AP66" s="2"/>
      <c r="AQ66" s="17" t="s">
        <v>479</v>
      </c>
      <c r="AR66" s="87"/>
      <c r="AS66" s="88">
        <v>0.231703018139923</v>
      </c>
      <c r="AT66" s="91">
        <f t="shared" si="1"/>
        <v>5</v>
      </c>
      <c r="AU66" s="88">
        <v>0.13087585698862</v>
      </c>
      <c r="AV66" s="91">
        <f t="shared" si="1"/>
        <v>5</v>
      </c>
      <c r="AW66" s="89"/>
      <c r="AX66" s="88">
        <v>0.532799533709765</v>
      </c>
      <c r="AY66" s="91">
        <f t="shared" ref="AY66" si="18">RANK(AX66,AX$57:AX$76,1)</f>
        <v>17</v>
      </c>
      <c r="AZ66" s="88">
        <v>0.246000546973695</v>
      </c>
      <c r="BA66" s="91">
        <f t="shared" ref="BA66" si="19">RANK(AZ66,AZ$57:AZ$76,1)</f>
        <v>14</v>
      </c>
      <c r="BB66" s="89"/>
    </row>
    <row r="67" ht="24" customHeight="1" spans="29:54">
      <c r="AC67" s="2"/>
      <c r="AD67" s="2"/>
      <c r="AE67" s="2"/>
      <c r="AF67" s="2"/>
      <c r="AH67" s="17" t="s">
        <v>481</v>
      </c>
      <c r="AI67" s="87"/>
      <c r="AJ67" s="88">
        <f>STDEV('Synthèse-20'!I14:M14)/AVERAGE('Synthèse-20'!I14:M14)</f>
        <v>0.467678486220358</v>
      </c>
      <c r="AK67" s="88">
        <f>STDEV('Synthèse-20'!I38:M38)/AVERAGE('Synthèse-20'!I38:M38)</f>
        <v>0.280600124185253</v>
      </c>
      <c r="AL67" s="89"/>
      <c r="AM67" s="88">
        <f>-STDEV('Synthèse-20'!V14:Z14)/AVERAGE('Synthèse-20'!V14:Z14)</f>
        <v>0.473223133604461</v>
      </c>
      <c r="AN67" s="88">
        <f>-STDEV('Synthèse-20'!V38:Z38)/AVERAGE('Synthèse-20'!V38:Z38)</f>
        <v>0.332313396144091</v>
      </c>
      <c r="AO67" s="90"/>
      <c r="AP67" s="2"/>
      <c r="AQ67" s="17" t="s">
        <v>481</v>
      </c>
      <c r="AR67" s="87"/>
      <c r="AS67" s="88">
        <v>0.467678486220358</v>
      </c>
      <c r="AT67" s="91">
        <f t="shared" si="1"/>
        <v>18</v>
      </c>
      <c r="AU67" s="88">
        <v>0.280600124185253</v>
      </c>
      <c r="AV67" s="91">
        <f t="shared" si="1"/>
        <v>17</v>
      </c>
      <c r="AW67" s="89"/>
      <c r="AX67" s="88">
        <v>0.473223133604461</v>
      </c>
      <c r="AY67" s="91">
        <f t="shared" ref="AY67" si="20">RANK(AX67,AX$57:AX$76,1)</f>
        <v>15</v>
      </c>
      <c r="AZ67" s="88">
        <v>0.332313396144091</v>
      </c>
      <c r="BA67" s="91">
        <f t="shared" ref="BA67" si="21">RANK(AZ67,AZ$57:AZ$76,1)</f>
        <v>18</v>
      </c>
      <c r="BB67" s="89"/>
    </row>
    <row r="68" ht="24" customHeight="1" spans="29:54">
      <c r="AC68" s="2"/>
      <c r="AD68" s="2"/>
      <c r="AE68" s="2"/>
      <c r="AF68" s="2"/>
      <c r="AH68" s="17" t="s">
        <v>482</v>
      </c>
      <c r="AI68" s="87"/>
      <c r="AJ68" s="88">
        <f>STDEV('Synthèse-20'!I15:M15)/AVERAGE('Synthèse-20'!I15:M15)</f>
        <v>0.282968830662789</v>
      </c>
      <c r="AK68" s="88">
        <f>STDEV('Synthèse-20'!I39:M39)/AVERAGE('Synthèse-20'!I39:M39)</f>
        <v>0.291934252873642</v>
      </c>
      <c r="AL68" s="89"/>
      <c r="AM68" s="88">
        <f>-STDEV('Synthèse-20'!V15:Z15)/AVERAGE('Synthèse-20'!V15:Z15)</f>
        <v>0.215569301363493</v>
      </c>
      <c r="AN68" s="88">
        <f>-STDEV('Synthèse-20'!V39:Z39)/AVERAGE('Synthèse-20'!V39:Z39)</f>
        <v>0.374394939455686</v>
      </c>
      <c r="AO68" s="90"/>
      <c r="AP68" s="2"/>
      <c r="AQ68" s="17" t="s">
        <v>482</v>
      </c>
      <c r="AR68" s="87"/>
      <c r="AS68" s="88">
        <v>0.282968830662789</v>
      </c>
      <c r="AT68" s="91">
        <f t="shared" si="1"/>
        <v>11</v>
      </c>
      <c r="AU68" s="88">
        <v>0.291934252873642</v>
      </c>
      <c r="AV68" s="91">
        <f t="shared" si="1"/>
        <v>18</v>
      </c>
      <c r="AW68" s="89"/>
      <c r="AX68" s="88">
        <v>0.215569301363493</v>
      </c>
      <c r="AY68" s="91">
        <f t="shared" ref="AY68" si="22">RANK(AX68,AX$57:AX$76,1)</f>
        <v>4</v>
      </c>
      <c r="AZ68" s="88">
        <v>0.374394939455686</v>
      </c>
      <c r="BA68" s="91">
        <f t="shared" ref="BA68" si="23">RANK(AZ68,AZ$57:AZ$76,1)</f>
        <v>19</v>
      </c>
      <c r="BB68" s="89"/>
    </row>
    <row r="69" ht="24" customHeight="1" spans="29:54">
      <c r="AC69" s="2"/>
      <c r="AD69" s="2"/>
      <c r="AE69" s="2"/>
      <c r="AF69" s="2"/>
      <c r="AH69" s="17" t="s">
        <v>484</v>
      </c>
      <c r="AI69" s="87"/>
      <c r="AJ69" s="88">
        <f>STDEV('Synthèse-20'!I16:M16)/AVERAGE('Synthèse-20'!I16:M16)</f>
        <v>0.298819596029658</v>
      </c>
      <c r="AK69" s="88">
        <f>STDEV('Synthèse-20'!I40:M40)/AVERAGE('Synthèse-20'!I40:M40)</f>
        <v>0.200312242177788</v>
      </c>
      <c r="AL69" s="89"/>
      <c r="AM69" s="88">
        <f>-STDEV('Synthèse-20'!V16:Z16)/AVERAGE('Synthèse-20'!V16:Z16)</f>
        <v>0.354340905026411</v>
      </c>
      <c r="AN69" s="88">
        <f>-STDEV('Synthèse-20'!V40:Z40)/AVERAGE('Synthèse-20'!V40:Z40)</f>
        <v>0.223976143267885</v>
      </c>
      <c r="AO69" s="90"/>
      <c r="AP69" s="2"/>
      <c r="AQ69" s="17" t="s">
        <v>484</v>
      </c>
      <c r="AR69" s="87"/>
      <c r="AS69" s="88">
        <v>0.298819596029657</v>
      </c>
      <c r="AT69" s="91">
        <f t="shared" si="1"/>
        <v>13</v>
      </c>
      <c r="AU69" s="88">
        <v>0.200312242177788</v>
      </c>
      <c r="AV69" s="91">
        <f t="shared" si="1"/>
        <v>12</v>
      </c>
      <c r="AW69" s="89"/>
      <c r="AX69" s="88">
        <v>0.354340905026411</v>
      </c>
      <c r="AY69" s="91">
        <f t="shared" ref="AY69" si="24">RANK(AX69,AX$57:AX$76,1)</f>
        <v>10</v>
      </c>
      <c r="AZ69" s="88">
        <v>0.223976143267886</v>
      </c>
      <c r="BA69" s="91">
        <f t="shared" ref="BA69" si="25">RANK(AZ69,AZ$57:AZ$76,1)</f>
        <v>9</v>
      </c>
      <c r="BB69" s="89"/>
    </row>
    <row r="70" ht="24" customHeight="1" spans="29:54">
      <c r="AC70" s="2"/>
      <c r="AD70" s="2"/>
      <c r="AE70" s="2"/>
      <c r="AF70" s="2"/>
      <c r="AH70" s="17" t="s">
        <v>485</v>
      </c>
      <c r="AI70" s="87"/>
      <c r="AJ70" s="88">
        <f>STDEV('Synthèse-20'!I17:M17)/AVERAGE('Synthèse-20'!I17:M17)</f>
        <v>0.33654362497113</v>
      </c>
      <c r="AK70" s="88">
        <f>STDEV('Synthèse-20'!I41:M41)/AVERAGE('Synthèse-20'!I41:M41)</f>
        <v>0.169429506778262</v>
      </c>
      <c r="AL70" s="89"/>
      <c r="AM70" s="88">
        <f>-STDEV('Synthèse-20'!V17:Z17)/AVERAGE('Synthèse-20'!V17:Z17)</f>
        <v>0.556945109332325</v>
      </c>
      <c r="AN70" s="88">
        <f>-STDEV('Synthèse-20'!V41:Z41)/AVERAGE('Synthèse-20'!V41:Z41)</f>
        <v>0.137857791790383</v>
      </c>
      <c r="AO70" s="90"/>
      <c r="AP70" s="2"/>
      <c r="AQ70" s="17" t="s">
        <v>485</v>
      </c>
      <c r="AR70" s="87"/>
      <c r="AS70" s="88">
        <v>0.33654362497113</v>
      </c>
      <c r="AT70" s="91">
        <f t="shared" si="1"/>
        <v>14</v>
      </c>
      <c r="AU70" s="88">
        <v>0.169429506778263</v>
      </c>
      <c r="AV70" s="91">
        <f t="shared" si="1"/>
        <v>9</v>
      </c>
      <c r="AW70" s="89"/>
      <c r="AX70" s="88">
        <v>0.556945109332325</v>
      </c>
      <c r="AY70" s="91">
        <f t="shared" ref="AY70" si="26">RANK(AX70,AX$57:AX$76,1)</f>
        <v>18</v>
      </c>
      <c r="AZ70" s="88">
        <v>0.137857791790383</v>
      </c>
      <c r="BA70" s="91">
        <f t="shared" ref="BA70" si="27">RANK(AZ70,AZ$57:AZ$76,1)</f>
        <v>4</v>
      </c>
      <c r="BB70" s="89"/>
    </row>
    <row r="71" ht="24" customHeight="1" spans="29:54">
      <c r="AC71" s="2"/>
      <c r="AD71" s="2"/>
      <c r="AE71" s="2"/>
      <c r="AF71" s="2"/>
      <c r="AH71" s="17" t="s">
        <v>486</v>
      </c>
      <c r="AI71" s="87"/>
      <c r="AJ71" s="88">
        <f>STDEV('Synthèse-20'!I18:M18)/AVERAGE('Synthèse-20'!I18:M18)</f>
        <v>0.198566060685971</v>
      </c>
      <c r="AK71" s="88">
        <f>STDEV('Synthèse-20'!I42:M42)/AVERAGE('Synthèse-20'!I42:M42)</f>
        <v>0.163426621210188</v>
      </c>
      <c r="AL71" s="89"/>
      <c r="AM71" s="88">
        <f>-STDEV('Synthèse-20'!V18:Z18)/AVERAGE('Synthèse-20'!V18:Z18)</f>
        <v>0.3239911727755</v>
      </c>
      <c r="AN71" s="88">
        <f>-STDEV('Synthèse-20'!V42:Z42)/AVERAGE('Synthèse-20'!V42:Z42)</f>
        <v>0.240504277910606</v>
      </c>
      <c r="AO71" s="90"/>
      <c r="AP71" s="2"/>
      <c r="AQ71" s="17" t="s">
        <v>486</v>
      </c>
      <c r="AR71" s="87"/>
      <c r="AS71" s="88">
        <v>0.198566060685971</v>
      </c>
      <c r="AT71" s="91">
        <f t="shared" si="1"/>
        <v>4</v>
      </c>
      <c r="AU71" s="88">
        <v>0.163426621210187</v>
      </c>
      <c r="AV71" s="91">
        <f t="shared" si="1"/>
        <v>8</v>
      </c>
      <c r="AW71" s="89"/>
      <c r="AX71" s="88">
        <v>0.3239911727755</v>
      </c>
      <c r="AY71" s="91">
        <f t="shared" ref="AY71" si="28">RANK(AX71,AX$57:AX$76,1)</f>
        <v>8</v>
      </c>
      <c r="AZ71" s="88">
        <v>0.240504277910605</v>
      </c>
      <c r="BA71" s="91">
        <f t="shared" ref="BA71" si="29">RANK(AZ71,AZ$57:AZ$76,1)</f>
        <v>11</v>
      </c>
      <c r="BB71" s="89"/>
    </row>
    <row r="72" ht="24" customHeight="1" spans="29:54">
      <c r="AC72" s="2"/>
      <c r="AD72" s="2"/>
      <c r="AE72" s="2"/>
      <c r="AF72" s="2"/>
      <c r="AH72" s="17" t="s">
        <v>487</v>
      </c>
      <c r="AI72" s="87"/>
      <c r="AJ72" s="88">
        <f>STDEV('Synthèse-20'!I19:M19)/AVERAGE('Synthèse-20'!I19:M19)</f>
        <v>0.376522049851289</v>
      </c>
      <c r="AK72" s="88">
        <f>STDEV('Synthèse-20'!I43:M43)/AVERAGE('Synthèse-20'!I43:M43)</f>
        <v>0.169506981783342</v>
      </c>
      <c r="AL72" s="89"/>
      <c r="AM72" s="88">
        <f>-STDEV('Synthèse-20'!V19:Z19)/AVERAGE('Synthèse-20'!V19:Z19)</f>
        <v>0.470395444976459</v>
      </c>
      <c r="AN72" s="88">
        <f>-STDEV('Synthèse-20'!V43:Z43)/AVERAGE('Synthèse-20'!V43:Z43)</f>
        <v>0.244196360303848</v>
      </c>
      <c r="AO72" s="90"/>
      <c r="AP72" s="2"/>
      <c r="AQ72" s="17" t="s">
        <v>487</v>
      </c>
      <c r="AR72" s="87"/>
      <c r="AS72" s="88">
        <v>0.376522049851289</v>
      </c>
      <c r="AT72" s="91">
        <f t="shared" si="1"/>
        <v>16</v>
      </c>
      <c r="AU72" s="88">
        <v>0.169506981783341</v>
      </c>
      <c r="AV72" s="91">
        <f t="shared" si="1"/>
        <v>10</v>
      </c>
      <c r="AW72" s="89"/>
      <c r="AX72" s="88">
        <v>0.470395444976459</v>
      </c>
      <c r="AY72" s="91">
        <f t="shared" ref="AY72" si="30">RANK(AX72,AX$57:AX$76,1)</f>
        <v>14</v>
      </c>
      <c r="AZ72" s="88">
        <v>0.244196360303848</v>
      </c>
      <c r="BA72" s="91">
        <f t="shared" ref="BA72" si="31">RANK(AZ72,AZ$57:AZ$76,1)</f>
        <v>13</v>
      </c>
      <c r="BB72" s="89"/>
    </row>
    <row r="73" ht="24" customHeight="1" spans="29:54">
      <c r="AC73" s="2"/>
      <c r="AD73" s="2"/>
      <c r="AE73" s="2"/>
      <c r="AF73" s="2"/>
      <c r="AH73" s="17" t="s">
        <v>488</v>
      </c>
      <c r="AI73" s="87"/>
      <c r="AJ73" s="88">
        <f>STDEV('Synthèse-20'!I20:M20)/AVERAGE('Synthèse-20'!I20:M20)</f>
        <v>0.240372708018996</v>
      </c>
      <c r="AK73" s="88">
        <f>STDEV('Synthèse-20'!I44:M44)/AVERAGE('Synthèse-20'!I44:M44)</f>
        <v>0.338996810041922</v>
      </c>
      <c r="AL73" s="89"/>
      <c r="AM73" s="88">
        <f>-STDEV('Synthèse-20'!V20:Z20)/AVERAGE('Synthèse-20'!V20:Z20)</f>
        <v>0.194442810327749</v>
      </c>
      <c r="AN73" s="88">
        <f>-STDEV('Synthèse-20'!V44:Z44)/AVERAGE('Synthèse-20'!V44:Z44)</f>
        <v>0.267315825839285</v>
      </c>
      <c r="AO73" s="90"/>
      <c r="AP73" s="2"/>
      <c r="AQ73" s="17" t="s">
        <v>488</v>
      </c>
      <c r="AR73" s="87"/>
      <c r="AS73" s="88">
        <v>0.240372708018997</v>
      </c>
      <c r="AT73" s="91">
        <f t="shared" si="1"/>
        <v>7</v>
      </c>
      <c r="AU73" s="88">
        <v>0.338996810041923</v>
      </c>
      <c r="AV73" s="91">
        <f t="shared" si="1"/>
        <v>19</v>
      </c>
      <c r="AW73" s="89"/>
      <c r="AX73" s="88">
        <v>0.194442810327748</v>
      </c>
      <c r="AY73" s="91">
        <f t="shared" ref="AY73" si="32">RANK(AX73,AX$57:AX$76,1)</f>
        <v>3</v>
      </c>
      <c r="AZ73" s="88">
        <v>0.267315825839285</v>
      </c>
      <c r="BA73" s="91">
        <f t="shared" ref="BA73" si="33">RANK(AZ73,AZ$57:AZ$76,1)</f>
        <v>15</v>
      </c>
      <c r="BB73" s="89"/>
    </row>
    <row r="74" ht="24" customHeight="1" spans="29:54">
      <c r="AC74" s="2"/>
      <c r="AD74" s="2"/>
      <c r="AE74" s="2"/>
      <c r="AF74" s="2"/>
      <c r="AH74" s="17" t="s">
        <v>490</v>
      </c>
      <c r="AI74" s="87"/>
      <c r="AJ74" s="88">
        <f>STDEV('Synthèse-20'!I21:M21)/AVERAGE('Synthèse-20'!I21:M21)</f>
        <v>0.46920821284691</v>
      </c>
      <c r="AK74" s="88">
        <f>STDEV('Synthèse-20'!I45:M45)/AVERAGE('Synthèse-20'!I45:M45)</f>
        <v>0.0878345951476935</v>
      </c>
      <c r="AL74" s="89"/>
      <c r="AM74" s="88">
        <f>-STDEV('Synthèse-20'!V21:Z21)/AVERAGE('Synthèse-20'!V21:Z21)</f>
        <v>0.560181036141962</v>
      </c>
      <c r="AN74" s="88">
        <f>-STDEV('Synthèse-20'!V45:Z45)/AVERAGE('Synthèse-20'!V45:Z45)</f>
        <v>0.241227792086155</v>
      </c>
      <c r="AO74" s="90"/>
      <c r="AP74" s="2"/>
      <c r="AQ74" s="17" t="s">
        <v>490</v>
      </c>
      <c r="AR74" s="87"/>
      <c r="AS74" s="88">
        <v>0.46920821284691</v>
      </c>
      <c r="AT74" s="91">
        <f t="shared" si="1"/>
        <v>19</v>
      </c>
      <c r="AU74" s="88">
        <v>0.0878345951476935</v>
      </c>
      <c r="AV74" s="91">
        <f t="shared" si="1"/>
        <v>2</v>
      </c>
      <c r="AW74" s="89"/>
      <c r="AX74" s="88">
        <v>0.560181036141962</v>
      </c>
      <c r="AY74" s="91">
        <f t="shared" ref="AY74" si="34">RANK(AX74,AX$57:AX$76,1)</f>
        <v>19</v>
      </c>
      <c r="AZ74" s="88">
        <v>0.241227792086156</v>
      </c>
      <c r="BA74" s="91">
        <f t="shared" ref="BA74" si="35">RANK(AZ74,AZ$57:AZ$76,1)</f>
        <v>12</v>
      </c>
      <c r="BB74" s="89"/>
    </row>
    <row r="75" ht="24" customHeight="1" spans="29:54">
      <c r="AC75" s="2"/>
      <c r="AD75" s="2"/>
      <c r="AE75" s="2"/>
      <c r="AF75" s="2"/>
      <c r="AH75" s="21" t="s">
        <v>492</v>
      </c>
      <c r="AI75" s="92"/>
      <c r="AJ75" s="88">
        <f>STDEV('Synthèse-20'!I22:M22)/AVERAGE('Synthèse-20'!I22:M22)</f>
        <v>0.259462128286421</v>
      </c>
      <c r="AK75" s="88">
        <f>STDEV('Synthèse-20'!I46:M46)/AVERAGE('Synthèse-20'!I46:M46)</f>
        <v>0.0338781789220435</v>
      </c>
      <c r="AL75" s="89"/>
      <c r="AM75" s="88">
        <f>-STDEV('Synthèse-20'!V22:Z22)/AVERAGE('Synthèse-20'!V22:Z22)</f>
        <v>0.287095911640918</v>
      </c>
      <c r="AN75" s="88">
        <f>-STDEV('Synthèse-20'!V46:Z46)/AVERAGE('Synthèse-20'!V46:Z46)</f>
        <v>0.0533591539443493</v>
      </c>
      <c r="AO75" s="90"/>
      <c r="AP75" s="2"/>
      <c r="AQ75" s="21" t="s">
        <v>492</v>
      </c>
      <c r="AR75" s="92"/>
      <c r="AS75" s="88">
        <v>0.259462128286421</v>
      </c>
      <c r="AT75" s="91">
        <f t="shared" si="1"/>
        <v>8</v>
      </c>
      <c r="AU75" s="88">
        <v>0.0338781789220435</v>
      </c>
      <c r="AV75" s="91">
        <f t="shared" si="1"/>
        <v>1</v>
      </c>
      <c r="AW75" s="89"/>
      <c r="AX75" s="88">
        <v>0.287095911640918</v>
      </c>
      <c r="AY75" s="91">
        <f t="shared" ref="AY75" si="36">RANK(AX75,AX$57:AX$76,1)</f>
        <v>7</v>
      </c>
      <c r="AZ75" s="88">
        <v>0.0533591539443493</v>
      </c>
      <c r="BA75" s="91">
        <f t="shared" ref="BA75" si="37">RANK(AZ75,AZ$57:AZ$76,1)</f>
        <v>1</v>
      </c>
      <c r="BB75" s="89"/>
    </row>
    <row r="76" ht="24" customHeight="1" spans="29:54">
      <c r="AC76" s="2"/>
      <c r="AD76" s="2"/>
      <c r="AE76" s="2"/>
      <c r="AF76" s="2"/>
      <c r="AH76" s="17" t="s">
        <v>493</v>
      </c>
      <c r="AI76" s="87"/>
      <c r="AJ76" s="88">
        <f>STDEV('Synthèse-20'!I23:M23)/AVERAGE('Synthèse-20'!I23:M23)</f>
        <v>0.275912703326639</v>
      </c>
      <c r="AK76" s="88">
        <f>STDEV('Synthèse-20'!I47:M47)/AVERAGE('Synthèse-20'!I47:M47)</f>
        <v>0.152068383324661</v>
      </c>
      <c r="AL76" s="89"/>
      <c r="AM76" s="88">
        <f>-STDEV('Synthèse-20'!V23:Z23)/AVERAGE('Synthèse-20'!V23:Z23)</f>
        <v>0.126243199824682</v>
      </c>
      <c r="AN76" s="88">
        <f>-STDEV('Synthèse-20'!V47:Z47)/AVERAGE('Synthèse-20'!V47:Z47)</f>
        <v>0.0833933756063847</v>
      </c>
      <c r="AO76" s="90"/>
      <c r="AP76" s="2"/>
      <c r="AQ76" s="17" t="s">
        <v>493</v>
      </c>
      <c r="AR76" s="87"/>
      <c r="AS76" s="88">
        <v>0.275912703326639</v>
      </c>
      <c r="AT76" s="91">
        <f t="shared" si="1"/>
        <v>10</v>
      </c>
      <c r="AU76" s="88">
        <v>0.152068383324661</v>
      </c>
      <c r="AV76" s="91">
        <f t="shared" si="1"/>
        <v>7</v>
      </c>
      <c r="AW76" s="89"/>
      <c r="AX76" s="88">
        <v>0.126243199824682</v>
      </c>
      <c r="AY76" s="91">
        <f t="shared" ref="AY76" si="38">RANK(AX76,AX$57:AX$76,1)</f>
        <v>1</v>
      </c>
      <c r="AZ76" s="88">
        <v>0.0833933756063847</v>
      </c>
      <c r="BA76" s="91">
        <f t="shared" ref="BA76" si="39">RANK(AZ76,AZ$57:AZ$76,1)</f>
        <v>2</v>
      </c>
      <c r="BB76" s="89"/>
    </row>
    <row r="77" ht="9" customHeight="1" spans="29:54">
      <c r="AC77" s="2"/>
      <c r="AD77" s="2"/>
      <c r="AE77" s="2"/>
      <c r="AF77" s="2"/>
      <c r="AH77" s="22"/>
      <c r="AI77" s="22"/>
      <c r="AJ77" s="23"/>
      <c r="AK77" s="23"/>
      <c r="AL77" s="23"/>
      <c r="AM77" s="23"/>
      <c r="AN77" s="23"/>
      <c r="AO77" s="93"/>
      <c r="AP77" s="2"/>
      <c r="AQ77" s="22"/>
      <c r="AR77" s="22"/>
      <c r="AS77" s="23"/>
      <c r="AT77" s="23"/>
      <c r="AU77" s="23"/>
      <c r="AV77" s="23"/>
      <c r="AW77" s="23"/>
      <c r="AX77" s="23"/>
      <c r="AY77" s="23"/>
      <c r="AZ77" s="23"/>
      <c r="BA77" s="23"/>
      <c r="BB77" s="93"/>
    </row>
    <row r="78" s="2" customFormat="1" spans="29:54">
      <c r="AO78" s="76"/>
      <c r="BB78" s="76"/>
    </row>
  </sheetData>
  <mergeCells count="22">
    <mergeCell ref="F2:G2"/>
    <mergeCell ref="I2:M2"/>
    <mergeCell ref="S2:T2"/>
    <mergeCell ref="V2:Z2"/>
    <mergeCell ref="F27:G27"/>
    <mergeCell ref="I27:M27"/>
    <mergeCell ref="S27:T27"/>
    <mergeCell ref="V27:Z27"/>
    <mergeCell ref="AJ54:AK54"/>
    <mergeCell ref="AM54:AN54"/>
    <mergeCell ref="AS54:AV54"/>
    <mergeCell ref="AX54:BA54"/>
    <mergeCell ref="B2:B3"/>
    <mergeCell ref="B27:B28"/>
    <mergeCell ref="D2:D3"/>
    <mergeCell ref="D27:D28"/>
    <mergeCell ref="O2:O3"/>
    <mergeCell ref="O27:O28"/>
    <mergeCell ref="Q2:Q3"/>
    <mergeCell ref="Q27:Q28"/>
    <mergeCell ref="AH54:AH55"/>
    <mergeCell ref="AQ54:AQ55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73"/>
  <sheetViews>
    <sheetView topLeftCell="A19" workbookViewId="0">
      <selection activeCell="AK32" sqref="AK32"/>
    </sheetView>
  </sheetViews>
  <sheetFormatPr defaultColWidth="11" defaultRowHeight="13.8"/>
  <cols>
    <col min="1" max="1" width="3.71296296296296" style="57" customWidth="1"/>
    <col min="2" max="2" width="61.712962962963" style="61" customWidth="1"/>
    <col min="3" max="3" width="1.71296296296296" style="57" customWidth="1"/>
    <col min="4" max="4" width="11.712962962963" style="61" customWidth="1"/>
    <col min="5" max="5" width="1.71296296296296" style="57" customWidth="1"/>
    <col min="6" max="7" width="11.712962962963" style="61" customWidth="1"/>
    <col min="8" max="8" width="1.71296296296296" style="57" customWidth="1"/>
    <col min="9" max="13" width="11.712962962963" style="61" customWidth="1"/>
    <col min="14" max="14" width="3.71296296296296" style="57" customWidth="1"/>
    <col min="15" max="15" width="61.712962962963" style="61" customWidth="1"/>
    <col min="16" max="16" width="1.71296296296296" style="57" customWidth="1"/>
    <col min="17" max="17" width="11.712962962963" style="61" customWidth="1"/>
    <col min="18" max="18" width="1.71296296296296" style="57" customWidth="1"/>
    <col min="19" max="20" width="11.712962962963" style="61" customWidth="1"/>
    <col min="21" max="21" width="1.71296296296296" style="57" customWidth="1"/>
    <col min="22" max="26" width="11.712962962963" style="61" customWidth="1"/>
    <col min="27" max="27" width="3.71296296296296" style="57" customWidth="1"/>
    <col min="28" max="28" width="11.4259259259259" style="61"/>
    <col min="29" max="29" width="3.71296296296296" style="57" customWidth="1"/>
    <col min="30" max="30" width="61.712962962963" style="61" customWidth="1"/>
    <col min="31" max="31" width="1.71296296296296" style="57" customWidth="1"/>
    <col min="32" max="32" width="11.712962962963" style="61" customWidth="1"/>
    <col min="33" max="33" width="1.71296296296296" style="57" customWidth="1"/>
    <col min="34" max="35" width="11.4259259259259" style="61"/>
    <col min="36" max="36" width="1.71296296296296" style="57" customWidth="1"/>
    <col min="37" max="41" width="11.4259259259259" style="61"/>
    <col min="42" max="42" width="3.71296296296296" style="57" customWidth="1"/>
    <col min="43" max="43" width="11.4259259259259" style="61"/>
    <col min="44" max="44" width="3.71296296296296" style="57" customWidth="1"/>
    <col min="45" max="45" width="61.712962962963" style="61" customWidth="1"/>
    <col min="46" max="46" width="1.71296296296296" style="57" customWidth="1"/>
    <col min="47" max="47" width="11.712962962963" style="61" customWidth="1"/>
    <col min="48" max="48" width="1.71296296296296" style="57" customWidth="1"/>
    <col min="49" max="50" width="11.4259259259259" style="61"/>
    <col min="51" max="51" width="1.71296296296296" style="57" customWidth="1"/>
    <col min="52" max="56" width="11.4259259259259" style="61"/>
    <col min="57" max="57" width="3.71296296296296" style="57" customWidth="1"/>
    <col min="58" max="16384" width="11.4259259259259" style="61"/>
  </cols>
  <sheetData>
    <row r="1" s="57" customFormat="1" ht="18.75" customHeight="1"/>
    <row r="2" s="58" customFormat="1" ht="27" customHeight="1" spans="1:56">
      <c r="A2" s="14"/>
      <c r="B2" s="5" t="s">
        <v>499</v>
      </c>
      <c r="C2" s="62"/>
      <c r="D2" s="5" t="s">
        <v>271</v>
      </c>
      <c r="E2" s="6"/>
      <c r="F2" s="7" t="s">
        <v>463</v>
      </c>
      <c r="G2" s="7"/>
      <c r="H2" s="6"/>
      <c r="I2" s="5" t="s">
        <v>464</v>
      </c>
      <c r="J2" s="5"/>
      <c r="K2" s="5"/>
      <c r="L2" s="5"/>
      <c r="M2" s="5"/>
      <c r="N2" s="63"/>
      <c r="O2" s="5" t="s">
        <v>500</v>
      </c>
      <c r="P2" s="9"/>
      <c r="Q2" s="5" t="s">
        <v>271</v>
      </c>
      <c r="R2" s="6"/>
      <c r="S2" s="7" t="s">
        <v>463</v>
      </c>
      <c r="T2" s="7"/>
      <c r="U2" s="6"/>
      <c r="V2" s="5" t="s">
        <v>464</v>
      </c>
      <c r="W2" s="5"/>
      <c r="X2" s="5"/>
      <c r="Y2" s="5"/>
      <c r="Z2" s="5"/>
      <c r="AA2" s="14"/>
      <c r="AB2" s="14"/>
      <c r="AD2" s="5" t="s">
        <v>501</v>
      </c>
      <c r="AE2" s="9"/>
      <c r="AF2" s="5" t="s">
        <v>271</v>
      </c>
      <c r="AG2" s="6"/>
      <c r="AH2" s="7" t="s">
        <v>463</v>
      </c>
      <c r="AI2" s="7"/>
      <c r="AJ2" s="6"/>
      <c r="AK2" s="5" t="s">
        <v>464</v>
      </c>
      <c r="AL2" s="5"/>
      <c r="AM2" s="5"/>
      <c r="AN2" s="5"/>
      <c r="AO2" s="5"/>
      <c r="AR2" s="14"/>
      <c r="AS2" s="5" t="s">
        <v>502</v>
      </c>
      <c r="AT2" s="9"/>
      <c r="AU2" s="5" t="s">
        <v>271</v>
      </c>
      <c r="AV2" s="6"/>
      <c r="AW2" s="7" t="s">
        <v>463</v>
      </c>
      <c r="AX2" s="7"/>
      <c r="AY2" s="6"/>
      <c r="AZ2" s="5" t="s">
        <v>464</v>
      </c>
      <c r="BA2" s="5"/>
      <c r="BB2" s="5"/>
      <c r="BC2" s="5"/>
      <c r="BD2" s="5"/>
    </row>
    <row r="3" s="58" customFormat="1" ht="27" customHeight="1" spans="1:56">
      <c r="A3" s="14"/>
      <c r="B3" s="10"/>
      <c r="C3" s="64"/>
      <c r="D3" s="10"/>
      <c r="E3" s="11"/>
      <c r="F3" s="12" t="s">
        <v>461</v>
      </c>
      <c r="G3" s="12" t="s">
        <v>462</v>
      </c>
      <c r="H3" s="11"/>
      <c r="I3" s="10" t="s">
        <v>3</v>
      </c>
      <c r="J3" s="10" t="s">
        <v>4</v>
      </c>
      <c r="K3" s="10" t="s">
        <v>5</v>
      </c>
      <c r="L3" s="10" t="s">
        <v>6</v>
      </c>
      <c r="M3" s="10" t="s">
        <v>7</v>
      </c>
      <c r="N3" s="63"/>
      <c r="O3" s="10"/>
      <c r="P3" s="13"/>
      <c r="Q3" s="10"/>
      <c r="R3" s="11"/>
      <c r="S3" s="12" t="s">
        <v>461</v>
      </c>
      <c r="T3" s="12" t="s">
        <v>462</v>
      </c>
      <c r="U3" s="11"/>
      <c r="V3" s="10" t="s">
        <v>3</v>
      </c>
      <c r="W3" s="10" t="s">
        <v>4</v>
      </c>
      <c r="X3" s="10" t="s">
        <v>5</v>
      </c>
      <c r="Y3" s="10" t="s">
        <v>6</v>
      </c>
      <c r="Z3" s="10" t="s">
        <v>7</v>
      </c>
      <c r="AA3" s="14"/>
      <c r="AB3" s="14"/>
      <c r="AD3" s="10"/>
      <c r="AE3" s="13"/>
      <c r="AF3" s="10"/>
      <c r="AG3" s="11"/>
      <c r="AH3" s="12" t="s">
        <v>461</v>
      </c>
      <c r="AI3" s="12" t="s">
        <v>462</v>
      </c>
      <c r="AJ3" s="11"/>
      <c r="AK3" s="10" t="s">
        <v>3</v>
      </c>
      <c r="AL3" s="10" t="s">
        <v>4</v>
      </c>
      <c r="AM3" s="10" t="s">
        <v>5</v>
      </c>
      <c r="AN3" s="10" t="s">
        <v>6</v>
      </c>
      <c r="AO3" s="10" t="s">
        <v>7</v>
      </c>
      <c r="AR3" s="14"/>
      <c r="AS3" s="10"/>
      <c r="AT3" s="13"/>
      <c r="AU3" s="10"/>
      <c r="AV3" s="11"/>
      <c r="AW3" s="12" t="s">
        <v>461</v>
      </c>
      <c r="AX3" s="12" t="s">
        <v>462</v>
      </c>
      <c r="AY3" s="11"/>
      <c r="AZ3" s="10" t="s">
        <v>3</v>
      </c>
      <c r="BA3" s="10" t="s">
        <v>4</v>
      </c>
      <c r="BB3" s="10" t="s">
        <v>5</v>
      </c>
      <c r="BC3" s="10" t="s">
        <v>6</v>
      </c>
      <c r="BD3" s="10" t="s">
        <v>7</v>
      </c>
    </row>
    <row r="4" s="59" customFormat="1" ht="9" customHeight="1" spans="1:56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5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D4" s="62"/>
      <c r="AE4" s="62"/>
      <c r="AF4" s="62"/>
      <c r="AG4" s="62"/>
      <c r="AJ4" s="62"/>
      <c r="AS4" s="62"/>
      <c r="AT4" s="62"/>
      <c r="AU4" s="62"/>
      <c r="AV4" s="62"/>
      <c r="AY4" s="62"/>
    </row>
    <row r="5" ht="24" customHeight="1" spans="1:56">
      <c r="B5" s="21" t="s">
        <v>466</v>
      </c>
      <c r="C5" s="66"/>
      <c r="D5" s="67">
        <v>3091.63831714445</v>
      </c>
      <c r="E5" s="68"/>
      <c r="F5" s="67">
        <v>3512.28794491355</v>
      </c>
      <c r="G5" s="67">
        <v>585.750588702264</v>
      </c>
      <c r="H5" s="68"/>
      <c r="I5" s="67">
        <v>-236.256410757244</v>
      </c>
      <c r="J5" s="67">
        <v>-149.46257147281</v>
      </c>
      <c r="K5" s="67">
        <v>1263.26849281109</v>
      </c>
      <c r="L5" s="67">
        <v>802.765756691342</v>
      </c>
      <c r="M5" s="67">
        <v>9265.50968361331</v>
      </c>
      <c r="N5" s="69"/>
      <c r="O5" s="21" t="s">
        <v>466</v>
      </c>
      <c r="P5" s="66"/>
      <c r="Q5" s="67">
        <v>8258.21540930404</v>
      </c>
      <c r="R5" s="68"/>
      <c r="S5" s="67">
        <v>8903.7381392717</v>
      </c>
      <c r="T5" s="67">
        <v>7273.30841143499</v>
      </c>
      <c r="U5" s="68"/>
      <c r="V5" s="67">
        <v>3073.45091082572</v>
      </c>
      <c r="W5" s="67">
        <v>5261.3340749641</v>
      </c>
      <c r="X5" s="67">
        <v>7264.29865474154</v>
      </c>
      <c r="Y5" s="67">
        <v>9755.90590599111</v>
      </c>
      <c r="Z5" s="67">
        <v>16333.4037524861</v>
      </c>
      <c r="AD5" s="21" t="s">
        <v>466</v>
      </c>
      <c r="AE5" s="66"/>
      <c r="AF5" s="70">
        <v>0.0897521</v>
      </c>
      <c r="AG5" s="68"/>
      <c r="AH5" s="70">
        <v>0.0820532</v>
      </c>
      <c r="AI5" s="70">
        <v>0.1443764</v>
      </c>
      <c r="AJ5" s="68"/>
      <c r="AK5" s="70">
        <v>0.1737262</v>
      </c>
      <c r="AL5" s="70">
        <v>0.1675444</v>
      </c>
      <c r="AM5" s="70">
        <v>0.1276257</v>
      </c>
      <c r="AN5" s="70">
        <v>0.1394096</v>
      </c>
      <c r="AO5" s="70">
        <v>0.0621852</v>
      </c>
      <c r="AS5" s="21" t="s">
        <v>466</v>
      </c>
      <c r="AT5" s="66"/>
      <c r="AU5" s="71">
        <v>0.145167607559868</v>
      </c>
      <c r="AV5" s="72"/>
      <c r="AW5" s="71">
        <v>0.135693372482744</v>
      </c>
      <c r="AX5" s="71">
        <v>0.166937915125375</v>
      </c>
      <c r="AY5" s="72"/>
      <c r="AZ5" s="71">
        <v>0.163972806770477</v>
      </c>
      <c r="BA5" s="71">
        <v>0.166826256714371</v>
      </c>
      <c r="BB5" s="71">
        <v>0.166470692067608</v>
      </c>
      <c r="BC5" s="71">
        <v>0.159426944150433</v>
      </c>
      <c r="BD5" s="71">
        <v>0.123107022050366</v>
      </c>
    </row>
    <row r="6" ht="24" customHeight="1" spans="1:56">
      <c r="B6" s="21" t="s">
        <v>468</v>
      </c>
      <c r="C6" s="66"/>
      <c r="D6" s="67">
        <v>36.5270071444479</v>
      </c>
      <c r="E6" s="68"/>
      <c r="F6" s="67">
        <v>195.694944913554</v>
      </c>
      <c r="G6" s="67">
        <v>-351.099951297736</v>
      </c>
      <c r="H6" s="68"/>
      <c r="I6" s="67">
        <v>-107.567850757244</v>
      </c>
      <c r="J6" s="67">
        <v>-88.8403314728098</v>
      </c>
      <c r="K6" s="67">
        <v>-442.144587188907</v>
      </c>
      <c r="L6" s="67">
        <v>-342.848413308658</v>
      </c>
      <c r="M6" s="67">
        <v>1529.57588361331</v>
      </c>
      <c r="N6" s="69"/>
      <c r="O6" s="21" t="s">
        <v>468</v>
      </c>
      <c r="P6" s="66"/>
      <c r="Q6" s="67">
        <v>797.582752864475</v>
      </c>
      <c r="R6" s="68"/>
      <c r="S6" s="67">
        <v>999.093075601903</v>
      </c>
      <c r="T6" s="67">
        <v>490.128161735049</v>
      </c>
      <c r="U6" s="68"/>
      <c r="V6" s="67">
        <v>259.938887768429</v>
      </c>
      <c r="W6" s="67">
        <v>444.366397946616</v>
      </c>
      <c r="X6" s="67">
        <v>623.636642543019</v>
      </c>
      <c r="Y6" s="67">
        <v>907.193728364271</v>
      </c>
      <c r="Z6" s="67">
        <v>1799.01465747934</v>
      </c>
      <c r="AD6" s="21" t="s">
        <v>468</v>
      </c>
      <c r="AE6" s="66"/>
      <c r="AF6" s="70">
        <v>0.0123094</v>
      </c>
      <c r="AG6" s="68"/>
      <c r="AH6" s="70">
        <v>0.0121311</v>
      </c>
      <c r="AI6" s="70">
        <v>0.0101907</v>
      </c>
      <c r="AJ6" s="68"/>
      <c r="AK6" s="70">
        <v>0.0167558</v>
      </c>
      <c r="AL6" s="70">
        <v>0.0128859</v>
      </c>
      <c r="AM6" s="70">
        <v>0.0145282</v>
      </c>
      <c r="AN6" s="70">
        <v>0.0135288</v>
      </c>
      <c r="AO6" s="70">
        <v>0.0109444</v>
      </c>
      <c r="AS6" s="21" t="s">
        <v>468</v>
      </c>
      <c r="AT6" s="66"/>
      <c r="AU6" s="71">
        <v>0.0140203632777492</v>
      </c>
      <c r="AV6" s="72"/>
      <c r="AW6" s="71">
        <v>0.0152262237199699</v>
      </c>
      <c r="AX6" s="71">
        <v>0.0112494849435567</v>
      </c>
      <c r="AY6" s="72"/>
      <c r="AZ6" s="71">
        <v>0.0138680949372099</v>
      </c>
      <c r="BA6" s="71">
        <v>0.0140899592618224</v>
      </c>
      <c r="BB6" s="71">
        <v>0.0142914310681724</v>
      </c>
      <c r="BC6" s="71">
        <v>0.0148249814275818</v>
      </c>
      <c r="BD6" s="71">
        <v>0.0135594111590814</v>
      </c>
    </row>
    <row r="7" ht="24" customHeight="1" spans="1:56">
      <c r="B7" s="21" t="s">
        <v>469</v>
      </c>
      <c r="C7" s="66"/>
      <c r="D7" s="67">
        <v>-33.2000628555521</v>
      </c>
      <c r="E7" s="68"/>
      <c r="F7" s="67">
        <v>16.2395649135536</v>
      </c>
      <c r="G7" s="67">
        <v>-375.971451297736</v>
      </c>
      <c r="H7" s="68"/>
      <c r="I7" s="67">
        <v>-51.4311837572435</v>
      </c>
      <c r="J7" s="67">
        <v>-120.42965947281</v>
      </c>
      <c r="K7" s="67">
        <v>-417.897987188907</v>
      </c>
      <c r="L7" s="67">
        <v>-401.793013308658</v>
      </c>
      <c r="M7" s="67">
        <v>1230.65896361331</v>
      </c>
      <c r="N7" s="69"/>
      <c r="O7" s="21" t="s">
        <v>469</v>
      </c>
      <c r="P7" s="66"/>
      <c r="Q7" s="67">
        <v>40.1709551804207</v>
      </c>
      <c r="R7" s="68"/>
      <c r="S7" s="67">
        <v>36.6398760175654</v>
      </c>
      <c r="T7" s="67">
        <v>45.5585030018584</v>
      </c>
      <c r="U7" s="68"/>
      <c r="V7" s="67">
        <v>20.261380263438</v>
      </c>
      <c r="W7" s="67">
        <v>32.0508038060345</v>
      </c>
      <c r="X7" s="67">
        <v>40.1908708029923</v>
      </c>
      <c r="Y7" s="67">
        <v>48.5913155647078</v>
      </c>
      <c r="Z7" s="67">
        <v>60.9679715499089</v>
      </c>
      <c r="AD7" s="21" t="s">
        <v>469</v>
      </c>
      <c r="AE7" s="66"/>
      <c r="AF7" s="70">
        <v>0.0002209</v>
      </c>
      <c r="AG7" s="68"/>
      <c r="AH7" s="70">
        <v>0.0001982</v>
      </c>
      <c r="AI7" s="70">
        <v>0.0005578</v>
      </c>
      <c r="AJ7" s="68"/>
      <c r="AK7" s="70">
        <v>0.0009737</v>
      </c>
      <c r="AL7" s="70">
        <v>0.0008139</v>
      </c>
      <c r="AM7" s="70">
        <v>0.0006021</v>
      </c>
      <c r="AN7" s="70">
        <v>0.0004611</v>
      </c>
      <c r="AO7" s="70">
        <v>9.75e-5</v>
      </c>
      <c r="AS7" s="21" t="s">
        <v>469</v>
      </c>
      <c r="AT7" s="66"/>
      <c r="AU7" s="71">
        <v>0.000706147898535842</v>
      </c>
      <c r="AV7" s="72"/>
      <c r="AW7" s="71">
        <v>0.000558393369886295</v>
      </c>
      <c r="AX7" s="71">
        <v>0.00104566465178436</v>
      </c>
      <c r="AY7" s="72"/>
      <c r="AZ7" s="71">
        <v>0.00108097232955229</v>
      </c>
      <c r="BA7" s="71">
        <v>0.00101626613088315</v>
      </c>
      <c r="BB7" s="71">
        <v>0.000921025193947233</v>
      </c>
      <c r="BC7" s="71">
        <v>0.000794059006654978</v>
      </c>
      <c r="BD7" s="71">
        <v>0.000459523656654747</v>
      </c>
    </row>
    <row r="8" ht="24" customHeight="1" spans="1:56">
      <c r="B8" s="21" t="s">
        <v>470</v>
      </c>
      <c r="C8" s="66"/>
      <c r="D8" s="67">
        <v>8191.32531714445</v>
      </c>
      <c r="E8" s="68"/>
      <c r="F8" s="67">
        <v>8174.82794491355</v>
      </c>
      <c r="G8" s="67">
        <v>4501.78378870227</v>
      </c>
      <c r="H8" s="68"/>
      <c r="I8" s="67">
        <v>254.112889242756</v>
      </c>
      <c r="J8" s="67">
        <v>630.846868527191</v>
      </c>
      <c r="K8" s="67">
        <v>5128.69049281109</v>
      </c>
      <c r="L8" s="67">
        <v>3458.00375669134</v>
      </c>
      <c r="M8" s="67">
        <v>18396.5936836133</v>
      </c>
      <c r="N8" s="69"/>
      <c r="O8" s="21" t="s">
        <v>470</v>
      </c>
      <c r="P8" s="66"/>
      <c r="Q8" s="67">
        <v>14672.2380607447</v>
      </c>
      <c r="R8" s="68"/>
      <c r="S8" s="67">
        <v>14805.1970543324</v>
      </c>
      <c r="T8" s="67">
        <v>14469.3757336186</v>
      </c>
      <c r="U8" s="68"/>
      <c r="V8" s="67">
        <v>6558.15139633991</v>
      </c>
      <c r="W8" s="67">
        <v>10613.1657233898</v>
      </c>
      <c r="X8" s="67">
        <v>13693.825573132</v>
      </c>
      <c r="Y8" s="67">
        <v>17718.9296534189</v>
      </c>
      <c r="Z8" s="67">
        <v>25344.3633403098</v>
      </c>
      <c r="AD8" s="21" t="s">
        <v>470</v>
      </c>
      <c r="AE8" s="66"/>
      <c r="AF8" s="70">
        <v>0.1128563</v>
      </c>
      <c r="AG8" s="68"/>
      <c r="AH8" s="70">
        <v>0.1009344</v>
      </c>
      <c r="AI8" s="70">
        <v>0.2196602</v>
      </c>
      <c r="AJ8" s="68"/>
      <c r="AK8" s="70">
        <v>0.3334779</v>
      </c>
      <c r="AL8" s="70">
        <v>0.3124982</v>
      </c>
      <c r="AM8" s="70">
        <v>0.1863854</v>
      </c>
      <c r="AN8" s="70">
        <v>0.2261472</v>
      </c>
      <c r="AO8" s="70">
        <v>0.0612799</v>
      </c>
      <c r="AS8" s="21" t="s">
        <v>470</v>
      </c>
      <c r="AT8" s="66"/>
      <c r="AU8" s="71">
        <v>0.25791694588488</v>
      </c>
      <c r="AV8" s="72"/>
      <c r="AW8" s="71">
        <v>0.225631873618677</v>
      </c>
      <c r="AX8" s="71">
        <v>0.332102982782689</v>
      </c>
      <c r="AY8" s="72"/>
      <c r="AZ8" s="71">
        <v>0.349886340431145</v>
      </c>
      <c r="BA8" s="71">
        <v>0.336522008352885</v>
      </c>
      <c r="BB8" s="71">
        <v>0.313811522427488</v>
      </c>
      <c r="BC8" s="71">
        <v>0.289555356056304</v>
      </c>
      <c r="BD8" s="71">
        <v>0.191023814990989</v>
      </c>
    </row>
    <row r="9" ht="24" customHeight="1" spans="1:56">
      <c r="B9" s="21" t="s">
        <v>471</v>
      </c>
      <c r="C9" s="66"/>
      <c r="D9" s="67">
        <v>-378.103982855552</v>
      </c>
      <c r="E9" s="68"/>
      <c r="F9" s="67">
        <v>-345.706855086446</v>
      </c>
      <c r="G9" s="67">
        <v>-593.938211297736</v>
      </c>
      <c r="H9" s="68"/>
      <c r="I9" s="67">
        <v>-297.441810757244</v>
      </c>
      <c r="J9" s="67">
        <v>-697.29803147281</v>
      </c>
      <c r="K9" s="67">
        <v>-810.611107188907</v>
      </c>
      <c r="L9" s="67">
        <v>-1348.69244330866</v>
      </c>
      <c r="M9" s="67">
        <v>1609.44158361331</v>
      </c>
      <c r="N9" s="69"/>
      <c r="O9" s="21" t="s">
        <v>471</v>
      </c>
      <c r="P9" s="66"/>
      <c r="Q9" s="67">
        <v>2236.20035941647</v>
      </c>
      <c r="R9" s="68"/>
      <c r="S9" s="67">
        <v>2635.09141430118</v>
      </c>
      <c r="T9" s="67">
        <v>1627.59190443141</v>
      </c>
      <c r="U9" s="68"/>
      <c r="V9" s="67">
        <v>492.806935130533</v>
      </c>
      <c r="W9" s="67">
        <v>969.357682207993</v>
      </c>
      <c r="X9" s="67">
        <v>1513.71521119113</v>
      </c>
      <c r="Y9" s="67">
        <v>2477.45045747203</v>
      </c>
      <c r="Z9" s="67">
        <v>5890.01114165436</v>
      </c>
      <c r="AD9" s="21" t="s">
        <v>471</v>
      </c>
      <c r="AE9" s="66"/>
      <c r="AF9" s="70">
        <v>0.0448868</v>
      </c>
      <c r="AG9" s="68"/>
      <c r="AH9" s="70">
        <v>0.0453148</v>
      </c>
      <c r="AI9" s="70">
        <v>0.0418716</v>
      </c>
      <c r="AJ9" s="68"/>
      <c r="AK9" s="70">
        <v>0.0393097</v>
      </c>
      <c r="AL9" s="70">
        <v>0.0488253</v>
      </c>
      <c r="AM9" s="70">
        <v>0.0433693</v>
      </c>
      <c r="AN9" s="70">
        <v>0.0556264</v>
      </c>
      <c r="AO9" s="70">
        <v>0.0411768</v>
      </c>
      <c r="AS9" s="21" t="s">
        <v>471</v>
      </c>
      <c r="AT9" s="66"/>
      <c r="AU9" s="71">
        <v>0.0393092018204408</v>
      </c>
      <c r="AV9" s="72"/>
      <c r="AW9" s="71">
        <v>0.0401589124942637</v>
      </c>
      <c r="AX9" s="71">
        <v>0.0373566998442615</v>
      </c>
      <c r="AY9" s="72"/>
      <c r="AZ9" s="71">
        <v>0.0262919235393287</v>
      </c>
      <c r="BA9" s="71">
        <v>0.03073637051667</v>
      </c>
      <c r="BB9" s="71">
        <v>0.0346887195552974</v>
      </c>
      <c r="BC9" s="71">
        <v>0.0404854617833393</v>
      </c>
      <c r="BD9" s="71">
        <v>0.0443937921624072</v>
      </c>
    </row>
    <row r="10" ht="24" customHeight="1" spans="1:56">
      <c r="B10" s="21" t="s">
        <v>473</v>
      </c>
      <c r="C10" s="66"/>
      <c r="D10" s="67">
        <v>692.533017144448</v>
      </c>
      <c r="E10" s="68"/>
      <c r="F10" s="67">
        <v>1047.35594491355</v>
      </c>
      <c r="G10" s="67">
        <v>-178.850011297736</v>
      </c>
      <c r="H10" s="68"/>
      <c r="I10" s="67">
        <v>-169.728710757244</v>
      </c>
      <c r="J10" s="67">
        <v>149.11886852719</v>
      </c>
      <c r="K10" s="67">
        <v>-703.002407188907</v>
      </c>
      <c r="L10" s="67">
        <v>-584.531343308658</v>
      </c>
      <c r="M10" s="67">
        <v>3648.88168361331</v>
      </c>
      <c r="N10" s="69"/>
      <c r="O10" s="21" t="s">
        <v>473</v>
      </c>
      <c r="P10" s="66"/>
      <c r="Q10" s="67">
        <v>2394.35159301394</v>
      </c>
      <c r="R10" s="68"/>
      <c r="S10" s="67">
        <v>2823.48905120859</v>
      </c>
      <c r="T10" s="67">
        <v>1739.59465572552</v>
      </c>
      <c r="U10" s="68"/>
      <c r="V10" s="67">
        <v>771.245447605894</v>
      </c>
      <c r="W10" s="67">
        <v>1443.3091247506</v>
      </c>
      <c r="X10" s="67">
        <v>2019.10935965197</v>
      </c>
      <c r="Y10" s="67">
        <v>2810.98262180803</v>
      </c>
      <c r="Z10" s="67">
        <v>5055.07025857452</v>
      </c>
      <c r="AD10" s="21" t="s">
        <v>473</v>
      </c>
      <c r="AE10" s="66"/>
      <c r="AF10" s="70">
        <v>0.0288466</v>
      </c>
      <c r="AG10" s="68"/>
      <c r="AH10" s="70">
        <v>0.0269556</v>
      </c>
      <c r="AI10" s="70">
        <v>0.0349151</v>
      </c>
      <c r="AJ10" s="68"/>
      <c r="AK10" s="70">
        <v>0.0473511</v>
      </c>
      <c r="AL10" s="70">
        <v>0.0370152</v>
      </c>
      <c r="AM10" s="70">
        <v>0.0524851</v>
      </c>
      <c r="AN10" s="70">
        <v>0.0485892</v>
      </c>
      <c r="AO10" s="70">
        <v>0.0195122</v>
      </c>
      <c r="AS10" s="21" t="s">
        <v>473</v>
      </c>
      <c r="AT10" s="66"/>
      <c r="AU10" s="71">
        <v>0.0420892741576335</v>
      </c>
      <c r="AV10" s="72"/>
      <c r="AW10" s="71">
        <v>0.0430301010130488</v>
      </c>
      <c r="AX10" s="71">
        <v>0.0399274014743406</v>
      </c>
      <c r="AY10" s="72"/>
      <c r="AZ10" s="71">
        <v>0.0411469987392496</v>
      </c>
      <c r="BA10" s="71">
        <v>0.0457644116745202</v>
      </c>
      <c r="BB10" s="71">
        <v>0.0462704726824599</v>
      </c>
      <c r="BC10" s="71">
        <v>0.0459359052632538</v>
      </c>
      <c r="BD10" s="71">
        <v>0.0381007324143178</v>
      </c>
    </row>
    <row r="11" ht="24" customHeight="1" spans="1:56">
      <c r="B11" s="21" t="s">
        <v>474</v>
      </c>
      <c r="C11" s="66"/>
      <c r="D11" s="67">
        <v>-4665.13568285555</v>
      </c>
      <c r="E11" s="68"/>
      <c r="F11" s="67">
        <v>-5499.44705508645</v>
      </c>
      <c r="G11" s="67">
        <v>-2788.75321129774</v>
      </c>
      <c r="H11" s="68"/>
      <c r="I11" s="67">
        <v>-209.662410757244</v>
      </c>
      <c r="J11" s="67">
        <v>-357.53593147281</v>
      </c>
      <c r="K11" s="67">
        <v>-1460.61150718891</v>
      </c>
      <c r="L11" s="67">
        <v>-1331.48944330866</v>
      </c>
      <c r="M11" s="67">
        <v>-11826.9963163867</v>
      </c>
      <c r="N11" s="69"/>
      <c r="O11" s="21" t="s">
        <v>474</v>
      </c>
      <c r="P11" s="66"/>
      <c r="Q11" s="67">
        <v>3172.34476565484</v>
      </c>
      <c r="R11" s="68"/>
      <c r="S11" s="67">
        <v>3992.01064326156</v>
      </c>
      <c r="T11" s="67">
        <v>1921.73867342656</v>
      </c>
      <c r="U11" s="68"/>
      <c r="V11" s="67">
        <v>463.09525134688</v>
      </c>
      <c r="W11" s="67">
        <v>854.399894559078</v>
      </c>
      <c r="X11" s="67">
        <v>1406.13621360221</v>
      </c>
      <c r="Y11" s="67">
        <v>2228.46453293964</v>
      </c>
      <c r="Z11" s="67">
        <v>11211.4128290118</v>
      </c>
      <c r="AD11" s="21" t="s">
        <v>474</v>
      </c>
      <c r="AE11" s="66"/>
      <c r="AF11" s="70">
        <v>0.1367028</v>
      </c>
      <c r="AG11" s="68"/>
      <c r="AH11" s="70">
        <v>0.1445375</v>
      </c>
      <c r="AI11" s="70">
        <v>0.0989986</v>
      </c>
      <c r="AJ11" s="68"/>
      <c r="AK11" s="70">
        <v>0.0330414</v>
      </c>
      <c r="AL11" s="70">
        <v>0.0344071</v>
      </c>
      <c r="AM11" s="70">
        <v>0.0557996</v>
      </c>
      <c r="AN11" s="70">
        <v>0.0512764</v>
      </c>
      <c r="AO11" s="70">
        <v>0.1825572</v>
      </c>
      <c r="AS11" s="21" t="s">
        <v>474</v>
      </c>
      <c r="AT11" s="66"/>
      <c r="AU11" s="71">
        <v>0.0557652806520814</v>
      </c>
      <c r="AV11" s="72"/>
      <c r="AW11" s="71">
        <v>0.060838422996959</v>
      </c>
      <c r="AX11" s="71">
        <v>0.0441079945205212</v>
      </c>
      <c r="AY11" s="72"/>
      <c r="AZ11" s="71">
        <v>0.024706764600651</v>
      </c>
      <c r="BA11" s="71">
        <v>0.0270912916981833</v>
      </c>
      <c r="BB11" s="71">
        <v>0.0322234092711617</v>
      </c>
      <c r="BC11" s="71">
        <v>0.0364166376815926</v>
      </c>
      <c r="BD11" s="71">
        <v>0.0845018997431471</v>
      </c>
    </row>
    <row r="12" ht="24" customHeight="1" spans="1:56">
      <c r="B12" s="21" t="s">
        <v>475</v>
      </c>
      <c r="C12" s="66"/>
      <c r="D12" s="67">
        <v>-419.059182855552</v>
      </c>
      <c r="E12" s="68"/>
      <c r="F12" s="67">
        <v>-429.203755086447</v>
      </c>
      <c r="G12" s="67">
        <v>-593.206311297736</v>
      </c>
      <c r="H12" s="68"/>
      <c r="I12" s="67">
        <v>-95.4506207572436</v>
      </c>
      <c r="J12" s="67">
        <v>-256.51643147281</v>
      </c>
      <c r="K12" s="67">
        <v>-626.587607188907</v>
      </c>
      <c r="L12" s="67">
        <v>-790.440943308658</v>
      </c>
      <c r="M12" s="67">
        <v>827.469483613307</v>
      </c>
      <c r="N12" s="69"/>
      <c r="O12" s="21" t="s">
        <v>475</v>
      </c>
      <c r="P12" s="66"/>
      <c r="Q12" s="67">
        <v>669.19113733727</v>
      </c>
      <c r="R12" s="68"/>
      <c r="S12" s="67">
        <v>800.999021363901</v>
      </c>
      <c r="T12" s="67">
        <v>468.085116858868</v>
      </c>
      <c r="U12" s="68"/>
      <c r="V12" s="67">
        <v>118.143392396856</v>
      </c>
      <c r="W12" s="67">
        <v>227.834145507378</v>
      </c>
      <c r="X12" s="67">
        <v>364.718738792757</v>
      </c>
      <c r="Y12" s="67">
        <v>605.124732540125</v>
      </c>
      <c r="Z12" s="67">
        <v>2087.19609561008</v>
      </c>
      <c r="AD12" s="21" t="s">
        <v>475</v>
      </c>
      <c r="AE12" s="66"/>
      <c r="AF12" s="70">
        <v>0.018061</v>
      </c>
      <c r="AG12" s="68"/>
      <c r="AH12" s="70">
        <v>0.0186356</v>
      </c>
      <c r="AI12" s="70">
        <v>0.0152416</v>
      </c>
      <c r="AJ12" s="68"/>
      <c r="AK12" s="70">
        <v>0.0085444</v>
      </c>
      <c r="AL12" s="70">
        <v>0.0113368</v>
      </c>
      <c r="AM12" s="70">
        <v>0.0128215</v>
      </c>
      <c r="AN12" s="70">
        <v>0.0159069</v>
      </c>
      <c r="AO12" s="70">
        <v>0.0184083</v>
      </c>
      <c r="AS12" s="21" t="s">
        <v>475</v>
      </c>
      <c r="AT12" s="66"/>
      <c r="AU12" s="71">
        <v>0.0117634224336254</v>
      </c>
      <c r="AV12" s="72"/>
      <c r="AW12" s="71">
        <v>0.0122072613619268</v>
      </c>
      <c r="AX12" s="71">
        <v>0.01074355012731</v>
      </c>
      <c r="AY12" s="72"/>
      <c r="AZ12" s="71">
        <v>0.00630311145834885</v>
      </c>
      <c r="BA12" s="71">
        <v>0.00722415971028649</v>
      </c>
      <c r="BB12" s="71">
        <v>0.00835799624196697</v>
      </c>
      <c r="BC12" s="71">
        <v>0.00988869592104982</v>
      </c>
      <c r="BD12" s="71">
        <v>0.0157314727327793</v>
      </c>
    </row>
    <row r="13" ht="24" customHeight="1" spans="1:56">
      <c r="B13" s="21" t="s">
        <v>477</v>
      </c>
      <c r="C13" s="66"/>
      <c r="D13" s="67">
        <v>-2056.47368285555</v>
      </c>
      <c r="E13" s="68"/>
      <c r="F13" s="67">
        <v>-2570.34405508645</v>
      </c>
      <c r="G13" s="67">
        <v>-1211.37821129774</v>
      </c>
      <c r="H13" s="68"/>
      <c r="I13" s="67">
        <v>189.192289242756</v>
      </c>
      <c r="J13" s="67">
        <v>229.55876852719</v>
      </c>
      <c r="K13" s="67">
        <v>265.743292811093</v>
      </c>
      <c r="L13" s="67">
        <v>-155.349443308658</v>
      </c>
      <c r="M13" s="67">
        <v>-5930.9203163867</v>
      </c>
      <c r="N13" s="69"/>
      <c r="O13" s="21" t="s">
        <v>477</v>
      </c>
      <c r="P13" s="66"/>
      <c r="Q13" s="67">
        <v>2873.46629337272</v>
      </c>
      <c r="R13" s="68"/>
      <c r="S13" s="67">
        <v>3327.61586133648</v>
      </c>
      <c r="T13" s="67">
        <v>2180.54710276709</v>
      </c>
      <c r="U13" s="68"/>
      <c r="V13" s="67">
        <v>964.248322594485</v>
      </c>
      <c r="W13" s="67">
        <v>1427.08751855729</v>
      </c>
      <c r="X13" s="67">
        <v>1840.57435701528</v>
      </c>
      <c r="Y13" s="67">
        <v>2430.72356150575</v>
      </c>
      <c r="Z13" s="67">
        <v>7899.366600005</v>
      </c>
      <c r="AD13" s="21" t="s">
        <v>477</v>
      </c>
      <c r="AE13" s="66"/>
      <c r="AF13" s="70">
        <v>0.0855924</v>
      </c>
      <c r="AG13" s="68"/>
      <c r="AH13" s="70">
        <v>0.0897724</v>
      </c>
      <c r="AI13" s="70">
        <v>0.0687347</v>
      </c>
      <c r="AJ13" s="68"/>
      <c r="AK13" s="70">
        <v>0.0384991</v>
      </c>
      <c r="AL13" s="70">
        <v>0.0339502</v>
      </c>
      <c r="AM13" s="70">
        <v>0.0261937</v>
      </c>
      <c r="AN13" s="70">
        <v>0.0353616</v>
      </c>
      <c r="AO13" s="70">
        <v>0.1131543</v>
      </c>
      <c r="AS13" s="21" t="s">
        <v>477</v>
      </c>
      <c r="AT13" s="66"/>
      <c r="AU13" s="71">
        <v>0.0505114248706663</v>
      </c>
      <c r="AV13" s="72"/>
      <c r="AW13" s="71">
        <v>0.0507130164307316</v>
      </c>
      <c r="AX13" s="71">
        <v>0.0500481990556478</v>
      </c>
      <c r="AY13" s="72"/>
      <c r="AZ13" s="71">
        <v>0.0514439659090127</v>
      </c>
      <c r="BA13" s="71">
        <v>0.0452500573680712</v>
      </c>
      <c r="BB13" s="71">
        <v>0.0421791148157479</v>
      </c>
      <c r="BC13" s="71">
        <v>0.0397218703439257</v>
      </c>
      <c r="BD13" s="71">
        <v>0.0595385697278638</v>
      </c>
    </row>
    <row r="14" ht="24" customHeight="1" spans="1:56">
      <c r="B14" s="21" t="s">
        <v>479</v>
      </c>
      <c r="C14" s="66"/>
      <c r="D14" s="67">
        <v>1200.48431714445</v>
      </c>
      <c r="E14" s="68"/>
      <c r="F14" s="67">
        <v>1333.52194491355</v>
      </c>
      <c r="G14" s="67">
        <v>519.895288702264</v>
      </c>
      <c r="H14" s="68"/>
      <c r="I14" s="67">
        <v>278.124689242756</v>
      </c>
      <c r="J14" s="67">
        <v>454.36556852719</v>
      </c>
      <c r="K14" s="67">
        <v>567.470492811093</v>
      </c>
      <c r="L14" s="67">
        <v>489.445456691342</v>
      </c>
      <c r="M14" s="67">
        <v>3228.22468361331</v>
      </c>
      <c r="N14" s="69"/>
      <c r="O14" s="21" t="s">
        <v>479</v>
      </c>
      <c r="P14" s="66"/>
      <c r="Q14" s="67">
        <v>2060.71000203707</v>
      </c>
      <c r="R14" s="68"/>
      <c r="S14" s="67">
        <v>2182.91442379012</v>
      </c>
      <c r="T14" s="67">
        <v>1874.25647442672</v>
      </c>
      <c r="U14" s="68"/>
      <c r="V14" s="67">
        <v>1134.84375924163</v>
      </c>
      <c r="W14" s="67">
        <v>1629.8408648975</v>
      </c>
      <c r="X14" s="67">
        <v>1950.61403365865</v>
      </c>
      <c r="Y14" s="67">
        <v>2351.05235599399</v>
      </c>
      <c r="Z14" s="67">
        <v>3300.87683968184</v>
      </c>
      <c r="AD14" s="21" t="s">
        <v>479</v>
      </c>
      <c r="AE14" s="66"/>
      <c r="AF14" s="70">
        <v>0.0140526</v>
      </c>
      <c r="AG14" s="68"/>
      <c r="AH14" s="70">
        <v>0.012832</v>
      </c>
      <c r="AI14" s="70">
        <v>0.0219682</v>
      </c>
      <c r="AJ14" s="68"/>
      <c r="AK14" s="70">
        <v>0.042856</v>
      </c>
      <c r="AL14" s="70">
        <v>0.033251</v>
      </c>
      <c r="AM14" s="70">
        <v>0.0218009</v>
      </c>
      <c r="AN14" s="70">
        <v>0.0235227</v>
      </c>
      <c r="AO14" s="70">
        <v>0.0094612</v>
      </c>
      <c r="AS14" s="21" t="s">
        <v>479</v>
      </c>
      <c r="AT14" s="66"/>
      <c r="AU14" s="71">
        <v>0.0362243325032887</v>
      </c>
      <c r="AV14" s="72"/>
      <c r="AW14" s="71">
        <v>0.03326771468029</v>
      </c>
      <c r="AX14" s="71">
        <v>0.04301817694945</v>
      </c>
      <c r="AY14" s="72"/>
      <c r="AZ14" s="71">
        <v>0.0605454656176099</v>
      </c>
      <c r="BA14" s="71">
        <v>0.0516789556901152</v>
      </c>
      <c r="BB14" s="71">
        <v>0.0447008147067292</v>
      </c>
      <c r="BC14" s="71">
        <v>0.0384199167422904</v>
      </c>
      <c r="BD14" s="71">
        <v>0.0248791448522421</v>
      </c>
    </row>
    <row r="15" ht="24" customHeight="1" spans="1:56">
      <c r="B15" s="21" t="s">
        <v>481</v>
      </c>
      <c r="C15" s="66"/>
      <c r="D15" s="67">
        <v>-356.052882855552</v>
      </c>
      <c r="E15" s="68"/>
      <c r="F15" s="67">
        <v>-494.922355086446</v>
      </c>
      <c r="G15" s="67">
        <v>-1160.67061129774</v>
      </c>
      <c r="H15" s="68"/>
      <c r="I15" s="67">
        <v>-286.551110757244</v>
      </c>
      <c r="J15" s="67">
        <v>-933.31423147281</v>
      </c>
      <c r="K15" s="67">
        <v>-693.506407188907</v>
      </c>
      <c r="L15" s="67">
        <v>104.424856691342</v>
      </c>
      <c r="M15" s="67">
        <v>1749.70028361331</v>
      </c>
      <c r="N15" s="69"/>
      <c r="O15" s="21" t="s">
        <v>481</v>
      </c>
      <c r="P15" s="66"/>
      <c r="Q15" s="67">
        <v>1580.42778249788</v>
      </c>
      <c r="R15" s="68"/>
      <c r="S15" s="67">
        <v>1566.31458040319</v>
      </c>
      <c r="T15" s="67">
        <v>1601.96101573677</v>
      </c>
      <c r="U15" s="68"/>
      <c r="V15" s="67">
        <v>347.325920778318</v>
      </c>
      <c r="W15" s="67">
        <v>655.665269042628</v>
      </c>
      <c r="X15" s="67">
        <v>997.672245467225</v>
      </c>
      <c r="Y15" s="67">
        <v>1603.15401301518</v>
      </c>
      <c r="Z15" s="67">
        <v>4418.25309090909</v>
      </c>
      <c r="AD15" s="21" t="s">
        <v>481</v>
      </c>
      <c r="AE15" s="66"/>
      <c r="AF15" s="70">
        <v>0.0329717</v>
      </c>
      <c r="AG15" s="68"/>
      <c r="AH15" s="70">
        <v>0.0313006</v>
      </c>
      <c r="AI15" s="70">
        <v>0.054291</v>
      </c>
      <c r="AJ15" s="68"/>
      <c r="AK15" s="70">
        <v>0.030967</v>
      </c>
      <c r="AL15" s="70">
        <v>0.0463624</v>
      </c>
      <c r="AM15" s="70">
        <v>0.0288599</v>
      </c>
      <c r="AN15" s="70">
        <v>0.0175927</v>
      </c>
      <c r="AO15" s="70">
        <v>0.0290268</v>
      </c>
      <c r="AS15" s="21" t="s">
        <v>481</v>
      </c>
      <c r="AT15" s="66"/>
      <c r="AU15" s="71">
        <v>0.027781658474043</v>
      </c>
      <c r="AV15" s="72"/>
      <c r="AW15" s="71">
        <v>0.0238707051419627</v>
      </c>
      <c r="AX15" s="71">
        <v>0.0367684163727717</v>
      </c>
      <c r="AY15" s="72"/>
      <c r="AZ15" s="71">
        <v>0.0185303125856207</v>
      </c>
      <c r="BA15" s="71">
        <v>0.0207898188812024</v>
      </c>
      <c r="BB15" s="71">
        <v>0.0228629351645899</v>
      </c>
      <c r="BC15" s="71">
        <v>0.0261980740446214</v>
      </c>
      <c r="BD15" s="71">
        <v>0.0333009572853948</v>
      </c>
    </row>
    <row r="16" ht="24" customHeight="1" spans="1:56">
      <c r="B16" s="21" t="s">
        <v>482</v>
      </c>
      <c r="C16" s="66"/>
      <c r="D16" s="67">
        <v>-1476.88368285555</v>
      </c>
      <c r="E16" s="68"/>
      <c r="F16" s="67">
        <v>-1720.38405508645</v>
      </c>
      <c r="G16" s="67">
        <v>-1125.68831129774</v>
      </c>
      <c r="H16" s="68"/>
      <c r="I16" s="67">
        <v>-72.0457907572435</v>
      </c>
      <c r="J16" s="67">
        <v>-210.39958147281</v>
      </c>
      <c r="K16" s="67">
        <v>-465.738787188907</v>
      </c>
      <c r="L16" s="67">
        <v>-689.727043308658</v>
      </c>
      <c r="M16" s="67">
        <v>-2904.59531638669</v>
      </c>
      <c r="N16" s="69"/>
      <c r="O16" s="21" t="s">
        <v>482</v>
      </c>
      <c r="P16" s="66"/>
      <c r="Q16" s="67">
        <v>626.314542418146</v>
      </c>
      <c r="R16" s="68"/>
      <c r="S16" s="67">
        <v>802.503252865888</v>
      </c>
      <c r="T16" s="67">
        <v>357.494428408825</v>
      </c>
      <c r="U16" s="68"/>
      <c r="V16" s="67">
        <v>35.2849590623015</v>
      </c>
      <c r="W16" s="67">
        <v>79.1217406956678</v>
      </c>
      <c r="X16" s="67">
        <v>167.738173570172</v>
      </c>
      <c r="Y16" s="67">
        <v>317.268585898779</v>
      </c>
      <c r="Z16" s="67">
        <v>2603.42984460593</v>
      </c>
      <c r="AD16" s="21" t="s">
        <v>482</v>
      </c>
      <c r="AE16" s="66"/>
      <c r="AF16" s="70">
        <v>0.0359023</v>
      </c>
      <c r="AG16" s="68"/>
      <c r="AH16" s="70">
        <v>0.0383362</v>
      </c>
      <c r="AI16" s="70">
        <v>0.0249249</v>
      </c>
      <c r="AJ16" s="68"/>
      <c r="AK16" s="70">
        <v>0.0028751</v>
      </c>
      <c r="AL16" s="70">
        <v>0.0051592</v>
      </c>
      <c r="AM16" s="70">
        <v>0.0046214</v>
      </c>
      <c r="AN16" s="70">
        <v>0.009557</v>
      </c>
      <c r="AO16" s="70">
        <v>0.0504283</v>
      </c>
      <c r="AS16" s="21" t="s">
        <v>482</v>
      </c>
      <c r="AT16" s="66"/>
      <c r="AU16" s="71">
        <v>0.011009713260853</v>
      </c>
      <c r="AV16" s="72"/>
      <c r="AW16" s="71">
        <v>0.012230185918142</v>
      </c>
      <c r="AX16" s="71">
        <v>0.00820525834621286</v>
      </c>
      <c r="AY16" s="72"/>
      <c r="AZ16" s="71">
        <v>0.00188250079213809</v>
      </c>
      <c r="BA16" s="71">
        <v>0.00250879028719981</v>
      </c>
      <c r="BB16" s="71">
        <v>0.00384393472343776</v>
      </c>
      <c r="BC16" s="71">
        <v>0.00518467086626055</v>
      </c>
      <c r="BD16" s="71">
        <v>0.0196223947037189</v>
      </c>
    </row>
    <row r="17" ht="24" customHeight="1" spans="1:56">
      <c r="B17" s="21" t="s">
        <v>484</v>
      </c>
      <c r="C17" s="66"/>
      <c r="D17" s="67">
        <v>-891.679682855552</v>
      </c>
      <c r="E17" s="68"/>
      <c r="F17" s="67">
        <v>-923.897155086446</v>
      </c>
      <c r="G17" s="67">
        <v>-1281.51171129774</v>
      </c>
      <c r="H17" s="68"/>
      <c r="I17" s="67">
        <v>63.5212892427564</v>
      </c>
      <c r="J17" s="67">
        <v>-326.28953147281</v>
      </c>
      <c r="K17" s="67">
        <v>-1464.05650718891</v>
      </c>
      <c r="L17" s="67">
        <v>-1409.17874330866</v>
      </c>
      <c r="M17" s="67">
        <v>405.862083613306</v>
      </c>
      <c r="N17" s="69"/>
      <c r="O17" s="21" t="s">
        <v>484</v>
      </c>
      <c r="P17" s="66"/>
      <c r="Q17" s="67">
        <v>2204.44083650171</v>
      </c>
      <c r="R17" s="68"/>
      <c r="S17" s="67">
        <v>2571.91623753386</v>
      </c>
      <c r="T17" s="67">
        <v>1643.76484908999</v>
      </c>
      <c r="U17" s="68"/>
      <c r="V17" s="67">
        <v>474.799846152866</v>
      </c>
      <c r="W17" s="67">
        <v>788.114141709072</v>
      </c>
      <c r="X17" s="67">
        <v>1325.92985044297</v>
      </c>
      <c r="Y17" s="67">
        <v>2260.15856334795</v>
      </c>
      <c r="Z17" s="67">
        <v>6348.7637624218</v>
      </c>
      <c r="AD17" s="21" t="s">
        <v>484</v>
      </c>
      <c r="AE17" s="66"/>
      <c r="AF17" s="70">
        <v>0.0533565</v>
      </c>
      <c r="AG17" s="68"/>
      <c r="AH17" s="70">
        <v>0.0531636</v>
      </c>
      <c r="AI17" s="70">
        <v>0.0580241</v>
      </c>
      <c r="AJ17" s="68"/>
      <c r="AK17" s="70">
        <v>0.0190911</v>
      </c>
      <c r="AL17" s="70">
        <v>0.0313145</v>
      </c>
      <c r="AM17" s="70">
        <v>0.0540405</v>
      </c>
      <c r="AN17" s="70">
        <v>0.0530639</v>
      </c>
      <c r="AO17" s="70">
        <v>0.053706</v>
      </c>
      <c r="AS17" s="21" t="s">
        <v>484</v>
      </c>
      <c r="AT17" s="66"/>
      <c r="AU17" s="71">
        <v>0.0387509148625122</v>
      </c>
      <c r="AV17" s="72"/>
      <c r="AW17" s="71">
        <v>0.0391961199391973</v>
      </c>
      <c r="AX17" s="71">
        <v>0.0377279033612878</v>
      </c>
      <c r="AY17" s="72"/>
      <c r="AZ17" s="71">
        <v>0.0253312207309534</v>
      </c>
      <c r="BA17" s="71">
        <v>0.0249895046107447</v>
      </c>
      <c r="BB17" s="71">
        <v>0.0303853779046197</v>
      </c>
      <c r="BC17" s="71">
        <v>0.0369345683037714</v>
      </c>
      <c r="BD17" s="71">
        <v>0.0478514712754876</v>
      </c>
    </row>
    <row r="18" ht="24" customHeight="1" spans="1:56">
      <c r="B18" s="21" t="s">
        <v>485</v>
      </c>
      <c r="C18" s="66"/>
      <c r="D18" s="67">
        <v>301.010117144448</v>
      </c>
      <c r="E18" s="68"/>
      <c r="F18" s="67">
        <v>391.501644913553</v>
      </c>
      <c r="G18" s="67">
        <v>-173.719911297736</v>
      </c>
      <c r="H18" s="68"/>
      <c r="I18" s="67">
        <v>-192.722310757244</v>
      </c>
      <c r="J18" s="67">
        <v>-302.86213147281</v>
      </c>
      <c r="K18" s="67">
        <v>-669.083807188907</v>
      </c>
      <c r="L18" s="67">
        <v>-671.246743308658</v>
      </c>
      <c r="M18" s="67">
        <v>2603.31168361331</v>
      </c>
      <c r="N18" s="69"/>
      <c r="O18" s="21" t="s">
        <v>485</v>
      </c>
      <c r="P18" s="66"/>
      <c r="Q18" s="67">
        <v>1207.835294157</v>
      </c>
      <c r="R18" s="68"/>
      <c r="S18" s="67">
        <v>1342.56174223245</v>
      </c>
      <c r="T18" s="67">
        <v>1002.27627144959</v>
      </c>
      <c r="U18" s="68"/>
      <c r="V18" s="67">
        <v>350.379398066264</v>
      </c>
      <c r="W18" s="67">
        <v>642.038404809848</v>
      </c>
      <c r="X18" s="67">
        <v>977.969454213798</v>
      </c>
      <c r="Y18" s="67">
        <v>1519.41019354121</v>
      </c>
      <c r="Z18" s="67">
        <v>2620.38359361918</v>
      </c>
      <c r="AD18" s="21" t="s">
        <v>485</v>
      </c>
      <c r="AE18" s="66"/>
      <c r="AF18" s="70">
        <v>0.0148718</v>
      </c>
      <c r="AG18" s="68"/>
      <c r="AH18" s="70">
        <v>0.0143815</v>
      </c>
      <c r="AI18" s="70">
        <v>0.0178744</v>
      </c>
      <c r="AJ18" s="68"/>
      <c r="AK18" s="70">
        <v>0.0261241</v>
      </c>
      <c r="AL18" s="70">
        <v>0.0259399</v>
      </c>
      <c r="AM18" s="70">
        <v>0.0278487</v>
      </c>
      <c r="AN18" s="70">
        <v>0.0288999</v>
      </c>
      <c r="AO18" s="70">
        <v>0.0090423</v>
      </c>
      <c r="AS18" s="21" t="s">
        <v>485</v>
      </c>
      <c r="AT18" s="66"/>
      <c r="AU18" s="71">
        <v>0.0212320157914017</v>
      </c>
      <c r="AV18" s="72"/>
      <c r="AW18" s="71">
        <v>0.0204607017547274</v>
      </c>
      <c r="AX18" s="71">
        <v>0.0230043745804007</v>
      </c>
      <c r="AY18" s="72"/>
      <c r="AZ18" s="71">
        <v>0.0186932197723113</v>
      </c>
      <c r="BA18" s="71">
        <v>0.0203577385916182</v>
      </c>
      <c r="BB18" s="71">
        <v>0.0224114205103183</v>
      </c>
      <c r="BC18" s="71">
        <v>0.0248295674847106</v>
      </c>
      <c r="BD18" s="71">
        <v>0.0197501773499596</v>
      </c>
    </row>
    <row r="19" ht="24" customHeight="1" spans="1:56">
      <c r="B19" s="21" t="s">
        <v>486</v>
      </c>
      <c r="C19" s="66"/>
      <c r="D19" s="67">
        <v>-603.717582855552</v>
      </c>
      <c r="E19" s="68"/>
      <c r="F19" s="67">
        <v>-410.845055086447</v>
      </c>
      <c r="G19" s="67">
        <v>-909.803411297736</v>
      </c>
      <c r="H19" s="68"/>
      <c r="I19" s="67">
        <v>-171.327010757244</v>
      </c>
      <c r="J19" s="67">
        <v>-520.60223147281</v>
      </c>
      <c r="K19" s="67">
        <v>-966.491107188907</v>
      </c>
      <c r="L19" s="67">
        <v>-1627.32724330866</v>
      </c>
      <c r="M19" s="67">
        <v>952.655283613306</v>
      </c>
      <c r="N19" s="69"/>
      <c r="O19" s="21" t="s">
        <v>486</v>
      </c>
      <c r="P19" s="66"/>
      <c r="Q19" s="67">
        <v>1416.83849725269</v>
      </c>
      <c r="R19" s="68"/>
      <c r="S19" s="67">
        <v>1864.41573970379</v>
      </c>
      <c r="T19" s="67">
        <v>733.947039349817</v>
      </c>
      <c r="U19" s="68"/>
      <c r="V19" s="67">
        <v>241.181475457036</v>
      </c>
      <c r="W19" s="67">
        <v>515.632607368565</v>
      </c>
      <c r="X19" s="67">
        <v>806.332543754615</v>
      </c>
      <c r="Y19" s="67">
        <v>1457.00491252198</v>
      </c>
      <c r="Z19" s="67">
        <v>4181.42865564313</v>
      </c>
      <c r="AD19" s="21" t="s">
        <v>486</v>
      </c>
      <c r="AE19" s="66"/>
      <c r="AF19" s="70">
        <v>0.0344496</v>
      </c>
      <c r="AG19" s="68"/>
      <c r="AH19" s="70">
        <v>0.0345623</v>
      </c>
      <c r="AI19" s="70">
        <v>0.0286103</v>
      </c>
      <c r="AJ19" s="68"/>
      <c r="AK19" s="70">
        <v>0.0191567</v>
      </c>
      <c r="AL19" s="70">
        <v>0.0288359</v>
      </c>
      <c r="AM19" s="70">
        <v>0.0307309</v>
      </c>
      <c r="AN19" s="70">
        <v>0.043504</v>
      </c>
      <c r="AO19" s="70">
        <v>0.0332493</v>
      </c>
      <c r="AS19" s="21" t="s">
        <v>486</v>
      </c>
      <c r="AT19" s="66"/>
      <c r="AU19" s="71">
        <v>0.0249059929719398</v>
      </c>
      <c r="AV19" s="72"/>
      <c r="AW19" s="71">
        <v>0.0284137803103687</v>
      </c>
      <c r="AX19" s="71">
        <v>0.0168456473492683</v>
      </c>
      <c r="AY19" s="72"/>
      <c r="AZ19" s="71">
        <v>0.0128673613534664</v>
      </c>
      <c r="BA19" s="71">
        <v>0.0163496665487366</v>
      </c>
      <c r="BB19" s="71">
        <v>0.0184781412460033</v>
      </c>
      <c r="BC19" s="71">
        <v>0.0238097664177861</v>
      </c>
      <c r="BD19" s="71">
        <v>0.0315159802275715</v>
      </c>
    </row>
    <row r="20" ht="24" customHeight="1" spans="1:56">
      <c r="B20" s="21" t="s">
        <v>487</v>
      </c>
      <c r="C20" s="66"/>
      <c r="D20" s="67">
        <v>-839.373982855552</v>
      </c>
      <c r="E20" s="68"/>
      <c r="F20" s="67">
        <v>-622.199255086446</v>
      </c>
      <c r="G20" s="67">
        <v>-1066.39041129774</v>
      </c>
      <c r="H20" s="68"/>
      <c r="I20" s="67">
        <v>-65.1865607572435</v>
      </c>
      <c r="J20" s="67">
        <v>-124.92133147281</v>
      </c>
      <c r="K20" s="67">
        <v>-1296.02950718891</v>
      </c>
      <c r="L20" s="67">
        <v>-1680.56224330866</v>
      </c>
      <c r="M20" s="67">
        <v>1066.15808361331</v>
      </c>
      <c r="N20" s="69"/>
      <c r="O20" s="21" t="s">
        <v>487</v>
      </c>
      <c r="P20" s="66"/>
      <c r="Q20" s="67">
        <v>1180.9665817049</v>
      </c>
      <c r="R20" s="68"/>
      <c r="S20" s="67">
        <v>1671.31200187529</v>
      </c>
      <c r="T20" s="67">
        <v>432.821530758226</v>
      </c>
      <c r="U20" s="68"/>
      <c r="V20" s="67">
        <v>74.8790826963169</v>
      </c>
      <c r="W20" s="67">
        <v>220.777078965758</v>
      </c>
      <c r="X20" s="67">
        <v>574.772663877266</v>
      </c>
      <c r="Y20" s="67">
        <v>1040.08821402748</v>
      </c>
      <c r="Z20" s="67">
        <v>4111.736</v>
      </c>
      <c r="AD20" s="21" t="s">
        <v>487</v>
      </c>
      <c r="AE20" s="66"/>
      <c r="AF20" s="70">
        <v>0.0344458</v>
      </c>
      <c r="AG20" s="68"/>
      <c r="AH20" s="70">
        <v>0.0348405</v>
      </c>
      <c r="AI20" s="70">
        <v>0.0252928</v>
      </c>
      <c r="AJ20" s="68"/>
      <c r="AK20" s="70">
        <v>0.0046215</v>
      </c>
      <c r="AL20" s="70">
        <v>0.0114995</v>
      </c>
      <c r="AM20" s="70">
        <v>0.0329762</v>
      </c>
      <c r="AN20" s="70">
        <v>0.0375609</v>
      </c>
      <c r="AO20" s="70">
        <v>0.0318685</v>
      </c>
      <c r="AS20" s="21" t="s">
        <v>487</v>
      </c>
      <c r="AT20" s="66"/>
      <c r="AU20" s="71">
        <v>0.0207597022815736</v>
      </c>
      <c r="AV20" s="72"/>
      <c r="AW20" s="71">
        <v>0.0254708706004122</v>
      </c>
      <c r="AX20" s="71">
        <v>0.0099341757394138</v>
      </c>
      <c r="AY20" s="72"/>
      <c r="AZ20" s="71">
        <v>0.00399490140378233</v>
      </c>
      <c r="BA20" s="71">
        <v>0.00700039441088746</v>
      </c>
      <c r="BB20" s="71">
        <v>0.0131716505178015</v>
      </c>
      <c r="BC20" s="71">
        <v>0.0169966876686923</v>
      </c>
      <c r="BD20" s="71">
        <v>0.0309906974742017</v>
      </c>
    </row>
    <row r="21" ht="24" customHeight="1" spans="1:56">
      <c r="B21" s="21" t="s">
        <v>488</v>
      </c>
      <c r="C21" s="66"/>
      <c r="D21" s="67">
        <v>44.1028171444479</v>
      </c>
      <c r="E21" s="68"/>
      <c r="F21" s="67">
        <v>1180.23194491355</v>
      </c>
      <c r="G21" s="67">
        <v>591.037788702264</v>
      </c>
      <c r="H21" s="68"/>
      <c r="I21" s="67">
        <v>486.354289242757</v>
      </c>
      <c r="J21" s="67">
        <v>852.98596852719</v>
      </c>
      <c r="K21" s="67">
        <v>-1169.38290718891</v>
      </c>
      <c r="L21" s="67">
        <v>768.712756691342</v>
      </c>
      <c r="M21" s="67">
        <v>-1355.05331638669</v>
      </c>
      <c r="N21" s="69"/>
      <c r="O21" s="21" t="s">
        <v>488</v>
      </c>
      <c r="P21" s="66"/>
      <c r="Q21" s="67">
        <v>5909.99933694792</v>
      </c>
      <c r="R21" s="68"/>
      <c r="S21" s="67">
        <v>8092.02800590502</v>
      </c>
      <c r="T21" s="67">
        <v>2580.76675405415</v>
      </c>
      <c r="U21" s="68"/>
      <c r="V21" s="67">
        <v>2353.81093074696</v>
      </c>
      <c r="W21" s="67">
        <v>3653.12446343537</v>
      </c>
      <c r="X21" s="67">
        <v>4779.78700758089</v>
      </c>
      <c r="Y21" s="67">
        <v>6307.65935196912</v>
      </c>
      <c r="Z21" s="67">
        <v>12759.2384206262</v>
      </c>
      <c r="AD21" s="21" t="s">
        <v>488</v>
      </c>
      <c r="AE21" s="66"/>
      <c r="AF21" s="70">
        <v>0.1020452</v>
      </c>
      <c r="AG21" s="68"/>
      <c r="AH21" s="70">
        <v>0.1052233</v>
      </c>
      <c r="AI21" s="70">
        <v>0.0365513</v>
      </c>
      <c r="AJ21" s="68"/>
      <c r="AK21" s="70">
        <v>0.0967802</v>
      </c>
      <c r="AL21" s="70">
        <v>0.0847658</v>
      </c>
      <c r="AM21" s="70">
        <v>0.1264373</v>
      </c>
      <c r="AN21" s="70">
        <v>0.0836163</v>
      </c>
      <c r="AO21" s="70">
        <v>0.1152949</v>
      </c>
      <c r="AS21" s="21" t="s">
        <v>488</v>
      </c>
      <c r="AT21" s="66"/>
      <c r="AU21" s="71">
        <v>0.103889329825248</v>
      </c>
      <c r="AV21" s="72"/>
      <c r="AW21" s="71">
        <v>0.123322873288801</v>
      </c>
      <c r="AX21" s="71">
        <v>0.0592340922418939</v>
      </c>
      <c r="AY21" s="72"/>
      <c r="AZ21" s="71">
        <v>0.125579030256226</v>
      </c>
      <c r="BA21" s="71">
        <v>0.11583318429571</v>
      </c>
      <c r="BB21" s="71">
        <v>0.10953493088674</v>
      </c>
      <c r="BC21" s="71">
        <v>0.103077137573538</v>
      </c>
      <c r="BD21" s="71">
        <v>0.0961680657257268</v>
      </c>
    </row>
    <row r="22" ht="24" customHeight="1" spans="1:56">
      <c r="B22" s="21" t="s">
        <v>490</v>
      </c>
      <c r="C22" s="66"/>
      <c r="D22" s="67">
        <v>-423.611582855552</v>
      </c>
      <c r="E22" s="68"/>
      <c r="F22" s="67">
        <v>-356.074355086447</v>
      </c>
      <c r="G22" s="67">
        <v>-394.122311297736</v>
      </c>
      <c r="H22" s="68"/>
      <c r="I22" s="67">
        <v>-50.8430827572435</v>
      </c>
      <c r="J22" s="67">
        <v>-190.69466147281</v>
      </c>
      <c r="K22" s="67">
        <v>-429.463107188907</v>
      </c>
      <c r="L22" s="67">
        <v>-932.460643308658</v>
      </c>
      <c r="M22" s="67">
        <v>938.383483613306</v>
      </c>
      <c r="N22" s="69"/>
      <c r="O22" s="21" t="s">
        <v>490</v>
      </c>
      <c r="P22" s="66"/>
      <c r="Q22" s="67">
        <v>380.805862361937</v>
      </c>
      <c r="R22" s="68"/>
      <c r="S22" s="67">
        <v>560.315518049695</v>
      </c>
      <c r="T22" s="67">
        <v>106.918812589413</v>
      </c>
      <c r="U22" s="68"/>
      <c r="V22" s="67">
        <v>33.1952744961779</v>
      </c>
      <c r="W22" s="67">
        <v>66.6687631027254</v>
      </c>
      <c r="X22" s="67">
        <v>120.800557880056</v>
      </c>
      <c r="Y22" s="67">
        <v>252.65003615329</v>
      </c>
      <c r="Z22" s="67">
        <v>1471.59054545455</v>
      </c>
      <c r="AD22" s="21" t="s">
        <v>490</v>
      </c>
      <c r="AE22" s="66"/>
      <c r="AF22" s="70">
        <v>0.0130716</v>
      </c>
      <c r="AG22" s="68"/>
      <c r="AH22" s="70">
        <v>0.0138531</v>
      </c>
      <c r="AI22" s="70">
        <v>0.0057386</v>
      </c>
      <c r="AJ22" s="68"/>
      <c r="AK22" s="70">
        <v>0.0016324</v>
      </c>
      <c r="AL22" s="70">
        <v>0.0041395</v>
      </c>
      <c r="AM22" s="70">
        <v>0.0074054</v>
      </c>
      <c r="AN22" s="70">
        <v>0.0124677</v>
      </c>
      <c r="AO22" s="70">
        <v>0.0129324</v>
      </c>
      <c r="AS22" s="21" t="s">
        <v>490</v>
      </c>
      <c r="AT22" s="66"/>
      <c r="AU22" s="71">
        <v>0.00669402204277371</v>
      </c>
      <c r="AV22" s="72"/>
      <c r="AW22" s="71">
        <v>0.00853923387113426</v>
      </c>
      <c r="AX22" s="71">
        <v>0.00245401441155662</v>
      </c>
      <c r="AY22" s="72"/>
      <c r="AZ22" s="71">
        <v>0.00177101326443258</v>
      </c>
      <c r="BA22" s="71">
        <v>0.00211393156749521</v>
      </c>
      <c r="BB22" s="71">
        <v>0.00276829924377077</v>
      </c>
      <c r="BC22" s="71">
        <v>0.00412870148518754</v>
      </c>
      <c r="BD22" s="71">
        <v>0.0110915723675054</v>
      </c>
    </row>
    <row r="23" ht="24" customHeight="1" spans="1:56">
      <c r="B23" s="21" t="s">
        <v>492</v>
      </c>
      <c r="C23" s="66"/>
      <c r="D23" s="67">
        <v>-1472.56868285555</v>
      </c>
      <c r="E23" s="68"/>
      <c r="F23" s="67">
        <v>66.1839449135536</v>
      </c>
      <c r="G23" s="67">
        <v>-782.521111297736</v>
      </c>
      <c r="H23" s="68"/>
      <c r="I23" s="67">
        <v>-142.648440757244</v>
      </c>
      <c r="J23" s="67">
        <v>-294.70863147281</v>
      </c>
      <c r="K23" s="67">
        <v>-2130.40050718891</v>
      </c>
      <c r="L23" s="67">
        <v>-1000.06484330866</v>
      </c>
      <c r="M23" s="67">
        <v>-740.738316386694</v>
      </c>
      <c r="N23" s="69"/>
      <c r="O23" s="21" t="s">
        <v>492</v>
      </c>
      <c r="P23" s="66"/>
      <c r="Q23" s="67">
        <v>3014.41319739451</v>
      </c>
      <c r="R23" s="68"/>
      <c r="S23" s="67">
        <v>3871.05203938115</v>
      </c>
      <c r="T23" s="67">
        <v>1707.39556509299</v>
      </c>
      <c r="U23" s="68"/>
      <c r="V23" s="67">
        <v>546.178596247394</v>
      </c>
      <c r="W23" s="67">
        <v>1106.40391334731</v>
      </c>
      <c r="X23" s="67">
        <v>1780.91352859135</v>
      </c>
      <c r="Y23" s="67">
        <v>3006</v>
      </c>
      <c r="Z23" s="67">
        <v>8878.14036363636</v>
      </c>
      <c r="AD23" s="21" t="s">
        <v>492</v>
      </c>
      <c r="AE23" s="66"/>
      <c r="AF23" s="70">
        <v>0.0778058</v>
      </c>
      <c r="AG23" s="68"/>
      <c r="AH23" s="70">
        <v>0.0814525</v>
      </c>
      <c r="AI23" s="70">
        <v>0.0480316</v>
      </c>
      <c r="AJ23" s="68"/>
      <c r="AK23" s="70">
        <v>0.0338987</v>
      </c>
      <c r="AL23" s="70">
        <v>0.0404055</v>
      </c>
      <c r="AM23" s="70">
        <v>0.0797372</v>
      </c>
      <c r="AN23" s="70">
        <v>0.0585666</v>
      </c>
      <c r="AO23" s="70">
        <v>0.0814124</v>
      </c>
      <c r="AS23" s="21" t="s">
        <v>492</v>
      </c>
      <c r="AT23" s="66"/>
      <c r="AU23" s="71">
        <v>0.0529890697171256</v>
      </c>
      <c r="AV23" s="72"/>
      <c r="AW23" s="71">
        <v>0.0589950083957431</v>
      </c>
      <c r="AX23" s="71">
        <v>0.0391883637826794</v>
      </c>
      <c r="AY23" s="72"/>
      <c r="AZ23" s="71">
        <v>0.0291393746063065</v>
      </c>
      <c r="BA23" s="71">
        <v>0.0350818291802012</v>
      </c>
      <c r="BB23" s="71">
        <v>0.0408119106479271</v>
      </c>
      <c r="BC23" s="71">
        <v>0.0491227978963902</v>
      </c>
      <c r="BD23" s="71">
        <v>0.0669157168998577</v>
      </c>
    </row>
    <row r="24" ht="24" customHeight="1" spans="1:56">
      <c r="B24" s="21" t="s">
        <v>493</v>
      </c>
      <c r="C24" s="66"/>
      <c r="D24" s="67">
        <v>-1157.89368285555</v>
      </c>
      <c r="E24" s="68"/>
      <c r="F24" s="67">
        <v>-1145.61905508645</v>
      </c>
      <c r="G24" s="67">
        <v>-1009.21321129773</v>
      </c>
      <c r="H24" s="68"/>
      <c r="I24" s="67">
        <v>-191.268410757244</v>
      </c>
      <c r="J24" s="67">
        <v>-135.47085947281</v>
      </c>
      <c r="K24" s="67">
        <v>-351.876507188905</v>
      </c>
      <c r="L24" s="67">
        <v>-1100.98354330865</v>
      </c>
      <c r="M24" s="67">
        <v>-1041.64031638669</v>
      </c>
      <c r="N24" s="69"/>
      <c r="O24" s="21" t="s">
        <v>493</v>
      </c>
      <c r="P24" s="66"/>
      <c r="Q24" s="67">
        <v>2190.93944445358</v>
      </c>
      <c r="R24" s="68"/>
      <c r="S24" s="67">
        <v>2767.39522826843</v>
      </c>
      <c r="T24" s="67">
        <v>1311.41141378326</v>
      </c>
      <c r="U24" s="68"/>
      <c r="V24" s="67">
        <v>430.441098244722</v>
      </c>
      <c r="W24" s="67">
        <v>907.513117195202</v>
      </c>
      <c r="X24" s="67">
        <v>1388.36682995034</v>
      </c>
      <c r="Y24" s="67">
        <v>2095.7700549605</v>
      </c>
      <c r="Z24" s="67">
        <v>6301.81114581203</v>
      </c>
      <c r="AD24" s="21" t="s">
        <v>493</v>
      </c>
      <c r="AE24" s="66"/>
      <c r="AF24" s="70">
        <v>0.0577988</v>
      </c>
      <c r="AG24" s="68"/>
      <c r="AH24" s="70">
        <v>0.0595218</v>
      </c>
      <c r="AI24" s="70">
        <v>0.044146</v>
      </c>
      <c r="AJ24" s="68"/>
      <c r="AK24" s="70">
        <v>0.0303179</v>
      </c>
      <c r="AL24" s="70">
        <v>0.0290499</v>
      </c>
      <c r="AM24" s="70">
        <v>0.0657309</v>
      </c>
      <c r="AN24" s="70">
        <v>0.0453411</v>
      </c>
      <c r="AO24" s="70">
        <v>0.0642622</v>
      </c>
      <c r="AS24" s="21" t="s">
        <v>493</v>
      </c>
      <c r="AT24" s="66"/>
      <c r="AU24" s="71">
        <v>0.038513579713789</v>
      </c>
      <c r="AV24" s="72"/>
      <c r="AW24" s="71">
        <v>0.0421752286110149</v>
      </c>
      <c r="AX24" s="71">
        <v>0.0300996843395791</v>
      </c>
      <c r="AY24" s="72"/>
      <c r="AZ24" s="71">
        <v>0.0229646209021739</v>
      </c>
      <c r="BA24" s="71">
        <v>0.0287754045083895</v>
      </c>
      <c r="BB24" s="71">
        <v>0.0318162011242045</v>
      </c>
      <c r="BC24" s="71">
        <v>0.0342481998826118</v>
      </c>
      <c r="BD24" s="71">
        <v>0.0474975832007241</v>
      </c>
    </row>
    <row r="25" s="57" customFormat="1" ht="9" customHeight="1" spans="1:56">
      <c r="B25" s="73"/>
      <c r="C25" s="73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69"/>
      <c r="O25" s="73"/>
      <c r="P25" s="73"/>
      <c r="Q25" s="74"/>
      <c r="R25" s="74"/>
      <c r="S25" s="74"/>
      <c r="T25" s="74"/>
      <c r="U25" s="74"/>
      <c r="V25" s="74"/>
      <c r="W25" s="74"/>
      <c r="X25" s="74"/>
      <c r="Y25" s="74"/>
      <c r="Z25" s="74"/>
      <c r="AD25" s="73"/>
      <c r="AE25" s="73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S25" s="73"/>
      <c r="AT25" s="73"/>
      <c r="AU25" s="74"/>
      <c r="AV25" s="74"/>
      <c r="AW25" s="74"/>
      <c r="AX25" s="74"/>
      <c r="AY25" s="74"/>
      <c r="AZ25" s="74"/>
      <c r="BA25" s="74"/>
      <c r="BB25" s="74"/>
      <c r="BC25" s="74"/>
      <c r="BD25" s="74"/>
    </row>
    <row r="26" s="57" customFormat="1"/>
    <row r="27" s="57" customFormat="1" ht="14.55"/>
    <row r="28" s="1" customFormat="1" ht="27" customHeight="1" spans="1:56">
      <c r="A28" s="4"/>
      <c r="B28" s="5" t="s">
        <v>503</v>
      </c>
      <c r="C28" s="9"/>
      <c r="D28" s="5" t="s">
        <v>271</v>
      </c>
      <c r="E28" s="6"/>
      <c r="F28" s="7" t="s">
        <v>463</v>
      </c>
      <c r="G28" s="7"/>
      <c r="H28" s="6"/>
      <c r="I28" s="7" t="s">
        <v>464</v>
      </c>
      <c r="J28" s="7"/>
      <c r="K28" s="7"/>
      <c r="L28" s="7"/>
      <c r="M28" s="7"/>
      <c r="N28" s="8"/>
      <c r="O28" s="5" t="s">
        <v>504</v>
      </c>
      <c r="P28" s="9"/>
      <c r="Q28" s="5" t="s">
        <v>271</v>
      </c>
      <c r="R28" s="6"/>
      <c r="S28" s="7" t="s">
        <v>463</v>
      </c>
      <c r="T28" s="7"/>
      <c r="U28" s="6"/>
      <c r="V28" s="7" t="s">
        <v>464</v>
      </c>
      <c r="W28" s="7"/>
      <c r="X28" s="7"/>
      <c r="Y28" s="7"/>
      <c r="Z28" s="7"/>
      <c r="AA28" s="4"/>
      <c r="AB28" s="4"/>
      <c r="AD28" s="5" t="s">
        <v>505</v>
      </c>
      <c r="AE28" s="9"/>
      <c r="AF28" s="5" t="s">
        <v>271</v>
      </c>
      <c r="AG28" s="6"/>
      <c r="AH28" s="7" t="s">
        <v>463</v>
      </c>
      <c r="AI28" s="7"/>
      <c r="AJ28" s="6"/>
      <c r="AK28" s="5" t="s">
        <v>464</v>
      </c>
      <c r="AL28" s="5"/>
      <c r="AM28" s="5"/>
      <c r="AN28" s="5"/>
      <c r="AO28" s="5"/>
      <c r="AP28" s="58"/>
      <c r="AQ28" s="58"/>
      <c r="AR28" s="14"/>
      <c r="AS28" s="5" t="s">
        <v>506</v>
      </c>
      <c r="AT28" s="9"/>
      <c r="AU28" s="5" t="s">
        <v>271</v>
      </c>
      <c r="AV28" s="6"/>
      <c r="AW28" s="7" t="s">
        <v>463</v>
      </c>
      <c r="AX28" s="7"/>
      <c r="AY28" s="6"/>
      <c r="AZ28" s="5" t="s">
        <v>464</v>
      </c>
      <c r="BA28" s="5"/>
      <c r="BB28" s="5"/>
      <c r="BC28" s="5"/>
      <c r="BD28" s="5"/>
    </row>
    <row r="29" s="1" customFormat="1" ht="27" customHeight="1" spans="1:56">
      <c r="A29" s="4"/>
      <c r="B29" s="10"/>
      <c r="C29" s="13"/>
      <c r="D29" s="10"/>
      <c r="E29" s="11"/>
      <c r="F29" s="12" t="s">
        <v>461</v>
      </c>
      <c r="G29" s="12" t="s">
        <v>462</v>
      </c>
      <c r="H29" s="11"/>
      <c r="I29" s="12" t="s">
        <v>3</v>
      </c>
      <c r="J29" s="12" t="s">
        <v>4</v>
      </c>
      <c r="K29" s="12" t="s">
        <v>5</v>
      </c>
      <c r="L29" s="12" t="s">
        <v>6</v>
      </c>
      <c r="M29" s="12" t="s">
        <v>7</v>
      </c>
      <c r="N29" s="8"/>
      <c r="O29" s="10"/>
      <c r="P29" s="13"/>
      <c r="Q29" s="10"/>
      <c r="R29" s="11"/>
      <c r="S29" s="12" t="s">
        <v>461</v>
      </c>
      <c r="T29" s="12" t="s">
        <v>462</v>
      </c>
      <c r="U29" s="11"/>
      <c r="V29" s="12" t="s">
        <v>3</v>
      </c>
      <c r="W29" s="12" t="s">
        <v>4</v>
      </c>
      <c r="X29" s="12" t="s">
        <v>5</v>
      </c>
      <c r="Y29" s="12" t="s">
        <v>6</v>
      </c>
      <c r="Z29" s="12" t="s">
        <v>7</v>
      </c>
      <c r="AA29" s="4"/>
      <c r="AB29" s="4"/>
      <c r="AD29" s="10"/>
      <c r="AE29" s="13"/>
      <c r="AF29" s="10"/>
      <c r="AG29" s="11"/>
      <c r="AH29" s="12" t="s">
        <v>461</v>
      </c>
      <c r="AI29" s="12" t="s">
        <v>462</v>
      </c>
      <c r="AJ29" s="11"/>
      <c r="AK29" s="10" t="s">
        <v>3</v>
      </c>
      <c r="AL29" s="10" t="s">
        <v>4</v>
      </c>
      <c r="AM29" s="10" t="s">
        <v>5</v>
      </c>
      <c r="AN29" s="10" t="s">
        <v>6</v>
      </c>
      <c r="AO29" s="10" t="s">
        <v>7</v>
      </c>
      <c r="AP29" s="58"/>
      <c r="AQ29" s="58"/>
      <c r="AR29" s="14"/>
      <c r="AS29" s="10"/>
      <c r="AT29" s="13"/>
      <c r="AU29" s="10"/>
      <c r="AV29" s="11"/>
      <c r="AW29" s="12" t="s">
        <v>461</v>
      </c>
      <c r="AX29" s="12" t="s">
        <v>462</v>
      </c>
      <c r="AY29" s="11"/>
      <c r="AZ29" s="10" t="s">
        <v>3</v>
      </c>
      <c r="BA29" s="10" t="s">
        <v>4</v>
      </c>
      <c r="BB29" s="10" t="s">
        <v>5</v>
      </c>
      <c r="BC29" s="10" t="s">
        <v>6</v>
      </c>
      <c r="BD29" s="10" t="s">
        <v>7</v>
      </c>
    </row>
    <row r="30" s="60" customFormat="1" ht="9" customHeight="1" spans="1:56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5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D30" s="62"/>
      <c r="AE30" s="62"/>
      <c r="AF30" s="62"/>
      <c r="AG30" s="62"/>
      <c r="AJ30" s="62"/>
      <c r="AS30" s="62"/>
      <c r="AT30" s="62"/>
      <c r="AU30" s="62"/>
      <c r="AV30" s="62"/>
      <c r="AY30" s="62"/>
    </row>
    <row r="31" ht="24" customHeight="1" spans="1:56">
      <c r="B31" s="21" t="s">
        <v>466</v>
      </c>
      <c r="C31" s="66"/>
      <c r="D31" s="67">
        <v>5782.12925397424</v>
      </c>
      <c r="E31" s="68"/>
      <c r="F31" s="67">
        <v>5090.86153962644</v>
      </c>
      <c r="G31" s="67">
        <v>2939.473431229</v>
      </c>
      <c r="H31" s="68"/>
      <c r="I31" s="67">
        <v>-150.279221317111</v>
      </c>
      <c r="J31" s="67">
        <v>448.755982525737</v>
      </c>
      <c r="K31" s="67">
        <v>344.531125887192</v>
      </c>
      <c r="L31" s="67">
        <v>1963.17348451608</v>
      </c>
      <c r="M31" s="67">
        <v>6963.80557842043</v>
      </c>
      <c r="N31" s="69"/>
      <c r="O31" s="21" t="s">
        <v>466</v>
      </c>
      <c r="P31" s="66"/>
      <c r="Q31" s="67">
        <v>9772.94750797743</v>
      </c>
      <c r="R31" s="68"/>
      <c r="S31" s="67">
        <v>9140.82035805395</v>
      </c>
      <c r="T31" s="67">
        <v>10946.736383864</v>
      </c>
      <c r="U31" s="68"/>
      <c r="V31" s="67">
        <v>7499.58588364973</v>
      </c>
      <c r="W31" s="67">
        <v>8813.78561537983</v>
      </c>
      <c r="X31" s="67">
        <v>9826.39043913317</v>
      </c>
      <c r="Y31" s="67">
        <v>10854.2821006623</v>
      </c>
      <c r="Z31" s="67">
        <v>11961.5454994921</v>
      </c>
      <c r="AD31" s="21" t="s">
        <v>466</v>
      </c>
      <c r="AE31" s="66"/>
      <c r="AF31" s="70">
        <v>0.052092</v>
      </c>
      <c r="AG31" s="68"/>
      <c r="AH31" s="70">
        <v>0.0470224</v>
      </c>
      <c r="AI31" s="70">
        <v>0.1347135</v>
      </c>
      <c r="AJ31" s="68"/>
      <c r="AK31" s="70">
        <v>0.2015948</v>
      </c>
      <c r="AL31" s="70">
        <v>0.1581558</v>
      </c>
      <c r="AM31" s="70">
        <v>0.1443382</v>
      </c>
      <c r="AN31" s="70">
        <v>0.1029208</v>
      </c>
      <c r="AO31" s="70">
        <v>0.0378726</v>
      </c>
      <c r="AS31" s="21" t="s">
        <v>466</v>
      </c>
      <c r="AT31" s="66"/>
      <c r="AU31" s="71">
        <v>0.130187886607672</v>
      </c>
      <c r="AV31" s="72"/>
      <c r="AW31" s="71">
        <v>0.10701119509473</v>
      </c>
      <c r="AX31" s="71">
        <v>0.196013158961932</v>
      </c>
      <c r="AY31" s="72"/>
      <c r="AZ31" s="71">
        <v>0.199969385543477</v>
      </c>
      <c r="BA31" s="71">
        <v>0.171717053839334</v>
      </c>
      <c r="BB31" s="71">
        <v>0.154204409437942</v>
      </c>
      <c r="BC31" s="71">
        <v>0.131152304416336</v>
      </c>
      <c r="BD31" s="71">
        <v>0.0843260110849567</v>
      </c>
    </row>
    <row r="32" ht="24" customHeight="1" spans="1:56">
      <c r="B32" s="21" t="s">
        <v>468</v>
      </c>
      <c r="C32" s="66"/>
      <c r="D32" s="67">
        <v>-14.0464060257623</v>
      </c>
      <c r="E32" s="68"/>
      <c r="F32" s="67">
        <v>74.0658396264413</v>
      </c>
      <c r="G32" s="67">
        <v>-393.929848771002</v>
      </c>
      <c r="H32" s="68"/>
      <c r="I32" s="67">
        <v>-104.340531317111</v>
      </c>
      <c r="J32" s="67">
        <v>-133.279117474263</v>
      </c>
      <c r="K32" s="67">
        <v>-222.123404112808</v>
      </c>
      <c r="L32" s="67">
        <v>-449.901725483919</v>
      </c>
      <c r="M32" s="67">
        <v>579.335378420429</v>
      </c>
      <c r="N32" s="69"/>
      <c r="O32" s="21" t="s">
        <v>468</v>
      </c>
      <c r="P32" s="66"/>
      <c r="Q32" s="67">
        <v>1055.54953036944</v>
      </c>
      <c r="R32" s="68"/>
      <c r="S32" s="67">
        <v>1234.27460500963</v>
      </c>
      <c r="T32" s="67">
        <v>723.677209302326</v>
      </c>
      <c r="U32" s="68"/>
      <c r="V32" s="67">
        <v>497.137354562156</v>
      </c>
      <c r="W32" s="67">
        <v>747.914098155674</v>
      </c>
      <c r="X32" s="67">
        <v>905.909736180905</v>
      </c>
      <c r="Y32" s="67">
        <v>1186.30923998739</v>
      </c>
      <c r="Z32" s="67">
        <v>1966.56984126984</v>
      </c>
      <c r="AD32" s="21" t="s">
        <v>468</v>
      </c>
      <c r="AE32" s="66"/>
      <c r="AF32" s="70">
        <v>0.0131777</v>
      </c>
      <c r="AG32" s="68"/>
      <c r="AH32" s="70">
        <v>0.0131922</v>
      </c>
      <c r="AI32" s="70">
        <v>0.0113468</v>
      </c>
      <c r="AJ32" s="68"/>
      <c r="AK32" s="70">
        <v>0.0136562</v>
      </c>
      <c r="AL32" s="70">
        <v>0.0123499</v>
      </c>
      <c r="AM32" s="70">
        <v>0.0132427</v>
      </c>
      <c r="AN32" s="70">
        <v>0.0152598</v>
      </c>
      <c r="AO32" s="70">
        <v>0.0124194</v>
      </c>
      <c r="AS32" s="21" t="s">
        <v>468</v>
      </c>
      <c r="AT32" s="66"/>
      <c r="AU32" s="71">
        <v>0.014061240220143</v>
      </c>
      <c r="AV32" s="72"/>
      <c r="AW32" s="71">
        <v>0.0144496002966276</v>
      </c>
      <c r="AX32" s="71">
        <v>0.0129582234275046</v>
      </c>
      <c r="AY32" s="72"/>
      <c r="AZ32" s="71">
        <v>0.0132556987632128</v>
      </c>
      <c r="BA32" s="71">
        <v>0.0145714464890192</v>
      </c>
      <c r="BB32" s="71">
        <v>0.0142163367858383</v>
      </c>
      <c r="BC32" s="71">
        <v>0.0143341760543745</v>
      </c>
      <c r="BD32" s="71">
        <v>0.0138638431163685</v>
      </c>
    </row>
    <row r="33" ht="24" customHeight="1" spans="2:56">
      <c r="B33" s="21" t="s">
        <v>469</v>
      </c>
      <c r="C33" s="66"/>
      <c r="D33" s="67">
        <v>-39.9684760257623</v>
      </c>
      <c r="E33" s="68"/>
      <c r="F33" s="67">
        <v>-4.89847037355872</v>
      </c>
      <c r="G33" s="67">
        <v>-450.484108771002</v>
      </c>
      <c r="H33" s="68"/>
      <c r="I33" s="67">
        <v>-75.2385313171111</v>
      </c>
      <c r="J33" s="67">
        <v>-238.219871474263</v>
      </c>
      <c r="K33" s="67">
        <v>-265.951024112808</v>
      </c>
      <c r="L33" s="67">
        <v>-352.514215483919</v>
      </c>
      <c r="M33" s="67">
        <v>404.793958420429</v>
      </c>
      <c r="N33" s="69"/>
      <c r="O33" s="21" t="s">
        <v>469</v>
      </c>
      <c r="P33" s="66"/>
      <c r="Q33" s="67">
        <v>45.1420864120225</v>
      </c>
      <c r="R33" s="68"/>
      <c r="S33" s="67">
        <v>33.4539980732177</v>
      </c>
      <c r="T33" s="67">
        <v>66.8455491949911</v>
      </c>
      <c r="U33" s="68"/>
      <c r="V33" s="67">
        <v>47.7049234537661</v>
      </c>
      <c r="W33" s="67">
        <v>47.0749671772429</v>
      </c>
      <c r="X33" s="67">
        <v>45.9478077889447</v>
      </c>
      <c r="Y33" s="67">
        <v>46.9272153894671</v>
      </c>
      <c r="Z33" s="67">
        <v>37.9104761904762</v>
      </c>
      <c r="AD33" s="21" t="s">
        <v>469</v>
      </c>
      <c r="AE33" s="66"/>
      <c r="AF33" s="70">
        <v>6.31e-5</v>
      </c>
      <c r="AG33" s="68"/>
      <c r="AH33" s="70">
        <v>5.87e-5</v>
      </c>
      <c r="AI33" s="70">
        <v>0.0005982</v>
      </c>
      <c r="AJ33" s="68"/>
      <c r="AK33" s="70">
        <v>0.0008966</v>
      </c>
      <c r="AL33" s="70">
        <v>0.0007401</v>
      </c>
      <c r="AM33" s="70">
        <v>0.0004352</v>
      </c>
      <c r="AN33" s="70">
        <v>0.000316</v>
      </c>
      <c r="AO33" s="70">
        <v>5.33e-5</v>
      </c>
      <c r="AS33" s="21" t="s">
        <v>469</v>
      </c>
      <c r="AT33" s="66"/>
      <c r="AU33" s="71">
        <v>0.000601349063038035</v>
      </c>
      <c r="AV33" s="72"/>
      <c r="AW33" s="71">
        <v>0.000391644532359453</v>
      </c>
      <c r="AX33" s="71">
        <v>0.00119694188302271</v>
      </c>
      <c r="AY33" s="72"/>
      <c r="AZ33" s="71">
        <v>0.00127200679856815</v>
      </c>
      <c r="BA33" s="71">
        <v>0.000917151270295689</v>
      </c>
      <c r="BB33" s="71">
        <v>0.000721053637034938</v>
      </c>
      <c r="BC33" s="71">
        <v>0.00056702160318782</v>
      </c>
      <c r="BD33" s="71">
        <v>0.00026725971452517</v>
      </c>
    </row>
    <row r="34" ht="24" customHeight="1" spans="2:56">
      <c r="B34" s="21" t="s">
        <v>470</v>
      </c>
      <c r="C34" s="66"/>
      <c r="D34" s="67">
        <v>8611.05625397423</v>
      </c>
      <c r="E34" s="68"/>
      <c r="F34" s="67">
        <v>8786.07153962645</v>
      </c>
      <c r="G34" s="67">
        <v>4706.860431229</v>
      </c>
      <c r="H34" s="68"/>
      <c r="I34" s="67">
        <v>491.945348682889</v>
      </c>
      <c r="J34" s="67">
        <v>1615.23588252574</v>
      </c>
      <c r="K34" s="67">
        <v>2272.16962588719</v>
      </c>
      <c r="L34" s="67">
        <v>4371.26748451608</v>
      </c>
      <c r="M34" s="67">
        <v>11901.3345784204</v>
      </c>
      <c r="N34" s="69"/>
      <c r="O34" s="21" t="s">
        <v>470</v>
      </c>
      <c r="P34" s="66"/>
      <c r="Q34" s="67">
        <v>17059.1270251221</v>
      </c>
      <c r="R34" s="68"/>
      <c r="S34" s="67">
        <v>17615.7915280732</v>
      </c>
      <c r="T34" s="67">
        <v>16025.4637799284</v>
      </c>
      <c r="U34" s="68"/>
      <c r="V34" s="67">
        <v>11210.8933312921</v>
      </c>
      <c r="W34" s="67">
        <v>14441.4410605814</v>
      </c>
      <c r="X34" s="67">
        <v>16859.3711488693</v>
      </c>
      <c r="Y34" s="67">
        <v>19590.1471914222</v>
      </c>
      <c r="Z34" s="67">
        <v>23435.1481067937</v>
      </c>
      <c r="AD34" s="21" t="s">
        <v>470</v>
      </c>
      <c r="AE34" s="66"/>
      <c r="AF34" s="70">
        <v>0.1114682</v>
      </c>
      <c r="AG34" s="68"/>
      <c r="AH34" s="70">
        <v>0.1029789</v>
      </c>
      <c r="AI34" s="70">
        <v>0.1940067</v>
      </c>
      <c r="AJ34" s="68"/>
      <c r="AK34" s="70">
        <v>0.2834289</v>
      </c>
      <c r="AL34" s="70">
        <v>0.2450719</v>
      </c>
      <c r="AM34" s="70">
        <v>0.2244558</v>
      </c>
      <c r="AN34" s="70">
        <v>0.1793792</v>
      </c>
      <c r="AO34" s="70">
        <v>0.0839503</v>
      </c>
      <c r="AS34" s="21" t="s">
        <v>470</v>
      </c>
      <c r="AT34" s="66"/>
      <c r="AU34" s="71">
        <v>0.227248912670371</v>
      </c>
      <c r="AV34" s="72"/>
      <c r="AW34" s="71">
        <v>0.206227322069379</v>
      </c>
      <c r="AX34" s="71">
        <v>0.286953268004523</v>
      </c>
      <c r="AY34" s="72"/>
      <c r="AZ34" s="71">
        <v>0.298927898904325</v>
      </c>
      <c r="BA34" s="71">
        <v>0.281359431728197</v>
      </c>
      <c r="BB34" s="71">
        <v>0.264572162851675</v>
      </c>
      <c r="BC34" s="71">
        <v>0.236707773409859</v>
      </c>
      <c r="BD34" s="71">
        <v>0.165212142453916</v>
      </c>
    </row>
    <row r="35" ht="24" customHeight="1" spans="2:56">
      <c r="B35" s="21" t="s">
        <v>471</v>
      </c>
      <c r="C35" s="66"/>
      <c r="D35" s="67">
        <v>-1113.28074602576</v>
      </c>
      <c r="E35" s="68"/>
      <c r="F35" s="67">
        <v>-1309.66046037356</v>
      </c>
      <c r="G35" s="67">
        <v>-1079.084768771</v>
      </c>
      <c r="H35" s="68"/>
      <c r="I35" s="67">
        <v>-794.147351317111</v>
      </c>
      <c r="J35" s="67">
        <v>-1113.66321747426</v>
      </c>
      <c r="K35" s="67">
        <v>-807.684774112808</v>
      </c>
      <c r="L35" s="67">
        <v>-1207.64761548392</v>
      </c>
      <c r="M35" s="67">
        <v>-2181.78742157957</v>
      </c>
      <c r="N35" s="69"/>
      <c r="O35" s="21" t="s">
        <v>471</v>
      </c>
      <c r="P35" s="66"/>
      <c r="Q35" s="67">
        <v>2800.69135253601</v>
      </c>
      <c r="R35" s="68"/>
      <c r="S35" s="67">
        <v>3196.42111753372</v>
      </c>
      <c r="T35" s="67">
        <v>2065.86577817531</v>
      </c>
      <c r="U35" s="68"/>
      <c r="V35" s="67">
        <v>1149.45780771586</v>
      </c>
      <c r="W35" s="67">
        <v>1699.70906533292</v>
      </c>
      <c r="X35" s="67">
        <v>2408.53005653266</v>
      </c>
      <c r="Y35" s="67">
        <v>3238.34689372438</v>
      </c>
      <c r="Z35" s="67">
        <v>5586.66180952381</v>
      </c>
      <c r="AD35" s="21" t="s">
        <v>471</v>
      </c>
      <c r="AE35" s="66"/>
      <c r="AF35" s="70">
        <v>0.0510683</v>
      </c>
      <c r="AG35" s="68"/>
      <c r="AH35" s="70">
        <v>0.0523622</v>
      </c>
      <c r="AI35" s="70">
        <v>0.0476485</v>
      </c>
      <c r="AJ35" s="68"/>
      <c r="AK35" s="70">
        <v>0.0494428</v>
      </c>
      <c r="AL35" s="70">
        <v>0.0499941</v>
      </c>
      <c r="AM35" s="70">
        <v>0.0460122</v>
      </c>
      <c r="AN35" s="70">
        <v>0.0492105</v>
      </c>
      <c r="AO35" s="70">
        <v>0.0574054</v>
      </c>
      <c r="AS35" s="21" t="s">
        <v>471</v>
      </c>
      <c r="AT35" s="66"/>
      <c r="AU35" s="71">
        <v>0.0373087124359789</v>
      </c>
      <c r="AV35" s="72"/>
      <c r="AW35" s="71">
        <v>0.0374203660519302</v>
      </c>
      <c r="AX35" s="71">
        <v>0.0369915619570768</v>
      </c>
      <c r="AY35" s="72"/>
      <c r="AZ35" s="71">
        <v>0.0306492085140615</v>
      </c>
      <c r="BA35" s="71">
        <v>0.0331150592741525</v>
      </c>
      <c r="BB35" s="71">
        <v>0.0377967838019183</v>
      </c>
      <c r="BC35" s="71">
        <v>0.039128949632286</v>
      </c>
      <c r="BD35" s="71">
        <v>0.0393846184590289</v>
      </c>
    </row>
    <row r="36" ht="24" customHeight="1" spans="2:56">
      <c r="B36" s="21" t="s">
        <v>473</v>
      </c>
      <c r="C36" s="66"/>
      <c r="D36" s="67">
        <v>202.553853974238</v>
      </c>
      <c r="E36" s="68"/>
      <c r="F36" s="67">
        <v>408.342539626441</v>
      </c>
      <c r="G36" s="67">
        <v>-757.070168771002</v>
      </c>
      <c r="H36" s="68"/>
      <c r="I36" s="67">
        <v>-482.145251317111</v>
      </c>
      <c r="J36" s="67">
        <v>-566.168517474263</v>
      </c>
      <c r="K36" s="67">
        <v>-565.062774112808</v>
      </c>
      <c r="L36" s="67">
        <v>-971.492115483919</v>
      </c>
      <c r="M36" s="67">
        <v>1515.14757842043</v>
      </c>
      <c r="N36" s="69"/>
      <c r="O36" s="21" t="s">
        <v>473</v>
      </c>
      <c r="P36" s="66"/>
      <c r="Q36" s="67">
        <v>3662.20511333751</v>
      </c>
      <c r="R36" s="68"/>
      <c r="S36" s="67">
        <v>4159.6632716763</v>
      </c>
      <c r="T36" s="67">
        <v>2738.48137745975</v>
      </c>
      <c r="U36" s="68"/>
      <c r="V36" s="67">
        <v>1781.51276178812</v>
      </c>
      <c r="W36" s="67">
        <v>2520.7195273523</v>
      </c>
      <c r="X36" s="67">
        <v>3136.53076633166</v>
      </c>
      <c r="Y36" s="67">
        <v>4165.83209334595</v>
      </c>
      <c r="Z36" s="67">
        <v>6795.76053460317</v>
      </c>
      <c r="AD36" s="21" t="s">
        <v>473</v>
      </c>
      <c r="AE36" s="66"/>
      <c r="AF36" s="70">
        <v>0.0450162</v>
      </c>
      <c r="AG36" s="68"/>
      <c r="AH36" s="70">
        <v>0.0435263</v>
      </c>
      <c r="AI36" s="70">
        <v>0.0539264</v>
      </c>
      <c r="AJ36" s="68"/>
      <c r="AK36" s="70">
        <v>0.0579767</v>
      </c>
      <c r="AL36" s="70">
        <v>0.055323</v>
      </c>
      <c r="AM36" s="70">
        <v>0.0536292</v>
      </c>
      <c r="AN36" s="70">
        <v>0.0575638</v>
      </c>
      <c r="AO36" s="70">
        <v>0.0398668</v>
      </c>
      <c r="AS36" s="21" t="s">
        <v>473</v>
      </c>
      <c r="AT36" s="66"/>
      <c r="AU36" s="71">
        <v>0.0487851534698249</v>
      </c>
      <c r="AV36" s="72"/>
      <c r="AW36" s="71">
        <v>0.0486970009755777</v>
      </c>
      <c r="AX36" s="71">
        <v>0.0490354720102279</v>
      </c>
      <c r="AY36" s="72"/>
      <c r="AZ36" s="71">
        <v>0.0475023578420923</v>
      </c>
      <c r="BA36" s="71">
        <v>0.0491106262032175</v>
      </c>
      <c r="BB36" s="71">
        <v>0.0492212147992744</v>
      </c>
      <c r="BC36" s="71">
        <v>0.0503357544779969</v>
      </c>
      <c r="BD36" s="71">
        <v>0.0479084728805314</v>
      </c>
    </row>
    <row r="37" ht="24" customHeight="1" spans="2:56">
      <c r="B37" s="21" t="s">
        <v>474</v>
      </c>
      <c r="C37" s="66"/>
      <c r="D37" s="67">
        <v>-4005.29574602576</v>
      </c>
      <c r="E37" s="68"/>
      <c r="F37" s="67">
        <v>-4665.87746037356</v>
      </c>
      <c r="G37" s="67">
        <v>-2410.266568771</v>
      </c>
      <c r="H37" s="68"/>
      <c r="I37" s="67">
        <v>-188.003081317111</v>
      </c>
      <c r="J37" s="67">
        <v>-1156.10941747426</v>
      </c>
      <c r="K37" s="67">
        <v>-962.355774112808</v>
      </c>
      <c r="L37" s="67">
        <v>-2365.79151548392</v>
      </c>
      <c r="M37" s="67">
        <v>-7400.22342157957</v>
      </c>
      <c r="N37" s="69"/>
      <c r="O37" s="21" t="s">
        <v>474</v>
      </c>
      <c r="P37" s="66"/>
      <c r="Q37" s="67">
        <v>2726.05696305573</v>
      </c>
      <c r="R37" s="68"/>
      <c r="S37" s="67">
        <v>3404.93158959538</v>
      </c>
      <c r="T37" s="67">
        <v>1465.46329159213</v>
      </c>
      <c r="U37" s="68"/>
      <c r="V37" s="67">
        <v>665.94004898959</v>
      </c>
      <c r="W37" s="67">
        <v>1042.51475461082</v>
      </c>
      <c r="X37" s="67">
        <v>1437.96570351759</v>
      </c>
      <c r="Y37" s="67">
        <v>2546.05578681804</v>
      </c>
      <c r="Z37" s="67">
        <v>8054.96479365079</v>
      </c>
      <c r="AD37" s="21" t="s">
        <v>474</v>
      </c>
      <c r="AE37" s="66"/>
      <c r="AF37" s="70">
        <v>0.0885994</v>
      </c>
      <c r="AG37" s="68"/>
      <c r="AH37" s="70">
        <v>0.0940943</v>
      </c>
      <c r="AI37" s="70">
        <v>0.0607339</v>
      </c>
      <c r="AJ37" s="68"/>
      <c r="AK37" s="70">
        <v>0.020388</v>
      </c>
      <c r="AL37" s="70">
        <v>0.0380171</v>
      </c>
      <c r="AM37" s="70">
        <v>0.0332085</v>
      </c>
      <c r="AN37" s="70">
        <v>0.0548393</v>
      </c>
      <c r="AO37" s="70">
        <v>0.1115951</v>
      </c>
      <c r="AS37" s="21" t="s">
        <v>474</v>
      </c>
      <c r="AT37" s="66"/>
      <c r="AU37" s="71">
        <v>0.0363144890016711</v>
      </c>
      <c r="AV37" s="72"/>
      <c r="AW37" s="71">
        <v>0.0398613892786282</v>
      </c>
      <c r="AX37" s="71">
        <v>0.0262407058190552</v>
      </c>
      <c r="AY37" s="72"/>
      <c r="AZ37" s="71">
        <v>0.0177566634306526</v>
      </c>
      <c r="BA37" s="71">
        <v>0.0203110865248894</v>
      </c>
      <c r="BB37" s="71">
        <v>0.0225658295868107</v>
      </c>
      <c r="BC37" s="71">
        <v>0.0307639953077469</v>
      </c>
      <c r="BD37" s="71">
        <v>0.0567855592328914</v>
      </c>
    </row>
    <row r="38" ht="24" customHeight="1" spans="2:56">
      <c r="B38" s="21" t="s">
        <v>475</v>
      </c>
      <c r="C38" s="66"/>
      <c r="D38" s="67">
        <v>-579.197846025762</v>
      </c>
      <c r="E38" s="68"/>
      <c r="F38" s="67">
        <v>-570.650460373559</v>
      </c>
      <c r="G38" s="67">
        <v>-921.074168771002</v>
      </c>
      <c r="H38" s="68"/>
      <c r="I38" s="67">
        <v>-228.335851317111</v>
      </c>
      <c r="J38" s="67">
        <v>-329.011357474263</v>
      </c>
      <c r="K38" s="67">
        <v>-391.740774112808</v>
      </c>
      <c r="L38" s="67">
        <v>-852.614715483919</v>
      </c>
      <c r="M38" s="67">
        <v>31.4029784204291</v>
      </c>
      <c r="N38" s="69"/>
      <c r="O38" s="21" t="s">
        <v>475</v>
      </c>
      <c r="P38" s="66"/>
      <c r="Q38" s="67">
        <v>742.729724483406</v>
      </c>
      <c r="R38" s="68"/>
      <c r="S38" s="67">
        <v>891.379633911368</v>
      </c>
      <c r="T38" s="67">
        <v>466.703595706619</v>
      </c>
      <c r="U38" s="68"/>
      <c r="V38" s="67">
        <v>170.680404164115</v>
      </c>
      <c r="W38" s="67">
        <v>291.140450140669</v>
      </c>
      <c r="X38" s="67">
        <v>453.753894472362</v>
      </c>
      <c r="Y38" s="67">
        <v>808.211226742353</v>
      </c>
      <c r="Z38" s="67">
        <v>2020.63587301587</v>
      </c>
      <c r="AD38" s="21" t="s">
        <v>475</v>
      </c>
      <c r="AE38" s="66"/>
      <c r="AF38" s="70">
        <v>0.0165391</v>
      </c>
      <c r="AG38" s="68"/>
      <c r="AH38" s="70">
        <v>0.0167256</v>
      </c>
      <c r="AI38" s="70">
        <v>0.0161845</v>
      </c>
      <c r="AJ38" s="68"/>
      <c r="AK38" s="70">
        <v>0.0082578</v>
      </c>
      <c r="AL38" s="70">
        <v>0.0072641</v>
      </c>
      <c r="AM38" s="70">
        <v>0.0088088</v>
      </c>
      <c r="AN38" s="70">
        <v>0.0155573</v>
      </c>
      <c r="AO38" s="70">
        <v>0.0166634</v>
      </c>
      <c r="AS38" s="21" t="s">
        <v>475</v>
      </c>
      <c r="AT38" s="66"/>
      <c r="AU38" s="71">
        <v>0.00989408907315466</v>
      </c>
      <c r="AV38" s="72"/>
      <c r="AW38" s="71">
        <v>0.0104353434562263</v>
      </c>
      <c r="AX38" s="71">
        <v>0.00835683283907268</v>
      </c>
      <c r="AY38" s="72"/>
      <c r="AZ38" s="71">
        <v>0.00455103202690445</v>
      </c>
      <c r="BA38" s="71">
        <v>0.00567222559445685</v>
      </c>
      <c r="BB38" s="71">
        <v>0.00712070742157986</v>
      </c>
      <c r="BC38" s="71">
        <v>0.0097656172798334</v>
      </c>
      <c r="BD38" s="71">
        <v>0.0142449956014324</v>
      </c>
    </row>
    <row r="39" ht="24" customHeight="1" spans="2:56">
      <c r="B39" s="21" t="s">
        <v>477</v>
      </c>
      <c r="C39" s="66"/>
      <c r="D39" s="67">
        <v>-409.946546025762</v>
      </c>
      <c r="E39" s="68"/>
      <c r="F39" s="67">
        <v>-473.094060373559</v>
      </c>
      <c r="G39" s="67">
        <v>-967.022168771002</v>
      </c>
      <c r="H39" s="68"/>
      <c r="I39" s="67">
        <v>192.362848682889</v>
      </c>
      <c r="J39" s="67">
        <v>-419.467517474263</v>
      </c>
      <c r="K39" s="67">
        <v>-763.253174112808</v>
      </c>
      <c r="L39" s="67">
        <v>-1483.05951548392</v>
      </c>
      <c r="M39" s="67">
        <v>309.120628420429</v>
      </c>
      <c r="N39" s="69"/>
      <c r="O39" s="21" t="s">
        <v>477</v>
      </c>
      <c r="P39" s="66"/>
      <c r="Q39" s="67">
        <v>2665.46588916719</v>
      </c>
      <c r="R39" s="68"/>
      <c r="S39" s="67">
        <v>2946.57686897881</v>
      </c>
      <c r="T39" s="67">
        <v>2143.47448121646</v>
      </c>
      <c r="U39" s="68"/>
      <c r="V39" s="67">
        <v>1380.10724127373</v>
      </c>
      <c r="W39" s="67">
        <v>1698.75736167552</v>
      </c>
      <c r="X39" s="67">
        <v>2019.52914572864</v>
      </c>
      <c r="Y39" s="67">
        <v>2834.99659413434</v>
      </c>
      <c r="Z39" s="67">
        <v>5462.15244444444</v>
      </c>
      <c r="AD39" s="21" t="s">
        <v>477</v>
      </c>
      <c r="AE39" s="66"/>
      <c r="AF39" s="70">
        <v>0.0398977</v>
      </c>
      <c r="AG39" s="68"/>
      <c r="AH39" s="70">
        <v>0.0396437</v>
      </c>
      <c r="AI39" s="70">
        <v>0.0470316</v>
      </c>
      <c r="AJ39" s="68"/>
      <c r="AK39" s="70">
        <v>0.0292885</v>
      </c>
      <c r="AL39" s="70">
        <v>0.0364507</v>
      </c>
      <c r="AM39" s="70">
        <v>0.0392104</v>
      </c>
      <c r="AN39" s="70">
        <v>0.0476646</v>
      </c>
      <c r="AO39" s="70">
        <v>0.0389674</v>
      </c>
      <c r="AS39" s="21" t="s">
        <v>477</v>
      </c>
      <c r="AT39" s="66"/>
      <c r="AU39" s="71">
        <v>0.035507340099009</v>
      </c>
      <c r="AV39" s="72"/>
      <c r="AW39" s="71">
        <v>0.0344954500621034</v>
      </c>
      <c r="AX39" s="71">
        <v>0.0383812297550934</v>
      </c>
      <c r="AY39" s="72"/>
      <c r="AZ39" s="71">
        <v>0.036799258159479</v>
      </c>
      <c r="BA39" s="71">
        <v>0.0330965174403359</v>
      </c>
      <c r="BB39" s="71">
        <v>0.0316922374689672</v>
      </c>
      <c r="BC39" s="71">
        <v>0.0342552674497467</v>
      </c>
      <c r="BD39" s="71">
        <v>0.0385068574623157</v>
      </c>
    </row>
    <row r="40" ht="24" customHeight="1" spans="2:56">
      <c r="B40" s="21" t="s">
        <v>479</v>
      </c>
      <c r="C40" s="66"/>
      <c r="D40" s="67">
        <v>1646.75625397424</v>
      </c>
      <c r="E40" s="68"/>
      <c r="F40" s="67">
        <v>2243.74153962644</v>
      </c>
      <c r="G40" s="67">
        <v>639.077431228998</v>
      </c>
      <c r="H40" s="68"/>
      <c r="I40" s="67">
        <v>770.447448682889</v>
      </c>
      <c r="J40" s="67">
        <v>866.407882525737</v>
      </c>
      <c r="K40" s="67">
        <v>791.926625887192</v>
      </c>
      <c r="L40" s="67">
        <v>1205.75148451608</v>
      </c>
      <c r="M40" s="67">
        <v>2592.27157842043</v>
      </c>
      <c r="N40" s="69"/>
      <c r="O40" s="21" t="s">
        <v>479</v>
      </c>
      <c r="P40" s="66"/>
      <c r="Q40" s="67">
        <v>2905.53249843456</v>
      </c>
      <c r="R40" s="68"/>
      <c r="S40" s="67">
        <v>3446.76522157996</v>
      </c>
      <c r="T40" s="67">
        <v>1900.52432915921</v>
      </c>
      <c r="U40" s="68"/>
      <c r="V40" s="67">
        <v>1972.80985915493</v>
      </c>
      <c r="W40" s="67">
        <v>2512.77649265395</v>
      </c>
      <c r="X40" s="67">
        <v>2886.28297738693</v>
      </c>
      <c r="Y40" s="67">
        <v>3266.85083569852</v>
      </c>
      <c r="Z40" s="67">
        <v>3927.19873015873</v>
      </c>
      <c r="AD40" s="21" t="s">
        <v>479</v>
      </c>
      <c r="AE40" s="66"/>
      <c r="AF40" s="70">
        <v>0.0156978</v>
      </c>
      <c r="AG40" s="68"/>
      <c r="AH40" s="70">
        <v>0.0136935</v>
      </c>
      <c r="AI40" s="70">
        <v>0.0139224</v>
      </c>
      <c r="AJ40" s="68"/>
      <c r="AK40" s="70">
        <v>0.0296782</v>
      </c>
      <c r="AL40" s="70">
        <v>0.0272576</v>
      </c>
      <c r="AM40" s="70">
        <v>0.028407</v>
      </c>
      <c r="AN40" s="70">
        <v>0.0203938</v>
      </c>
      <c r="AO40" s="70">
        <v>0.0120507</v>
      </c>
      <c r="AS40" s="21" t="s">
        <v>479</v>
      </c>
      <c r="AT40" s="66"/>
      <c r="AU40" s="71">
        <v>0.0387053276539485</v>
      </c>
      <c r="AV40" s="72"/>
      <c r="AW40" s="71">
        <v>0.0403511338287308</v>
      </c>
      <c r="AX40" s="71">
        <v>0.034030944418432</v>
      </c>
      <c r="AY40" s="72"/>
      <c r="AZ40" s="71">
        <v>0.0526031145518848</v>
      </c>
      <c r="BA40" s="71">
        <v>0.0489558737986931</v>
      </c>
      <c r="BB40" s="71">
        <v>0.0452941051707284</v>
      </c>
      <c r="BC40" s="71">
        <v>0.0394733627993834</v>
      </c>
      <c r="BD40" s="71">
        <v>0.0276858039511914</v>
      </c>
    </row>
    <row r="41" ht="24" customHeight="1" spans="2:56">
      <c r="B41" s="21" t="s">
        <v>481</v>
      </c>
      <c r="C41" s="66"/>
      <c r="D41" s="67">
        <v>-592.035946025762</v>
      </c>
      <c r="E41" s="68"/>
      <c r="F41" s="67">
        <v>-534.667960373559</v>
      </c>
      <c r="G41" s="67">
        <v>-2419.158568771</v>
      </c>
      <c r="H41" s="68"/>
      <c r="I41" s="67">
        <v>-470.182451317111</v>
      </c>
      <c r="J41" s="67">
        <v>-1019.45731747426</v>
      </c>
      <c r="K41" s="67">
        <v>-1460.18137411281</v>
      </c>
      <c r="L41" s="67">
        <v>-1586.25851548392</v>
      </c>
      <c r="M41" s="67">
        <v>915.534078420429</v>
      </c>
      <c r="N41" s="69"/>
      <c r="O41" s="21" t="s">
        <v>481</v>
      </c>
      <c r="P41" s="66"/>
      <c r="Q41" s="67">
        <v>1684.13124608641</v>
      </c>
      <c r="R41" s="68"/>
      <c r="S41" s="67">
        <v>1705.99653179191</v>
      </c>
      <c r="T41" s="67">
        <v>1643.52987477639</v>
      </c>
      <c r="U41" s="68"/>
      <c r="V41" s="67">
        <v>409.77281077771</v>
      </c>
      <c r="W41" s="67">
        <v>809.346670834636</v>
      </c>
      <c r="X41" s="67">
        <v>1301.47613065327</v>
      </c>
      <c r="Y41" s="67">
        <v>2022.91548407442</v>
      </c>
      <c r="Z41" s="67">
        <v>3939.55333333333</v>
      </c>
      <c r="AD41" s="21" t="s">
        <v>481</v>
      </c>
      <c r="AE41" s="66"/>
      <c r="AF41" s="70">
        <v>0.0292507</v>
      </c>
      <c r="AG41" s="68"/>
      <c r="AH41" s="70">
        <v>0.0258411</v>
      </c>
      <c r="AI41" s="70">
        <v>0.0640816</v>
      </c>
      <c r="AJ41" s="68"/>
      <c r="AK41" s="70">
        <v>0.0210816</v>
      </c>
      <c r="AL41" s="70">
        <v>0.030812</v>
      </c>
      <c r="AM41" s="70">
        <v>0.0388789</v>
      </c>
      <c r="AN41" s="70">
        <v>0.0390992</v>
      </c>
      <c r="AO41" s="70">
        <v>0.0239583</v>
      </c>
      <c r="AS41" s="21" t="s">
        <v>481</v>
      </c>
      <c r="AT41" s="66"/>
      <c r="AU41" s="71">
        <v>0.0224347350191909</v>
      </c>
      <c r="AV41" s="72"/>
      <c r="AW41" s="71">
        <v>0.0199720288271131</v>
      </c>
      <c r="AX41" s="71">
        <v>0.0294291806531576</v>
      </c>
      <c r="AY41" s="72"/>
      <c r="AZ41" s="71">
        <v>0.010926205587203</v>
      </c>
      <c r="BA41" s="71">
        <v>0.0157683238412201</v>
      </c>
      <c r="BB41" s="71">
        <v>0.0204239144951653</v>
      </c>
      <c r="BC41" s="71">
        <v>0.0244428903648692</v>
      </c>
      <c r="BD41" s="71">
        <v>0.0277729009240947</v>
      </c>
    </row>
    <row r="42" ht="24" customHeight="1" spans="2:56">
      <c r="B42" s="21" t="s">
        <v>482</v>
      </c>
      <c r="C42" s="66"/>
      <c r="D42" s="67">
        <v>-877.357246025762</v>
      </c>
      <c r="E42" s="68"/>
      <c r="F42" s="67">
        <v>-881.686660373559</v>
      </c>
      <c r="G42" s="67">
        <v>-1481.233868771</v>
      </c>
      <c r="H42" s="68"/>
      <c r="I42" s="67">
        <v>-333.137651317111</v>
      </c>
      <c r="J42" s="67">
        <v>-633.621717474263</v>
      </c>
      <c r="K42" s="67">
        <v>-1096.04187411281</v>
      </c>
      <c r="L42" s="67">
        <v>-1970.31751548392</v>
      </c>
      <c r="M42" s="67">
        <v>88.0722784204291</v>
      </c>
      <c r="N42" s="69"/>
      <c r="O42" s="21" t="s">
        <v>482</v>
      </c>
      <c r="P42" s="66"/>
      <c r="Q42" s="67">
        <v>915.994821540388</v>
      </c>
      <c r="R42" s="68"/>
      <c r="S42" s="67">
        <v>1064.46039499037</v>
      </c>
      <c r="T42" s="67">
        <v>640.310983899821</v>
      </c>
      <c r="U42" s="68"/>
      <c r="V42" s="67">
        <v>150.01209430496</v>
      </c>
      <c r="W42" s="67">
        <v>253.28746483276</v>
      </c>
      <c r="X42" s="67">
        <v>469.304114321608</v>
      </c>
      <c r="Y42" s="67">
        <v>1097.62280037843</v>
      </c>
      <c r="Z42" s="67">
        <v>2651.8746031746</v>
      </c>
      <c r="AD42" s="21" t="s">
        <v>482</v>
      </c>
      <c r="AE42" s="66"/>
      <c r="AF42" s="70">
        <v>0.022819</v>
      </c>
      <c r="AG42" s="68"/>
      <c r="AH42" s="70">
        <v>0.0223932</v>
      </c>
      <c r="AI42" s="70">
        <v>0.0293234</v>
      </c>
      <c r="AJ42" s="68"/>
      <c r="AK42" s="70">
        <v>0.0105011</v>
      </c>
      <c r="AL42" s="70">
        <v>0.0124613</v>
      </c>
      <c r="AM42" s="70">
        <v>0.0201053</v>
      </c>
      <c r="AN42" s="70">
        <v>0.0325594</v>
      </c>
      <c r="AO42" s="70">
        <v>0.0207139</v>
      </c>
      <c r="AS42" s="21" t="s">
        <v>482</v>
      </c>
      <c r="AT42" s="66"/>
      <c r="AU42" s="71">
        <v>0.0122021969178258</v>
      </c>
      <c r="AV42" s="72"/>
      <c r="AW42" s="71">
        <v>0.0124615925635779</v>
      </c>
      <c r="AX42" s="71">
        <v>0.0114654609621579</v>
      </c>
      <c r="AY42" s="72"/>
      <c r="AZ42" s="71">
        <v>0.00399993103454592</v>
      </c>
      <c r="BA42" s="71">
        <v>0.00493474417617101</v>
      </c>
      <c r="BB42" s="71">
        <v>0.00736473522439682</v>
      </c>
      <c r="BC42" s="71">
        <v>0.0132625776918733</v>
      </c>
      <c r="BD42" s="71">
        <v>0.0186950764174004</v>
      </c>
    </row>
    <row r="43" ht="24" customHeight="1" spans="2:56">
      <c r="B43" s="21" t="s">
        <v>484</v>
      </c>
      <c r="C43" s="66"/>
      <c r="D43" s="67">
        <v>-1429.61974602576</v>
      </c>
      <c r="E43" s="68"/>
      <c r="F43" s="67">
        <v>-1544.15046037356</v>
      </c>
      <c r="G43" s="67">
        <v>-2247.544568771</v>
      </c>
      <c r="H43" s="68"/>
      <c r="I43" s="67">
        <v>-774.463951317111</v>
      </c>
      <c r="J43" s="67">
        <v>-1866.93211747426</v>
      </c>
      <c r="K43" s="67">
        <v>-1796.94737411281</v>
      </c>
      <c r="L43" s="67">
        <v>-2147.58351548392</v>
      </c>
      <c r="M43" s="67">
        <v>-265.430221579571</v>
      </c>
      <c r="N43" s="69"/>
      <c r="O43" s="21" t="s">
        <v>484</v>
      </c>
      <c r="P43" s="66"/>
      <c r="Q43" s="67">
        <v>3283.92227802129</v>
      </c>
      <c r="R43" s="68"/>
      <c r="S43" s="67">
        <v>3690.81629672447</v>
      </c>
      <c r="T43" s="67">
        <v>2528.36594275492</v>
      </c>
      <c r="U43" s="68"/>
      <c r="V43" s="67">
        <v>962.118646662584</v>
      </c>
      <c r="W43" s="67">
        <v>1750.70184432635</v>
      </c>
      <c r="X43" s="67">
        <v>2440.42844849246</v>
      </c>
      <c r="Y43" s="67">
        <v>3652.72220119836</v>
      </c>
      <c r="Z43" s="67">
        <v>7729.6373968254</v>
      </c>
      <c r="AD43" s="21" t="s">
        <v>484</v>
      </c>
      <c r="AE43" s="66"/>
      <c r="AF43" s="70">
        <v>0.0617196</v>
      </c>
      <c r="AG43" s="68"/>
      <c r="AH43" s="70">
        <v>0.0608953</v>
      </c>
      <c r="AI43" s="70">
        <v>0.0768526</v>
      </c>
      <c r="AJ43" s="68"/>
      <c r="AK43" s="70">
        <v>0.0439227</v>
      </c>
      <c r="AL43" s="70">
        <v>0.0656634</v>
      </c>
      <c r="AM43" s="70">
        <v>0.0620372</v>
      </c>
      <c r="AN43" s="70">
        <v>0.0655746</v>
      </c>
      <c r="AO43" s="70">
        <v>0.059003</v>
      </c>
      <c r="AS43" s="21" t="s">
        <v>484</v>
      </c>
      <c r="AT43" s="66"/>
      <c r="AU43" s="71">
        <v>0.0437459528776211</v>
      </c>
      <c r="AV43" s="72"/>
      <c r="AW43" s="71">
        <v>0.043208229383875</v>
      </c>
      <c r="AX43" s="71">
        <v>0.045273127813846</v>
      </c>
      <c r="AY43" s="72"/>
      <c r="AZ43" s="71">
        <v>0.02565398644377</v>
      </c>
      <c r="BA43" s="71">
        <v>0.0341085404135795</v>
      </c>
      <c r="BB43" s="71">
        <v>0.0382973615801624</v>
      </c>
      <c r="BC43" s="71">
        <v>0.044135846999098</v>
      </c>
      <c r="BD43" s="71">
        <v>0.0544920795423194</v>
      </c>
    </row>
    <row r="44" ht="24" customHeight="1" spans="2:56">
      <c r="B44" s="21" t="s">
        <v>485</v>
      </c>
      <c r="C44" s="66"/>
      <c r="D44" s="67">
        <v>-289.989346025762</v>
      </c>
      <c r="E44" s="68"/>
      <c r="F44" s="67">
        <v>-393.629160373559</v>
      </c>
      <c r="G44" s="67">
        <v>-342.621668771002</v>
      </c>
      <c r="H44" s="68"/>
      <c r="I44" s="67">
        <v>-371.055051317111</v>
      </c>
      <c r="J44" s="67">
        <v>-474.617517474263</v>
      </c>
      <c r="K44" s="67">
        <v>-234.349884112808</v>
      </c>
      <c r="L44" s="67">
        <v>-125.823815483919</v>
      </c>
      <c r="M44" s="67">
        <v>-320.660821579571</v>
      </c>
      <c r="N44" s="69"/>
      <c r="O44" s="21" t="s">
        <v>485</v>
      </c>
      <c r="P44" s="66"/>
      <c r="Q44" s="67">
        <v>1792.05865372574</v>
      </c>
      <c r="R44" s="68"/>
      <c r="S44" s="67">
        <v>2002.11933526011</v>
      </c>
      <c r="T44" s="67">
        <v>1401.99964221825</v>
      </c>
      <c r="U44" s="68"/>
      <c r="V44" s="67">
        <v>836.838273116963</v>
      </c>
      <c r="W44" s="67">
        <v>1245.31309784308</v>
      </c>
      <c r="X44" s="67">
        <v>1559.61199748744</v>
      </c>
      <c r="Y44" s="67">
        <v>1929.68987701041</v>
      </c>
      <c r="Z44" s="67">
        <v>3434.11273015873</v>
      </c>
      <c r="AD44" s="21" t="s">
        <v>485</v>
      </c>
      <c r="AE44" s="66"/>
      <c r="AF44" s="70">
        <v>0.0266648</v>
      </c>
      <c r="AG44" s="68"/>
      <c r="AH44" s="70">
        <v>0.0276566</v>
      </c>
      <c r="AI44" s="70">
        <v>0.0225741</v>
      </c>
      <c r="AJ44" s="68"/>
      <c r="AK44" s="70">
        <v>0.0298257</v>
      </c>
      <c r="AL44" s="70">
        <v>0.0286908</v>
      </c>
      <c r="AM44" s="70">
        <v>0.023693</v>
      </c>
      <c r="AN44" s="70">
        <v>0.0203263</v>
      </c>
      <c r="AO44" s="70">
        <v>0.02911</v>
      </c>
      <c r="AS44" s="21" t="s">
        <v>485</v>
      </c>
      <c r="AT44" s="66"/>
      <c r="AU44" s="71">
        <v>0.0238724631044118</v>
      </c>
      <c r="AV44" s="72"/>
      <c r="AW44" s="71">
        <v>0.0234387258906884</v>
      </c>
      <c r="AX44" s="71">
        <v>0.0251043205114338</v>
      </c>
      <c r="AY44" s="72"/>
      <c r="AZ44" s="71">
        <v>0.022313503421475</v>
      </c>
      <c r="BA44" s="71">
        <v>0.0242621622082569</v>
      </c>
      <c r="BB44" s="71">
        <v>0.024474810818335</v>
      </c>
      <c r="BC44" s="71">
        <v>0.02331644523624</v>
      </c>
      <c r="BD44" s="71">
        <v>0.0242096665654662</v>
      </c>
    </row>
    <row r="45" ht="24" customHeight="1" spans="2:56">
      <c r="B45" s="21" t="s">
        <v>486</v>
      </c>
      <c r="C45" s="66"/>
      <c r="D45" s="67">
        <v>-429.698146025762</v>
      </c>
      <c r="E45" s="68"/>
      <c r="F45" s="67">
        <v>-252.922860373559</v>
      </c>
      <c r="G45" s="67">
        <v>-480.826868771002</v>
      </c>
      <c r="H45" s="68"/>
      <c r="I45" s="67">
        <v>-341.287751317111</v>
      </c>
      <c r="J45" s="67">
        <v>-613.060017474263</v>
      </c>
      <c r="K45" s="67">
        <v>-608.994374112808</v>
      </c>
      <c r="L45" s="67">
        <v>-879.364215483919</v>
      </c>
      <c r="M45" s="67">
        <v>518.496778420429</v>
      </c>
      <c r="N45" s="69"/>
      <c r="O45" s="21" t="s">
        <v>486</v>
      </c>
      <c r="P45" s="66"/>
      <c r="Q45" s="67">
        <v>1496.88827802129</v>
      </c>
      <c r="R45" s="68"/>
      <c r="S45" s="67">
        <v>1899.7074566474</v>
      </c>
      <c r="T45" s="67">
        <v>748.898461538462</v>
      </c>
      <c r="U45" s="68"/>
      <c r="V45" s="67">
        <v>495.89699938763</v>
      </c>
      <c r="W45" s="67">
        <v>841.673898093154</v>
      </c>
      <c r="X45" s="67">
        <v>1170.20785175879</v>
      </c>
      <c r="Y45" s="67">
        <v>1670.8280037843</v>
      </c>
      <c r="Z45" s="67">
        <v>3355.25523809524</v>
      </c>
      <c r="AD45" s="21" t="s">
        <v>486</v>
      </c>
      <c r="AE45" s="66"/>
      <c r="AF45" s="70">
        <v>0.0245939</v>
      </c>
      <c r="AG45" s="68"/>
      <c r="AH45" s="70">
        <v>0.0248105</v>
      </c>
      <c r="AI45" s="70">
        <v>0.0170465</v>
      </c>
      <c r="AJ45" s="68"/>
      <c r="AK45" s="70">
        <v>0.0199411</v>
      </c>
      <c r="AL45" s="70">
        <v>0.0235241</v>
      </c>
      <c r="AM45" s="70">
        <v>0.0234614</v>
      </c>
      <c r="AN45" s="70">
        <v>0.0263035</v>
      </c>
      <c r="AO45" s="70">
        <v>0.0226382</v>
      </c>
      <c r="AS45" s="21" t="s">
        <v>486</v>
      </c>
      <c r="AT45" s="66"/>
      <c r="AU45" s="71">
        <v>0.0199404244465978</v>
      </c>
      <c r="AV45" s="72"/>
      <c r="AW45" s="71">
        <v>0.0222397943842195</v>
      </c>
      <c r="AX45" s="71">
        <v>0.0134098372373583</v>
      </c>
      <c r="AY45" s="72"/>
      <c r="AZ45" s="71">
        <v>0.0132226258621282</v>
      </c>
      <c r="BA45" s="71">
        <v>0.0163981481262516</v>
      </c>
      <c r="BB45" s="71">
        <v>0.0183639365663173</v>
      </c>
      <c r="BC45" s="71">
        <v>0.0201886168930774</v>
      </c>
      <c r="BD45" s="71">
        <v>0.0236537402639561</v>
      </c>
    </row>
    <row r="46" ht="24" customHeight="1" spans="2:56">
      <c r="B46" s="21" t="s">
        <v>487</v>
      </c>
      <c r="C46" s="66"/>
      <c r="D46" s="67">
        <v>-1375.88574602576</v>
      </c>
      <c r="E46" s="68"/>
      <c r="F46" s="67">
        <v>-1266.33346037356</v>
      </c>
      <c r="G46" s="67">
        <v>-960.480568771002</v>
      </c>
      <c r="H46" s="68"/>
      <c r="I46" s="67">
        <v>-254.523451317111</v>
      </c>
      <c r="J46" s="67">
        <v>-697.112617474263</v>
      </c>
      <c r="K46" s="67">
        <v>-1099.99697411281</v>
      </c>
      <c r="L46" s="67">
        <v>-1372.11661548392</v>
      </c>
      <c r="M46" s="67">
        <v>-159.818821579571</v>
      </c>
      <c r="N46" s="69"/>
      <c r="O46" s="21" t="s">
        <v>487</v>
      </c>
      <c r="P46" s="66"/>
      <c r="Q46" s="67">
        <v>1812.41046336882</v>
      </c>
      <c r="R46" s="68"/>
      <c r="S46" s="67">
        <v>2465.05997109827</v>
      </c>
      <c r="T46" s="67">
        <v>600.513881932021</v>
      </c>
      <c r="U46" s="68"/>
      <c r="V46" s="67">
        <v>280.891977954685</v>
      </c>
      <c r="W46" s="67">
        <v>623.617693029072</v>
      </c>
      <c r="X46" s="67">
        <v>1090.95854271357</v>
      </c>
      <c r="Y46" s="67">
        <v>1985.35433617155</v>
      </c>
      <c r="Z46" s="67">
        <v>5162.75501587302</v>
      </c>
      <c r="AD46" s="21" t="s">
        <v>487</v>
      </c>
      <c r="AE46" s="66"/>
      <c r="AF46" s="70">
        <v>0.0414014</v>
      </c>
      <c r="AG46" s="68"/>
      <c r="AH46" s="70">
        <v>0.043293</v>
      </c>
      <c r="AI46" s="70">
        <v>0.0192861</v>
      </c>
      <c r="AJ46" s="68"/>
      <c r="AK46" s="70">
        <v>0.0118947</v>
      </c>
      <c r="AL46" s="70">
        <v>0.0209133</v>
      </c>
      <c r="AM46" s="70">
        <v>0.029923</v>
      </c>
      <c r="AN46" s="70">
        <v>0.0360578</v>
      </c>
      <c r="AO46" s="70">
        <v>0.0401626</v>
      </c>
      <c r="AS46" s="21" t="s">
        <v>487</v>
      </c>
      <c r="AT46" s="66"/>
      <c r="AU46" s="71">
        <v>0.0241435746686468</v>
      </c>
      <c r="AV46" s="72"/>
      <c r="AW46" s="71">
        <v>0.0288583522216342</v>
      </c>
      <c r="AX46" s="71">
        <v>0.0107528507922686</v>
      </c>
      <c r="AY46" s="72"/>
      <c r="AZ46" s="71">
        <v>0.00748971971347767</v>
      </c>
      <c r="BA46" s="71">
        <v>0.0121498068641665</v>
      </c>
      <c r="BB46" s="71">
        <v>0.0171202863190183</v>
      </c>
      <c r="BC46" s="71">
        <v>0.0239890389670247</v>
      </c>
      <c r="BD46" s="71">
        <v>0.036396177794576</v>
      </c>
    </row>
    <row r="47" ht="24" customHeight="1" spans="2:56">
      <c r="B47" s="21" t="s">
        <v>488</v>
      </c>
      <c r="C47" s="66"/>
      <c r="D47" s="67">
        <v>953.058253974238</v>
      </c>
      <c r="E47" s="68"/>
      <c r="F47" s="67">
        <v>2883.54653962644</v>
      </c>
      <c r="G47" s="67">
        <v>1118.045431229</v>
      </c>
      <c r="H47" s="68"/>
      <c r="I47" s="67">
        <v>2788.03984868289</v>
      </c>
      <c r="J47" s="67">
        <v>3807.55088252574</v>
      </c>
      <c r="K47" s="67">
        <v>4569.46462588719</v>
      </c>
      <c r="L47" s="67">
        <v>5647.41248451608</v>
      </c>
      <c r="M47" s="67">
        <v>2906.32457842043</v>
      </c>
      <c r="N47" s="69"/>
      <c r="O47" s="21" t="s">
        <v>488</v>
      </c>
      <c r="P47" s="66"/>
      <c r="Q47" s="67">
        <v>11096.8609267376</v>
      </c>
      <c r="R47" s="68"/>
      <c r="S47" s="67">
        <v>14319.5658381503</v>
      </c>
      <c r="T47" s="67">
        <v>5112.66110912344</v>
      </c>
      <c r="U47" s="68"/>
      <c r="V47" s="67">
        <v>5173.04519289651</v>
      </c>
      <c r="W47" s="67">
        <v>7379.00975304783</v>
      </c>
      <c r="X47" s="67">
        <v>9299.25188442211</v>
      </c>
      <c r="Y47" s="67">
        <v>12118.9924314096</v>
      </c>
      <c r="Z47" s="67">
        <v>21802.574031746</v>
      </c>
      <c r="AD47" s="21" t="s">
        <v>488</v>
      </c>
      <c r="AE47" s="66"/>
      <c r="AF47" s="70">
        <v>0.1340574</v>
      </c>
      <c r="AG47" s="68"/>
      <c r="AH47" s="70">
        <v>0.1334907</v>
      </c>
      <c r="AI47" s="70">
        <v>0.0628627</v>
      </c>
      <c r="AJ47" s="68"/>
      <c r="AK47" s="70">
        <v>0.0612123</v>
      </c>
      <c r="AL47" s="70">
        <v>0.0647637</v>
      </c>
      <c r="AM47" s="70">
        <v>0.0697645</v>
      </c>
      <c r="AN47" s="70">
        <v>0.0736856</v>
      </c>
      <c r="AO47" s="70">
        <v>0.1358537</v>
      </c>
      <c r="AS47" s="21" t="s">
        <v>488</v>
      </c>
      <c r="AT47" s="66"/>
      <c r="AU47" s="71">
        <v>0.147824069540123</v>
      </c>
      <c r="AV47" s="72"/>
      <c r="AW47" s="71">
        <v>0.167638548134027</v>
      </c>
      <c r="AX47" s="71">
        <v>0.0915477288900745</v>
      </c>
      <c r="AY47" s="72"/>
      <c r="AZ47" s="71">
        <v>0.137934371932111</v>
      </c>
      <c r="BA47" s="71">
        <v>0.143763630106231</v>
      </c>
      <c r="BB47" s="71">
        <v>0.145932085024955</v>
      </c>
      <c r="BC47" s="71">
        <v>0.146433800949999</v>
      </c>
      <c r="BD47" s="71">
        <v>0.153702888941874</v>
      </c>
    </row>
    <row r="48" ht="24" customHeight="1" spans="2:56">
      <c r="B48" s="21" t="s">
        <v>490</v>
      </c>
      <c r="C48" s="66"/>
      <c r="D48" s="67">
        <v>-1011.54374602576</v>
      </c>
      <c r="E48" s="68"/>
      <c r="F48" s="67">
        <v>-973.391360373559</v>
      </c>
      <c r="G48" s="67">
        <v>-800.360468771002</v>
      </c>
      <c r="H48" s="68"/>
      <c r="I48" s="67">
        <v>-139.337511317111</v>
      </c>
      <c r="J48" s="67">
        <v>-362.983217474263</v>
      </c>
      <c r="K48" s="67">
        <v>-454.909174112808</v>
      </c>
      <c r="L48" s="67">
        <v>-964.081615483919</v>
      </c>
      <c r="M48" s="67">
        <v>-713.753421579571</v>
      </c>
      <c r="N48" s="69"/>
      <c r="O48" s="21" t="s">
        <v>490</v>
      </c>
      <c r="P48" s="66"/>
      <c r="Q48" s="67">
        <v>841.208969943644</v>
      </c>
      <c r="R48" s="68"/>
      <c r="S48" s="67">
        <v>1202.87697495183</v>
      </c>
      <c r="T48" s="67">
        <v>169.632245080501</v>
      </c>
      <c r="U48" s="68"/>
      <c r="V48" s="67">
        <v>105.990508266993</v>
      </c>
      <c r="W48" s="67">
        <v>228.414348233823</v>
      </c>
      <c r="X48" s="67">
        <v>474.018530150754</v>
      </c>
      <c r="Y48" s="67">
        <v>838.059839167455</v>
      </c>
      <c r="Z48" s="67">
        <v>2600.15301587302</v>
      </c>
      <c r="AD48" s="21" t="s">
        <v>490</v>
      </c>
      <c r="AE48" s="66"/>
      <c r="AF48" s="70">
        <v>0.0236103</v>
      </c>
      <c r="AG48" s="68"/>
      <c r="AH48" s="70">
        <v>0.0250872</v>
      </c>
      <c r="AI48" s="70">
        <v>0.0087036</v>
      </c>
      <c r="AJ48" s="68"/>
      <c r="AK48" s="70">
        <v>0.0041598</v>
      </c>
      <c r="AL48" s="70">
        <v>0.0067039</v>
      </c>
      <c r="AM48" s="70">
        <v>0.0101181</v>
      </c>
      <c r="AN48" s="70">
        <v>0.0172648</v>
      </c>
      <c r="AO48" s="70">
        <v>0.026002</v>
      </c>
      <c r="AS48" s="21" t="s">
        <v>490</v>
      </c>
      <c r="AT48" s="66"/>
      <c r="AU48" s="71">
        <v>0.0112059558186499</v>
      </c>
      <c r="AV48" s="72"/>
      <c r="AW48" s="71">
        <v>0.0140820295771498</v>
      </c>
      <c r="AX48" s="71">
        <v>0.00303744888467816</v>
      </c>
      <c r="AY48" s="72"/>
      <c r="AZ48" s="71">
        <v>0.00282613695481501</v>
      </c>
      <c r="BA48" s="71">
        <v>0.00445014669575139</v>
      </c>
      <c r="BB48" s="71">
        <v>0.00743871800711662</v>
      </c>
      <c r="BC48" s="71">
        <v>0.0101262781016987</v>
      </c>
      <c r="BD48" s="71">
        <v>0.0183304517002759</v>
      </c>
    </row>
    <row r="49" ht="24" customHeight="1" spans="2:56">
      <c r="B49" s="21" t="s">
        <v>492</v>
      </c>
      <c r="C49" s="66"/>
      <c r="D49" s="67">
        <v>-3580.96874602576</v>
      </c>
      <c r="E49" s="68"/>
      <c r="F49" s="67">
        <v>-3871.27346037356</v>
      </c>
      <c r="G49" s="67">
        <v>-1558.660568771</v>
      </c>
      <c r="H49" s="68"/>
      <c r="I49" s="67">
        <v>-882.771851317111</v>
      </c>
      <c r="J49" s="67">
        <v>-1373.10011747426</v>
      </c>
      <c r="K49" s="67">
        <v>-2272.49937411281</v>
      </c>
      <c r="L49" s="67">
        <v>-3114.79951548392</v>
      </c>
      <c r="M49" s="67">
        <v>-4998.59942157957</v>
      </c>
      <c r="N49" s="69"/>
      <c r="O49" s="21" t="s">
        <v>492</v>
      </c>
      <c r="P49" s="66"/>
      <c r="Q49" s="67">
        <v>5492.43517950324</v>
      </c>
      <c r="R49" s="68"/>
      <c r="S49" s="67">
        <v>6919.36798169557</v>
      </c>
      <c r="T49" s="67">
        <v>2842.78178294574</v>
      </c>
      <c r="U49" s="68"/>
      <c r="V49" s="67">
        <v>1780.64112573995</v>
      </c>
      <c r="W49" s="67">
        <v>2818.86842242367</v>
      </c>
      <c r="X49" s="67">
        <v>3836.06519577052</v>
      </c>
      <c r="Y49" s="67">
        <v>5893.75023126248</v>
      </c>
      <c r="Z49" s="67">
        <v>13326.3308730159</v>
      </c>
      <c r="AD49" s="21" t="s">
        <v>492</v>
      </c>
      <c r="AE49" s="66"/>
      <c r="AF49" s="70">
        <v>0.1197984</v>
      </c>
      <c r="AG49" s="68"/>
      <c r="AH49" s="70">
        <v>0.1259353</v>
      </c>
      <c r="AI49" s="70">
        <v>0.0701474</v>
      </c>
      <c r="AJ49" s="68"/>
      <c r="AK49" s="70">
        <v>0.0686358</v>
      </c>
      <c r="AL49" s="70">
        <v>0.076853</v>
      </c>
      <c r="AM49" s="70">
        <v>0.0914015</v>
      </c>
      <c r="AN49" s="70">
        <v>0.1043398</v>
      </c>
      <c r="AO49" s="70">
        <v>0.1318261</v>
      </c>
      <c r="AS49" s="21" t="s">
        <v>492</v>
      </c>
      <c r="AT49" s="66"/>
      <c r="AU49" s="71">
        <v>0.0731661075397653</v>
      </c>
      <c r="AV49" s="72"/>
      <c r="AW49" s="71">
        <v>0.0810047466220077</v>
      </c>
      <c r="AX49" s="71">
        <v>0.0509030836200639</v>
      </c>
      <c r="AY49" s="72"/>
      <c r="AZ49" s="71">
        <v>0.047479116488813</v>
      </c>
      <c r="BA49" s="71">
        <v>0.0549193957945463</v>
      </c>
      <c r="BB49" s="71">
        <v>0.0601989277490403</v>
      </c>
      <c r="BC49" s="71">
        <v>0.0712141915343465</v>
      </c>
      <c r="BD49" s="71">
        <v>0.0939474188320778</v>
      </c>
    </row>
    <row r="50" ht="24" customHeight="1" spans="2:56">
      <c r="B50" s="21" t="s">
        <v>493</v>
      </c>
      <c r="C50" s="66"/>
      <c r="D50" s="67">
        <v>-3054.19574602576</v>
      </c>
      <c r="E50" s="68"/>
      <c r="F50" s="67">
        <v>-3411.17646037356</v>
      </c>
      <c r="G50" s="67">
        <v>-1605.93656877101</v>
      </c>
      <c r="H50" s="68"/>
      <c r="I50" s="67">
        <v>-439.93735131711</v>
      </c>
      <c r="J50" s="67">
        <v>-687.276017474261</v>
      </c>
      <c r="K50" s="67">
        <v>-659.409574112808</v>
      </c>
      <c r="L50" s="67">
        <v>-810.117815483919</v>
      </c>
      <c r="M50" s="67">
        <v>-5196.50842157957</v>
      </c>
      <c r="N50" s="69"/>
      <c r="O50" s="21" t="s">
        <v>493</v>
      </c>
      <c r="P50" s="66"/>
      <c r="Q50" s="67">
        <v>3216.66634940513</v>
      </c>
      <c r="R50" s="68"/>
      <c r="S50" s="67">
        <v>4079.21379576108</v>
      </c>
      <c r="T50" s="67">
        <v>1615.01295169946</v>
      </c>
      <c r="U50" s="68"/>
      <c r="V50" s="67">
        <v>932.632945499082</v>
      </c>
      <c r="W50" s="67">
        <v>1561.30840887777</v>
      </c>
      <c r="X50" s="67">
        <v>2101.61385050251</v>
      </c>
      <c r="Y50" s="67">
        <v>3013.00066225165</v>
      </c>
      <c r="Z50" s="67">
        <v>8598.02958730158</v>
      </c>
      <c r="AD50" s="21" t="s">
        <v>493</v>
      </c>
      <c r="AE50" s="66"/>
      <c r="AF50" s="70">
        <v>0.082465</v>
      </c>
      <c r="AG50" s="68"/>
      <c r="AH50" s="70">
        <v>0.0872994</v>
      </c>
      <c r="AI50" s="70">
        <v>0.0490094</v>
      </c>
      <c r="AJ50" s="68"/>
      <c r="AK50" s="70">
        <v>0.0342167</v>
      </c>
      <c r="AL50" s="70">
        <v>0.0389905</v>
      </c>
      <c r="AM50" s="70">
        <v>0.038869</v>
      </c>
      <c r="AN50" s="70">
        <v>0.0416842</v>
      </c>
      <c r="AO50" s="70">
        <v>0.0998879</v>
      </c>
      <c r="AS50" s="21" t="s">
        <v>493</v>
      </c>
      <c r="AT50" s="66"/>
      <c r="AU50" s="71">
        <v>0.0428500197723602</v>
      </c>
      <c r="AV50" s="72"/>
      <c r="AW50" s="71">
        <v>0.0477551823832402</v>
      </c>
      <c r="AX50" s="71">
        <v>0.0289185542910921</v>
      </c>
      <c r="AY50" s="72"/>
      <c r="AZ50" s="71">
        <v>0.0248677780270041</v>
      </c>
      <c r="BA50" s="71">
        <v>0.0304186296112349</v>
      </c>
      <c r="BB50" s="71">
        <v>0.0329803832537239</v>
      </c>
      <c r="BC50" s="71">
        <v>0.0364060908310225</v>
      </c>
      <c r="BD50" s="71">
        <v>0.060614035060801</v>
      </c>
    </row>
    <row r="51" s="57" customFormat="1" ht="9" customHeight="1" spans="2:56">
      <c r="B51" s="73"/>
      <c r="C51" s="73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69"/>
      <c r="O51" s="73"/>
      <c r="P51" s="73"/>
      <c r="Q51" s="74"/>
      <c r="R51" s="74"/>
      <c r="S51" s="74"/>
      <c r="T51" s="74"/>
      <c r="U51" s="74"/>
      <c r="V51" s="74"/>
      <c r="W51" s="74"/>
      <c r="X51" s="74"/>
      <c r="Y51" s="74"/>
      <c r="Z51" s="74"/>
      <c r="AD51" s="73"/>
      <c r="AE51" s="73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S51" s="73"/>
      <c r="AT51" s="73"/>
      <c r="AU51" s="74"/>
      <c r="AV51" s="74"/>
      <c r="AW51" s="74"/>
      <c r="AX51" s="74"/>
      <c r="AY51" s="74"/>
      <c r="AZ51" s="74"/>
      <c r="BA51" s="74"/>
      <c r="BB51" s="74"/>
      <c r="BC51" s="74"/>
      <c r="BD51" s="74"/>
    </row>
    <row r="52" s="57" customFormat="1"/>
    <row r="54" ht="16.8" spans="2:56">
      <c r="M54" s="61" t="s">
        <v>12</v>
      </c>
      <c r="O54" s="21" t="s">
        <v>466</v>
      </c>
      <c r="AD54" s="21"/>
      <c r="AS54" s="21"/>
    </row>
    <row r="55" ht="16.8" spans="2:56">
      <c r="M55" s="61" t="s">
        <v>13</v>
      </c>
      <c r="O55" s="21" t="s">
        <v>468</v>
      </c>
      <c r="AD55" s="21"/>
      <c r="AS55" s="21"/>
    </row>
    <row r="56" ht="16.8" spans="2:56">
      <c r="M56" s="61" t="s">
        <v>14</v>
      </c>
      <c r="O56" s="21" t="s">
        <v>469</v>
      </c>
      <c r="AD56" s="21"/>
      <c r="AS56" s="21"/>
    </row>
    <row r="57" ht="16.8" spans="2:56">
      <c r="M57" s="61" t="s">
        <v>15</v>
      </c>
      <c r="O57" s="21" t="s">
        <v>470</v>
      </c>
      <c r="AD57" s="21"/>
      <c r="AS57" s="21"/>
    </row>
    <row r="58" ht="16.8" spans="2:56">
      <c r="M58" s="61" t="s">
        <v>16</v>
      </c>
      <c r="O58" s="21" t="s">
        <v>471</v>
      </c>
      <c r="AD58" s="21"/>
      <c r="AS58" s="21"/>
    </row>
    <row r="59" ht="16.8" spans="2:56">
      <c r="M59" s="61" t="s">
        <v>17</v>
      </c>
      <c r="O59" s="21" t="s">
        <v>473</v>
      </c>
      <c r="AD59" s="21"/>
      <c r="AS59" s="21"/>
    </row>
    <row r="60" ht="16.8" spans="2:56">
      <c r="M60" s="61" t="s">
        <v>18</v>
      </c>
      <c r="O60" s="21" t="s">
        <v>474</v>
      </c>
      <c r="AD60" s="21"/>
      <c r="AS60" s="21"/>
    </row>
    <row r="61" ht="16.8" spans="2:56">
      <c r="M61" s="61" t="s">
        <v>19</v>
      </c>
      <c r="O61" s="21" t="s">
        <v>475</v>
      </c>
      <c r="AD61" s="21"/>
      <c r="AS61" s="21"/>
    </row>
    <row r="62" ht="16.8" spans="2:56">
      <c r="M62" s="61" t="s">
        <v>20</v>
      </c>
      <c r="O62" s="21" t="s">
        <v>477</v>
      </c>
      <c r="AD62" s="21"/>
      <c r="AS62" s="21"/>
    </row>
    <row r="63" ht="16.8" spans="2:56">
      <c r="M63" s="61" t="s">
        <v>21</v>
      </c>
      <c r="O63" s="21" t="s">
        <v>479</v>
      </c>
      <c r="AD63" s="21"/>
      <c r="AS63" s="21"/>
    </row>
    <row r="64" ht="16.8" spans="2:56">
      <c r="M64" s="61" t="s">
        <v>22</v>
      </c>
      <c r="O64" s="21" t="s">
        <v>481</v>
      </c>
      <c r="AD64" s="21"/>
      <c r="AS64" s="21"/>
    </row>
    <row r="65" ht="16.8" spans="13:45">
      <c r="M65" s="61" t="s">
        <v>23</v>
      </c>
      <c r="O65" s="21" t="s">
        <v>482</v>
      </c>
      <c r="AD65" s="21"/>
      <c r="AS65" s="21"/>
    </row>
    <row r="66" ht="16.8" spans="13:45">
      <c r="M66" s="61" t="s">
        <v>24</v>
      </c>
      <c r="O66" s="21" t="s">
        <v>484</v>
      </c>
      <c r="AD66" s="21"/>
      <c r="AS66" s="21"/>
    </row>
    <row r="67" ht="16.8" spans="13:45">
      <c r="M67" s="61" t="s">
        <v>25</v>
      </c>
      <c r="O67" s="21" t="s">
        <v>485</v>
      </c>
      <c r="AD67" s="21"/>
      <c r="AS67" s="21"/>
    </row>
    <row r="68" ht="16.8" spans="13:45">
      <c r="M68" s="61" t="s">
        <v>26</v>
      </c>
      <c r="O68" s="21" t="s">
        <v>486</v>
      </c>
      <c r="AD68" s="21"/>
      <c r="AS68" s="21"/>
    </row>
    <row r="69" ht="16.8" spans="13:45">
      <c r="M69" s="61" t="s">
        <v>27</v>
      </c>
      <c r="O69" s="21" t="s">
        <v>487</v>
      </c>
      <c r="AD69" s="21"/>
      <c r="AS69" s="21"/>
    </row>
    <row r="70" ht="16.8" spans="13:45">
      <c r="M70" s="61" t="s">
        <v>28</v>
      </c>
      <c r="O70" s="21" t="s">
        <v>488</v>
      </c>
      <c r="AD70" s="21"/>
      <c r="AS70" s="21"/>
    </row>
    <row r="71" ht="16.8" spans="13:45">
      <c r="M71" s="61" t="s">
        <v>29</v>
      </c>
      <c r="O71" s="21" t="s">
        <v>490</v>
      </c>
      <c r="AD71" s="21"/>
      <c r="AS71" s="21"/>
    </row>
    <row r="72" ht="16.8" spans="13:45">
      <c r="M72" s="61" t="s">
        <v>30</v>
      </c>
      <c r="O72" s="21" t="s">
        <v>492</v>
      </c>
      <c r="AD72" s="21"/>
      <c r="AS72" s="21"/>
    </row>
    <row r="73" ht="16.8" spans="13:45">
      <c r="M73" s="61" t="s">
        <v>31</v>
      </c>
      <c r="O73" s="21" t="s">
        <v>493</v>
      </c>
      <c r="AD73" s="21"/>
      <c r="AS73" s="21"/>
    </row>
  </sheetData>
  <mergeCells count="32">
    <mergeCell ref="F2:G2"/>
    <mergeCell ref="I2:M2"/>
    <mergeCell ref="S2:T2"/>
    <mergeCell ref="V2:Z2"/>
    <mergeCell ref="AH2:AI2"/>
    <mergeCell ref="AK2:AO2"/>
    <mergeCell ref="AW2:AX2"/>
    <mergeCell ref="AZ2:BD2"/>
    <mergeCell ref="F28:G28"/>
    <mergeCell ref="I28:M28"/>
    <mergeCell ref="S28:T28"/>
    <mergeCell ref="V28:Z28"/>
    <mergeCell ref="AH28:AI28"/>
    <mergeCell ref="AK28:AO28"/>
    <mergeCell ref="AW28:AX28"/>
    <mergeCell ref="AZ28:BD28"/>
    <mergeCell ref="B2:B3"/>
    <mergeCell ref="B28:B29"/>
    <mergeCell ref="D2:D3"/>
    <mergeCell ref="D28:D29"/>
    <mergeCell ref="O2:O3"/>
    <mergeCell ref="O28:O29"/>
    <mergeCell ref="Q2:Q3"/>
    <mergeCell ref="Q28:Q29"/>
    <mergeCell ref="AD2:AD3"/>
    <mergeCell ref="AD28:AD29"/>
    <mergeCell ref="AF2:AF3"/>
    <mergeCell ref="AF28:AF29"/>
    <mergeCell ref="AS2:AS3"/>
    <mergeCell ref="AS28:AS29"/>
    <mergeCell ref="AU2:AU3"/>
    <mergeCell ref="AU28:AU29"/>
  </mergeCells>
  <conditionalFormatting sqref="Q3:R3">
    <cfRule type="cellIs" dxfId="0" priority="23" operator="equal">
      <formula>0</formula>
    </cfRule>
  </conditionalFormatting>
  <conditionalFormatting sqref="AD3:AE3">
    <cfRule type="cellIs" dxfId="0" priority="18" operator="equal">
      <formula>0</formula>
    </cfRule>
  </conditionalFormatting>
  <conditionalFormatting sqref="AF3:AG3">
    <cfRule type="cellIs" dxfId="0" priority="13" operator="equal">
      <formula>0</formula>
    </cfRule>
  </conditionalFormatting>
  <conditionalFormatting sqref="AH3:AO3">
    <cfRule type="cellIs" dxfId="0" priority="14" operator="equal">
      <formula>0</formula>
    </cfRule>
  </conditionalFormatting>
  <conditionalFormatting sqref="AS3:AT3">
    <cfRule type="cellIs" dxfId="0" priority="16" operator="equal">
      <formula>0</formula>
    </cfRule>
  </conditionalFormatting>
  <conditionalFormatting sqref="AU3:AV3">
    <cfRule type="cellIs" dxfId="0" priority="11" operator="equal">
      <formula>0</formula>
    </cfRule>
  </conditionalFormatting>
  <conditionalFormatting sqref="AW3:BD3">
    <cfRule type="cellIs" dxfId="0" priority="12" operator="equal">
      <formula>0</formula>
    </cfRule>
  </conditionalFormatting>
  <conditionalFormatting sqref="AD25">
    <cfRule type="cellIs" dxfId="0" priority="65" operator="equal">
      <formula>0</formula>
    </cfRule>
  </conditionalFormatting>
  <conditionalFormatting sqref="AE25">
    <cfRule type="cellIs" dxfId="0" priority="82" operator="equal">
      <formula>0</formula>
    </cfRule>
  </conditionalFormatting>
  <conditionalFormatting sqref="AF25">
    <cfRule type="cellIs" dxfId="0" priority="83" operator="equal">
      <formula>0</formula>
    </cfRule>
  </conditionalFormatting>
  <conditionalFormatting sqref="AS25">
    <cfRule type="cellIs" dxfId="0" priority="34" operator="equal">
      <formula>0</formula>
    </cfRule>
  </conditionalFormatting>
  <conditionalFormatting sqref="AT25">
    <cfRule type="cellIs" dxfId="0" priority="49" operator="equal">
      <formula>0</formula>
    </cfRule>
  </conditionalFormatting>
  <conditionalFormatting sqref="AU25">
    <cfRule type="cellIs" dxfId="0" priority="50" operator="equal">
      <formula>0</formula>
    </cfRule>
  </conditionalFormatting>
  <conditionalFormatting sqref="D29:E29">
    <cfRule type="cellIs" dxfId="0" priority="21" operator="equal">
      <formula>0</formula>
    </cfRule>
  </conditionalFormatting>
  <conditionalFormatting sqref="Q29:R29">
    <cfRule type="cellIs" dxfId="0" priority="19" operator="equal">
      <formula>0</formula>
    </cfRule>
  </conditionalFormatting>
  <conditionalFormatting sqref="AD29:AE29">
    <cfRule type="cellIs" dxfId="0" priority="6" operator="equal">
      <formula>0</formula>
    </cfRule>
  </conditionalFormatting>
  <conditionalFormatting sqref="AF29:AG29">
    <cfRule type="cellIs" dxfId="0" priority="3" operator="equal">
      <formula>0</formula>
    </cfRule>
  </conditionalFormatting>
  <conditionalFormatting sqref="AH29:AO29">
    <cfRule type="cellIs" dxfId="0" priority="4" operator="equal">
      <formula>0</formula>
    </cfRule>
  </conditionalFormatting>
  <conditionalFormatting sqref="AS29:AT29">
    <cfRule type="cellIs" dxfId="0" priority="5" operator="equal">
      <formula>0</formula>
    </cfRule>
  </conditionalFormatting>
  <conditionalFormatting sqref="AU29:AV29">
    <cfRule type="cellIs" dxfId="0" priority="1" operator="equal">
      <formula>0</formula>
    </cfRule>
  </conditionalFormatting>
  <conditionalFormatting sqref="AW29:BD29">
    <cfRule type="cellIs" dxfId="0" priority="2" operator="equal">
      <formula>0</formula>
    </cfRule>
  </conditionalFormatting>
  <conditionalFormatting sqref="N30">
    <cfRule type="cellIs" dxfId="0" priority="140" operator="equal">
      <formula>0</formula>
    </cfRule>
  </conditionalFormatting>
  <conditionalFormatting sqref="AE30">
    <cfRule type="cellIs" dxfId="0" priority="93" operator="equal">
      <formula>0</formula>
    </cfRule>
  </conditionalFormatting>
  <conditionalFormatting sqref="AF30">
    <cfRule type="cellIs" dxfId="0" priority="95" operator="equal">
      <formula>0</formula>
    </cfRule>
  </conditionalFormatting>
  <conditionalFormatting sqref="AT30">
    <cfRule type="cellIs" dxfId="0" priority="57" operator="equal">
      <formula>0</formula>
    </cfRule>
  </conditionalFormatting>
  <conditionalFormatting sqref="AU30">
    <cfRule type="cellIs" dxfId="0" priority="59" operator="equal">
      <formula>0</formula>
    </cfRule>
  </conditionalFormatting>
  <conditionalFormatting sqref="AD51">
    <cfRule type="cellIs" dxfId="0" priority="64" operator="equal">
      <formula>0</formula>
    </cfRule>
  </conditionalFormatting>
  <conditionalFormatting sqref="AE51">
    <cfRule type="cellIs" dxfId="0" priority="79" operator="equal">
      <formula>0</formula>
    </cfRule>
  </conditionalFormatting>
  <conditionalFormatting sqref="AF51">
    <cfRule type="cellIs" dxfId="0" priority="80" operator="equal">
      <formula>0</formula>
    </cfRule>
  </conditionalFormatting>
  <conditionalFormatting sqref="AS51">
    <cfRule type="cellIs" dxfId="0" priority="33" operator="equal">
      <formula>0</formula>
    </cfRule>
  </conditionalFormatting>
  <conditionalFormatting sqref="AT51">
    <cfRule type="cellIs" dxfId="0" priority="46" operator="equal">
      <formula>0</formula>
    </cfRule>
  </conditionalFormatting>
  <conditionalFormatting sqref="AU51">
    <cfRule type="cellIs" dxfId="0" priority="47" operator="equal">
      <formula>0</formula>
    </cfRule>
  </conditionalFormatting>
  <conditionalFormatting sqref="B5:B24">
    <cfRule type="cellIs" dxfId="0" priority="112" operator="equal">
      <formula>0</formula>
    </cfRule>
  </conditionalFormatting>
  <conditionalFormatting sqref="O5:O24">
    <cfRule type="cellIs" dxfId="0" priority="113" operator="equal">
      <formula>0</formula>
    </cfRule>
  </conditionalFormatting>
  <conditionalFormatting sqref="O31:O50">
    <cfRule type="cellIs" dxfId="0" priority="114" operator="equal">
      <formula>0</formula>
    </cfRule>
  </conditionalFormatting>
  <conditionalFormatting sqref="O54:O73">
    <cfRule type="cellIs" dxfId="0" priority="111" operator="equal">
      <formula>0</formula>
    </cfRule>
  </conditionalFormatting>
  <conditionalFormatting sqref="P31:P50">
    <cfRule type="cellIs" dxfId="0" priority="115" operator="equal">
      <formula>0</formula>
    </cfRule>
  </conditionalFormatting>
  <conditionalFormatting sqref="AD5:AD24">
    <cfRule type="cellIs" dxfId="0" priority="62" operator="equal">
      <formula>0</formula>
    </cfRule>
  </conditionalFormatting>
  <conditionalFormatting sqref="AD31:AD50">
    <cfRule type="cellIs" dxfId="0" priority="63" operator="equal">
      <formula>0</formula>
    </cfRule>
  </conditionalFormatting>
  <conditionalFormatting sqref="AD54:AD73">
    <cfRule type="cellIs" dxfId="0" priority="61" operator="equal">
      <formula>0</formula>
    </cfRule>
  </conditionalFormatting>
  <conditionalFormatting sqref="AE4:AE24">
    <cfRule type="cellIs" dxfId="0" priority="94" operator="equal">
      <formula>0</formula>
    </cfRule>
  </conditionalFormatting>
  <conditionalFormatting sqref="AE31:AE50">
    <cfRule type="cellIs" dxfId="0" priority="92" operator="equal">
      <formula>0</formula>
    </cfRule>
  </conditionalFormatting>
  <conditionalFormatting sqref="AF4:AF24">
    <cfRule type="cellIs" dxfId="0" priority="96" operator="equal">
      <formula>0</formula>
    </cfRule>
  </conditionalFormatting>
  <conditionalFormatting sqref="AF31:AF50">
    <cfRule type="cellIs" dxfId="0" priority="72" operator="equal">
      <formula>0</formula>
    </cfRule>
  </conditionalFormatting>
  <conditionalFormatting sqref="AG31:AG50">
    <cfRule type="cellIs" dxfId="0" priority="71" operator="equal">
      <formula>0</formula>
    </cfRule>
  </conditionalFormatting>
  <conditionalFormatting sqref="AJ31:AJ50">
    <cfRule type="cellIs" dxfId="0" priority="70" operator="equal">
      <formula>0</formula>
    </cfRule>
  </conditionalFormatting>
  <conditionalFormatting sqref="AS5:AS24">
    <cfRule type="cellIs" dxfId="0" priority="31" operator="equal">
      <formula>0</formula>
    </cfRule>
  </conditionalFormatting>
  <conditionalFormatting sqref="AS31:AS50">
    <cfRule type="cellIs" dxfId="0" priority="32" operator="equal">
      <formula>0</formula>
    </cfRule>
  </conditionalFormatting>
  <conditionalFormatting sqref="AS54:AS73">
    <cfRule type="cellIs" dxfId="0" priority="30" operator="equal">
      <formula>0</formula>
    </cfRule>
  </conditionalFormatting>
  <conditionalFormatting sqref="AT31:AT50">
    <cfRule type="cellIs" dxfId="0" priority="56" operator="equal">
      <formula>0</formula>
    </cfRule>
  </conditionalFormatting>
  <conditionalFormatting sqref="AU4:AU24">
    <cfRule type="cellIs" dxfId="0" priority="60" operator="equal">
      <formula>0</formula>
    </cfRule>
  </conditionalFormatting>
  <conditionalFormatting sqref="AU31:AU50">
    <cfRule type="cellIs" dxfId="0" priority="29" operator="equal">
      <formula>0</formula>
    </cfRule>
  </conditionalFormatting>
  <conditionalFormatting sqref="AV31:AV50">
    <cfRule type="cellIs" dxfId="0" priority="28" operator="equal">
      <formula>0</formula>
    </cfRule>
  </conditionalFormatting>
  <conditionalFormatting sqref="AY31:AY50">
    <cfRule type="cellIs" dxfId="0" priority="27" operator="equal">
      <formula>0</formula>
    </cfRule>
  </conditionalFormatting>
  <conditionalFormatting sqref="B3:C4 F3:N25 B25:C25 C5:C24">
    <cfRule type="cellIs" dxfId="0" priority="142" operator="equal">
      <formula>0</formula>
    </cfRule>
  </conditionalFormatting>
  <conditionalFormatting sqref="D3:E25">
    <cfRule type="cellIs" dxfId="0" priority="138" operator="equal">
      <formula>0</formula>
    </cfRule>
  </conditionalFormatting>
  <conditionalFormatting sqref="O3:P3 S3:Z3">
    <cfRule type="cellIs" dxfId="0" priority="24" operator="equal">
      <formula>0</formula>
    </cfRule>
  </conditionalFormatting>
  <conditionalFormatting sqref="N31:N51 AD4 AG4:AG25 AJ4:AJ25 AT4:AT24 AV4:AV25 AY4:AY25 AS4 AD30 AS30">
    <cfRule type="cellIs" dxfId="0" priority="139" operator="equal">
      <formula>0</formula>
    </cfRule>
  </conditionalFormatting>
  <conditionalFormatting sqref="O4:P4 O25:P25 P5:P24">
    <cfRule type="cellIs" dxfId="0" priority="117" operator="equal">
      <formula>0</formula>
    </cfRule>
  </conditionalFormatting>
  <conditionalFormatting sqref="Q4:R25">
    <cfRule type="cellIs" dxfId="0" priority="125" operator="equal">
      <formula>0</formula>
    </cfRule>
  </conditionalFormatting>
  <conditionalFormatting sqref="S4:Z25">
    <cfRule type="cellIs" dxfId="0" priority="126" operator="equal">
      <formula>0</formula>
    </cfRule>
  </conditionalFormatting>
  <conditionalFormatting sqref="AH5:AI24">
    <cfRule type="cellIs" dxfId="0" priority="74" operator="equal">
      <formula>0</formula>
    </cfRule>
  </conditionalFormatting>
  <conditionalFormatting sqref="AK5:AO24">
    <cfRule type="cellIs" dxfId="0" priority="73" operator="equal">
      <formula>0</formula>
    </cfRule>
  </conditionalFormatting>
  <conditionalFormatting sqref="AW5:AX24">
    <cfRule type="cellIs" dxfId="0" priority="41" operator="equal">
      <formula>0</formula>
    </cfRule>
  </conditionalFormatting>
  <conditionalFormatting sqref="AZ5:BD24">
    <cfRule type="cellIs" dxfId="0" priority="40" operator="equal">
      <formula>0</formula>
    </cfRule>
  </conditionalFormatting>
  <conditionalFormatting sqref="AH25:AI25 AK25:AO25">
    <cfRule type="cellIs" dxfId="0" priority="84" operator="equal">
      <formula>0</formula>
    </cfRule>
  </conditionalFormatting>
  <conditionalFormatting sqref="AW25:AX25 AZ25:BD25">
    <cfRule type="cellIs" dxfId="0" priority="51" operator="equal">
      <formula>0</formula>
    </cfRule>
  </conditionalFormatting>
  <conditionalFormatting sqref="B29:C29 F29:N29">
    <cfRule type="cellIs" dxfId="0" priority="22" operator="equal">
      <formula>0</formula>
    </cfRule>
  </conditionalFormatting>
  <conditionalFormatting sqref="O29:P29 S29:Z29">
    <cfRule type="cellIs" dxfId="0" priority="20" operator="equal">
      <formula>0</formula>
    </cfRule>
  </conditionalFormatting>
  <conditionalFormatting sqref="B30:C30 F30:M51 B51:C51">
    <cfRule type="cellIs" dxfId="0" priority="124" operator="equal">
      <formula>0</formula>
    </cfRule>
  </conditionalFormatting>
  <conditionalFormatting sqref="D30:E51">
    <cfRule type="cellIs" dxfId="0" priority="123" operator="equal">
      <formula>0</formula>
    </cfRule>
  </conditionalFormatting>
  <conditionalFormatting sqref="O30:P30 O51:P51">
    <cfRule type="cellIs" dxfId="0" priority="116" operator="equal">
      <formula>0</formula>
    </cfRule>
  </conditionalFormatting>
  <conditionalFormatting sqref="Q30:R51">
    <cfRule type="cellIs" dxfId="0" priority="121" operator="equal">
      <formula>0</formula>
    </cfRule>
  </conditionalFormatting>
  <conditionalFormatting sqref="S30:Z51">
    <cfRule type="cellIs" dxfId="0" priority="122" operator="equal">
      <formula>0</formula>
    </cfRule>
  </conditionalFormatting>
  <conditionalFormatting sqref="AG30 AG51">
    <cfRule type="cellIs" dxfId="0" priority="77" operator="equal">
      <formula>0</formula>
    </cfRule>
  </conditionalFormatting>
  <conditionalFormatting sqref="AJ30 AJ51">
    <cfRule type="cellIs" dxfId="0" priority="75" operator="equal">
      <formula>0</formula>
    </cfRule>
  </conditionalFormatting>
  <conditionalFormatting sqref="AV30 AV51">
    <cfRule type="cellIs" dxfId="0" priority="44" operator="equal">
      <formula>0</formula>
    </cfRule>
  </conditionalFormatting>
  <conditionalFormatting sqref="AY30 AY51">
    <cfRule type="cellIs" dxfId="0" priority="42" operator="equal">
      <formula>0</formula>
    </cfRule>
  </conditionalFormatting>
  <conditionalFormatting sqref="B31:C50">
    <cfRule type="cellIs" dxfId="0" priority="119" operator="equal">
      <formula>0</formula>
    </cfRule>
  </conditionalFormatting>
  <conditionalFormatting sqref="AH31:AI50">
    <cfRule type="cellIs" dxfId="0" priority="69" operator="equal">
      <formula>0</formula>
    </cfRule>
  </conditionalFormatting>
  <conditionalFormatting sqref="AK31:AO50">
    <cfRule type="cellIs" dxfId="0" priority="68" operator="equal">
      <formula>0</formula>
    </cfRule>
  </conditionalFormatting>
  <conditionalFormatting sqref="AW31:AX50">
    <cfRule type="cellIs" dxfId="0" priority="26" operator="equal">
      <formula>0</formula>
    </cfRule>
  </conditionalFormatting>
  <conditionalFormatting sqref="AZ31:BD50">
    <cfRule type="cellIs" dxfId="0" priority="25" operator="equal">
      <formula>0</formula>
    </cfRule>
  </conditionalFormatting>
  <conditionalFormatting sqref="AH51:AI51 AK51:AO51">
    <cfRule type="cellIs" dxfId="0" priority="81" operator="equal">
      <formula>0</formula>
    </cfRule>
  </conditionalFormatting>
  <conditionalFormatting sqref="AW51:AX51 AZ51:BD51">
    <cfRule type="cellIs" dxfId="0" priority="48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25"/>
  <sheetViews>
    <sheetView zoomScale="60" zoomScaleNormal="60" topLeftCell="A3" workbookViewId="0">
      <selection activeCell="O2" sqref="O2:Z25"/>
    </sheetView>
  </sheetViews>
  <sheetFormatPr defaultColWidth="11" defaultRowHeight="14.4"/>
  <cols>
    <col min="1" max="1" width="4.71296296296296" style="2" customWidth="1"/>
    <col min="2" max="2" width="61.712962962963" style="3" customWidth="1"/>
    <col min="3" max="3" width="1.71296296296296" style="2" customWidth="1"/>
    <col min="4" max="4" width="11.712962962963" style="3" customWidth="1"/>
    <col min="5" max="5" width="1.71296296296296" style="2" customWidth="1"/>
    <col min="6" max="7" width="11.712962962963" style="3" customWidth="1"/>
    <col min="8" max="8" width="1.71296296296296" style="2" customWidth="1"/>
    <col min="9" max="13" width="11.712962962963" style="3" customWidth="1"/>
    <col min="14" max="14" width="4.71296296296296" style="2" customWidth="1"/>
    <col min="15" max="15" width="61.712962962963" style="3" customWidth="1"/>
    <col min="16" max="16" width="1.71296296296296" style="2" customWidth="1"/>
    <col min="17" max="17" width="11.712962962963" style="3" customWidth="1"/>
    <col min="18" max="18" width="1.71296296296296" style="2" customWidth="1"/>
    <col min="19" max="20" width="11.712962962963" style="3" customWidth="1"/>
    <col min="21" max="21" width="1.71296296296296" style="2" customWidth="1"/>
    <col min="22" max="26" width="11.712962962963" style="3" customWidth="1"/>
    <col min="27" max="27" width="4.71296296296296" style="2" customWidth="1"/>
  </cols>
  <sheetData>
    <row r="1" ht="15.15" spans="1:54">
      <c r="B1" s="2"/>
      <c r="D1" s="2"/>
      <c r="F1" s="2"/>
      <c r="G1" s="2"/>
      <c r="I1" s="2"/>
      <c r="J1" s="2"/>
      <c r="K1" s="2"/>
      <c r="L1" s="2"/>
      <c r="M1" s="2"/>
      <c r="O1" s="2"/>
      <c r="Q1" s="2"/>
      <c r="S1" s="2"/>
      <c r="T1" s="2"/>
      <c r="V1" s="2"/>
      <c r="W1" s="2"/>
      <c r="X1" s="2"/>
      <c r="Y1" s="2"/>
      <c r="Z1" s="2"/>
    </row>
    <row r="2" s="1" customFormat="1" ht="27" customHeight="1" spans="1:54">
      <c r="A2" s="4"/>
      <c r="B2" s="5" t="s">
        <v>507</v>
      </c>
      <c r="C2" s="6"/>
      <c r="D2" s="5" t="s">
        <v>271</v>
      </c>
      <c r="E2" s="6"/>
      <c r="F2" s="7" t="s">
        <v>463</v>
      </c>
      <c r="G2" s="7"/>
      <c r="H2" s="6"/>
      <c r="I2" s="7" t="s">
        <v>464</v>
      </c>
      <c r="J2" s="7"/>
      <c r="K2" s="7"/>
      <c r="L2" s="7"/>
      <c r="M2" s="7"/>
      <c r="N2" s="8"/>
      <c r="O2" s="5" t="s">
        <v>508</v>
      </c>
      <c r="P2" s="9"/>
      <c r="Q2" s="5" t="s">
        <v>271</v>
      </c>
      <c r="R2" s="6"/>
      <c r="S2" s="7" t="s">
        <v>463</v>
      </c>
      <c r="T2" s="7"/>
      <c r="U2" s="6"/>
      <c r="V2" s="7" t="s">
        <v>464</v>
      </c>
      <c r="W2" s="7"/>
      <c r="X2" s="7"/>
      <c r="Y2" s="7"/>
      <c r="Z2" s="7"/>
      <c r="AA2" s="4"/>
      <c r="AB2" s="4"/>
      <c r="AG2" s="4"/>
      <c r="AI2" s="4"/>
      <c r="AL2" s="4"/>
      <c r="AO2" s="8"/>
      <c r="AR2" s="4"/>
      <c r="AW2" s="4"/>
      <c r="BB2" s="8"/>
    </row>
    <row r="3" s="1" customFormat="1" ht="27" customHeight="1" spans="1:54">
      <c r="A3" s="4"/>
      <c r="B3" s="10"/>
      <c r="C3" s="11"/>
      <c r="D3" s="10"/>
      <c r="E3" s="11"/>
      <c r="F3" s="12" t="s">
        <v>461</v>
      </c>
      <c r="G3" s="12" t="s">
        <v>462</v>
      </c>
      <c r="H3" s="11"/>
      <c r="I3" s="12" t="s">
        <v>3</v>
      </c>
      <c r="J3" s="12" t="s">
        <v>4</v>
      </c>
      <c r="K3" s="12" t="s">
        <v>5</v>
      </c>
      <c r="L3" s="12" t="s">
        <v>6</v>
      </c>
      <c r="M3" s="12" t="s">
        <v>7</v>
      </c>
      <c r="N3" s="8"/>
      <c r="O3" s="10"/>
      <c r="P3" s="13"/>
      <c r="Q3" s="10"/>
      <c r="R3" s="11"/>
      <c r="S3" s="12" t="s">
        <v>461</v>
      </c>
      <c r="T3" s="12" t="s">
        <v>462</v>
      </c>
      <c r="U3" s="11"/>
      <c r="V3" s="12" t="s">
        <v>3</v>
      </c>
      <c r="W3" s="12" t="s">
        <v>4</v>
      </c>
      <c r="X3" s="12" t="s">
        <v>5</v>
      </c>
      <c r="Y3" s="12" t="s">
        <v>6</v>
      </c>
      <c r="Z3" s="12" t="s">
        <v>7</v>
      </c>
      <c r="AA3" s="4"/>
      <c r="AB3" s="4"/>
      <c r="AG3" s="4"/>
      <c r="AI3" s="4"/>
      <c r="AL3" s="4"/>
      <c r="AO3" s="8"/>
      <c r="AR3" s="4"/>
      <c r="AW3" s="4"/>
      <c r="BB3" s="8"/>
    </row>
    <row r="4" ht="9" customHeight="1" spans="1:5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4"/>
    </row>
    <row r="5" ht="24" customHeight="1" spans="1:54">
      <c r="A5" s="16"/>
      <c r="B5" s="17" t="s">
        <v>466</v>
      </c>
      <c r="C5" s="8"/>
      <c r="D5" s="18">
        <f>'article 1-A'!D30/'article 1-A'!D5-1</f>
        <v>-0.352819302870726</v>
      </c>
      <c r="E5" s="19"/>
      <c r="F5" s="20">
        <f>'article 1-A'!F30/'article 1-A'!F5-1</f>
        <v>-0.273327557379865</v>
      </c>
      <c r="G5" s="20">
        <f>'article 1-A'!G30/'article 1-A'!G5-1</f>
        <v>-0.205333932973922</v>
      </c>
      <c r="H5" s="19"/>
      <c r="I5" s="20">
        <f>'article 1-A'!I30/'article 1-A'!I5-1</f>
        <v>-0.0484703536845742</v>
      </c>
      <c r="J5" s="20">
        <f>'article 1-A'!J30/'article 1-A'!J5-1</f>
        <v>-0.0829221942606243</v>
      </c>
      <c r="K5" s="20">
        <f>'article 1-A'!K30/'article 1-A'!K5-1</f>
        <v>0.220911376449068</v>
      </c>
      <c r="L5" s="20">
        <f>'article 1-A'!L30/'article 1-A'!L5-1</f>
        <v>-0.102578916942618</v>
      </c>
      <c r="M5" s="20">
        <f>'article 1-A'!M30/'article 1-A'!M5-1</f>
        <v>-0.11088209881667</v>
      </c>
      <c r="N5" s="8"/>
      <c r="O5" s="17" t="s">
        <v>466</v>
      </c>
      <c r="P5" s="8"/>
      <c r="Q5" s="18">
        <f>'article 1-A'!Q30/'article 1-A'!Q5-1</f>
        <v>-0.333807531200404</v>
      </c>
      <c r="R5" s="19"/>
      <c r="S5" s="20">
        <f>'article 1-A'!S30/'article 1-A'!S5-1</f>
        <v>-0.264374372343676</v>
      </c>
      <c r="T5" s="20">
        <f>'article 1-A'!T30/'article 1-A'!T5-1</f>
        <v>-0.175540060172839</v>
      </c>
      <c r="U5" s="19"/>
      <c r="V5" s="20">
        <f>'article 1-A'!V30/'article 1-A'!V5-1</f>
        <v>-0.0446791883883255</v>
      </c>
      <c r="W5" s="20">
        <f>'article 1-A'!W30/'article 1-A'!W5-1</f>
        <v>-0.0649743481230458</v>
      </c>
      <c r="X5" s="20">
        <f>'article 1-A'!X30/'article 1-A'!X5-1</f>
        <v>0.143471215159961</v>
      </c>
      <c r="Y5" s="20">
        <f>'article 1-A'!Y30/'article 1-A'!Y5-1</f>
        <v>-0.0984061006169421</v>
      </c>
      <c r="Z5" s="20">
        <f>'article 1-A'!Z30/'article 1-A'!Z5-1</f>
        <v>-0.0601201105856541</v>
      </c>
      <c r="AA5" s="16"/>
    </row>
    <row r="6" ht="24" customHeight="1" spans="1:54">
      <c r="A6" s="16"/>
      <c r="B6" s="17" t="s">
        <v>468</v>
      </c>
      <c r="C6" s="8"/>
      <c r="D6" s="18">
        <f>'article 1-A'!D31/'article 1-A'!D6-1</f>
        <v>0.0674274592303961</v>
      </c>
      <c r="E6" s="19"/>
      <c r="F6" s="20">
        <f>'article 1-A'!F31/'article 1-A'!F6-1</f>
        <v>0.145917671422635</v>
      </c>
      <c r="G6" s="20">
        <f>'article 1-A'!G31/'article 1-A'!G6-1</f>
        <v>-0.0333782606922238</v>
      </c>
      <c r="H6" s="19"/>
      <c r="I6" s="20">
        <f>'article 1-A'!I31/'article 1-A'!I6-1</f>
        <v>-0.147334128229162</v>
      </c>
      <c r="J6" s="20">
        <f>'article 1-A'!J31/'article 1-A'!J6-1</f>
        <v>-0.0732645931792937</v>
      </c>
      <c r="K6" s="20">
        <f>'article 1-A'!K31/'article 1-A'!K6-1</f>
        <v>-0.0836682254605327</v>
      </c>
      <c r="L6" s="20">
        <f>'article 1-A'!L31/'article 1-A'!L6-1</f>
        <v>0.166570497219449</v>
      </c>
      <c r="M6" s="20">
        <f>'article 1-A'!M31/'article 1-A'!M6-1</f>
        <v>0.109854001521886</v>
      </c>
      <c r="N6" s="8"/>
      <c r="O6" s="17" t="s">
        <v>468</v>
      </c>
      <c r="P6" s="8"/>
      <c r="Q6" s="18">
        <f>'article 1-A'!Q31/'article 1-A'!Q6-1</f>
        <v>0.0611303765137687</v>
      </c>
      <c r="R6" s="19"/>
      <c r="S6" s="20">
        <f>'article 1-A'!S31/'article 1-A'!S6-1</f>
        <v>0.166497072899156</v>
      </c>
      <c r="T6" s="20">
        <f>'article 1-A'!T31/'article 1-A'!T6-1</f>
        <v>-0.0999828427171768</v>
      </c>
      <c r="U6" s="19"/>
      <c r="V6" s="20">
        <f>'article 1-A'!V31/'article 1-A'!V6-1</f>
        <v>-0.142065101604227</v>
      </c>
      <c r="W6" s="20">
        <f>'article 1-A'!W31/'article 1-A'!W6-1</f>
        <v>-0.0178304574807947</v>
      </c>
      <c r="X6" s="20">
        <f>'article 1-A'!X31/'article 1-A'!X6-1</f>
        <v>-0.268874423341555</v>
      </c>
      <c r="Y6" s="20">
        <f>'article 1-A'!Y31/'article 1-A'!Y6-1</f>
        <v>0.000472452092922016</v>
      </c>
      <c r="Z6" s="20">
        <f>'article 1-A'!Z31/'article 1-A'!Z6-1</f>
        <v>3.4574247241538</v>
      </c>
      <c r="AA6" s="16"/>
    </row>
    <row r="7" ht="24" customHeight="1" spans="1:54">
      <c r="A7" s="16"/>
      <c r="B7" s="17" t="s">
        <v>469</v>
      </c>
      <c r="C7" s="8"/>
      <c r="D7" s="18">
        <f>'article 1-A'!D32/'article 1-A'!D7-1</f>
        <v>-0.664569402537325</v>
      </c>
      <c r="E7" s="19"/>
      <c r="F7" s="20">
        <f>'article 1-A'!F32/'article 1-A'!F7-1</f>
        <v>-0.577737381710979</v>
      </c>
      <c r="G7" s="20">
        <f>'article 1-A'!G32/'article 1-A'!G7-1</f>
        <v>-0.0631128940199942</v>
      </c>
      <c r="H7" s="19"/>
      <c r="I7" s="20">
        <f>'article 1-A'!I32/'article 1-A'!I7-1</f>
        <v>-0.21747412084156</v>
      </c>
      <c r="J7" s="20">
        <f>'article 1-A'!J32/'article 1-A'!J7-1</f>
        <v>0.00759461061560818</v>
      </c>
      <c r="K7" s="20">
        <f>'article 1-A'!K32/'article 1-A'!K7-1</f>
        <v>-0.0767396225039271</v>
      </c>
      <c r="L7" s="20">
        <f>'article 1-A'!L32/'article 1-A'!L7-1</f>
        <v>-0.0402787058991328</v>
      </c>
      <c r="M7" s="20">
        <f>'article 1-A'!M32/'article 1-A'!M7-1</f>
        <v>-0.0600668488917731</v>
      </c>
      <c r="N7" s="8"/>
      <c r="O7" s="17" t="s">
        <v>469</v>
      </c>
      <c r="P7" s="8"/>
      <c r="Q7" s="18">
        <f>'article 1-A'!Q32/'article 1-A'!Q7-1</f>
        <v>0.0323334257019321</v>
      </c>
      <c r="R7" s="19"/>
      <c r="S7" s="20">
        <f>'article 1-A'!S32/'article 1-A'!S7-1</f>
        <v>1.05868891837873</v>
      </c>
      <c r="T7" s="20">
        <f>'article 1-A'!T32/'article 1-A'!T7-1</f>
        <v>-0.163577473099747</v>
      </c>
      <c r="U7" s="19"/>
      <c r="V7" s="20">
        <f>'article 1-A'!V32/'article 1-A'!V7-1</f>
        <v>-0.271545835335659</v>
      </c>
      <c r="W7" s="20">
        <f>'article 1-A'!W32/'article 1-A'!W7-1</f>
        <v>0.273911936803899</v>
      </c>
      <c r="X7" s="20">
        <f>'article 1-A'!X32/'article 1-A'!X7-1</f>
        <v>-0.404332286597483</v>
      </c>
      <c r="Y7" s="20">
        <f>'article 1-A'!Y32/'article 1-A'!Y7-1</f>
        <v>-0.0815378476972198</v>
      </c>
      <c r="Z7" s="20">
        <f>'article 1-A'!Z32/'article 1-A'!Z7-1</f>
        <v>-0.495549527689766</v>
      </c>
      <c r="AA7" s="16"/>
    </row>
    <row r="8" ht="24" customHeight="1" spans="1:54">
      <c r="A8" s="16"/>
      <c r="B8" s="17" t="s">
        <v>470</v>
      </c>
      <c r="C8" s="8"/>
      <c r="D8" s="18">
        <f>'article 1-A'!D33/'article 1-A'!D8-1</f>
        <v>0.120993885991701</v>
      </c>
      <c r="E8" s="19"/>
      <c r="F8" s="20">
        <f>'article 1-A'!F33/'article 1-A'!F8-1</f>
        <v>0.116254673351313</v>
      </c>
      <c r="G8" s="20">
        <f>'article 1-A'!G33/'article 1-A'!G8-1</f>
        <v>0.0221790011742671</v>
      </c>
      <c r="H8" s="19"/>
      <c r="I8" s="20">
        <f>'article 1-A'!I33/'article 1-A'!I8-1</f>
        <v>-0.00519579654592406</v>
      </c>
      <c r="J8" s="20">
        <f>'article 1-A'!J33/'article 1-A'!J8-1</f>
        <v>-0.0620104680849157</v>
      </c>
      <c r="K8" s="20">
        <f>'article 1-A'!K33/'article 1-A'!K8-1</f>
        <v>0.428379735767563</v>
      </c>
      <c r="L8" s="20">
        <f>'article 1-A'!L33/'article 1-A'!L8-1</f>
        <v>-0.0297135862827184</v>
      </c>
      <c r="M8" s="20">
        <f>'article 1-A'!M33/'article 1-A'!M8-1</f>
        <v>0.583980225897166</v>
      </c>
      <c r="N8" s="8"/>
      <c r="O8" s="17" t="s">
        <v>470</v>
      </c>
      <c r="P8" s="8"/>
      <c r="Q8" s="18">
        <f>'article 1-A'!Q33/'article 1-A'!Q8-1</f>
        <v>0.092666728649115</v>
      </c>
      <c r="R8" s="19"/>
      <c r="S8" s="20">
        <f>'article 1-A'!S33/'article 1-A'!S8-1</f>
        <v>0.0973608429501562</v>
      </c>
      <c r="T8" s="20">
        <f>'article 1-A'!T33/'article 1-A'!T8-1</f>
        <v>0.0079948156429297</v>
      </c>
      <c r="U8" s="19"/>
      <c r="V8" s="20">
        <f>'article 1-A'!V33/'article 1-A'!V8-1</f>
        <v>-0.00576663699657598</v>
      </c>
      <c r="W8" s="20">
        <f>'article 1-A'!W33/'article 1-A'!W8-1</f>
        <v>-0.0454279460277228</v>
      </c>
      <c r="X8" s="20">
        <f>'article 1-A'!X33/'article 1-A'!X8-1</f>
        <v>0.287938602691802</v>
      </c>
      <c r="Y8" s="20">
        <f>'article 1-A'!Y33/'article 1-A'!Y8-1</f>
        <v>-0.0377936914882979</v>
      </c>
      <c r="Z8" s="20">
        <f>'article 1-A'!Z33/'article 1-A'!Z8-1</f>
        <v>0.67848682181873</v>
      </c>
      <c r="AA8" s="16"/>
    </row>
    <row r="9" ht="24" customHeight="1" spans="1:54">
      <c r="A9" s="16"/>
      <c r="B9" s="17" t="s">
        <v>471</v>
      </c>
      <c r="C9" s="8"/>
      <c r="D9" s="18">
        <f>'article 1-A'!D34/'article 1-A'!D9-1</f>
        <v>0.198717152412542</v>
      </c>
      <c r="E9" s="19"/>
      <c r="F9" s="20">
        <f>'article 1-A'!F34/'article 1-A'!F9-1</f>
        <v>0.240085786217404</v>
      </c>
      <c r="G9" s="20">
        <f>'article 1-A'!G34/'article 1-A'!G9-1</f>
        <v>0.149199716410624</v>
      </c>
      <c r="H9" s="19"/>
      <c r="I9" s="20">
        <f>'article 1-A'!I34/'article 1-A'!I9-1</f>
        <v>0.0789626838484929</v>
      </c>
      <c r="J9" s="20">
        <f>'article 1-A'!J34/'article 1-A'!J9-1</f>
        <v>-0.049612139778287</v>
      </c>
      <c r="K9" s="20">
        <f>'article 1-A'!K34/'article 1-A'!K9-1</f>
        <v>-0.0263026026720979</v>
      </c>
      <c r="L9" s="20">
        <f>'article 1-A'!L34/'article 1-A'!L9-1</f>
        <v>-0.0846699284529389</v>
      </c>
      <c r="M9" s="20">
        <f>'article 1-A'!M34/'article 1-A'!M9-1</f>
        <v>0.571432592278073</v>
      </c>
      <c r="N9" s="8"/>
      <c r="O9" s="17" t="s">
        <v>471</v>
      </c>
      <c r="P9" s="8"/>
      <c r="Q9" s="18">
        <f>'article 1-A'!Q34/'article 1-A'!Q9-1</f>
        <v>0.185716675507321</v>
      </c>
      <c r="R9" s="19"/>
      <c r="S9" s="20">
        <f>'article 1-A'!S34/'article 1-A'!S9-1</f>
        <v>0.23374786321585</v>
      </c>
      <c r="T9" s="20">
        <f>'article 1-A'!T34/'article 1-A'!T9-1</f>
        <v>0.109520287366706</v>
      </c>
      <c r="U9" s="19"/>
      <c r="V9" s="20">
        <f>'article 1-A'!V34/'article 1-A'!V9-1</f>
        <v>0.0486685765511872</v>
      </c>
      <c r="W9" s="20">
        <f>'article 1-A'!W34/'article 1-A'!W9-1</f>
        <v>-0.0366737973503248</v>
      </c>
      <c r="X9" s="20">
        <f>'article 1-A'!X34/'article 1-A'!X9-1</f>
        <v>-0.127206526649056</v>
      </c>
      <c r="Y9" s="20">
        <f>'article 1-A'!Y34/'article 1-A'!Y9-1</f>
        <v>-0.105366250296564</v>
      </c>
      <c r="Z9" s="20">
        <f>'article 1-A'!Z34/'article 1-A'!Z9-1</f>
        <v>0.853810528437058</v>
      </c>
      <c r="AA9" s="16"/>
    </row>
    <row r="10" ht="24" customHeight="1" spans="1:54">
      <c r="A10" s="16"/>
      <c r="B10" s="17" t="s">
        <v>473</v>
      </c>
      <c r="C10" s="8"/>
      <c r="D10" s="18">
        <f>'article 1-A'!D35/'article 1-A'!D10-1</f>
        <v>0.346349954254342</v>
      </c>
      <c r="E10" s="19"/>
      <c r="F10" s="20">
        <f>'article 1-A'!F35/'article 1-A'!F10-1</f>
        <v>0.42683218667285</v>
      </c>
      <c r="G10" s="20">
        <f>'article 1-A'!G35/'article 1-A'!G10-1</f>
        <v>0.257618232797387</v>
      </c>
      <c r="H10" s="19"/>
      <c r="I10" s="20">
        <f>'article 1-A'!I35/'article 1-A'!I10-1</f>
        <v>0.0605872840995474</v>
      </c>
      <c r="J10" s="20">
        <f>'article 1-A'!J35/'article 1-A'!J10-1</f>
        <v>0.3927656081353</v>
      </c>
      <c r="K10" s="20">
        <f>'article 1-A'!K35/'article 1-A'!K10-1</f>
        <v>-0.0394568093937557</v>
      </c>
      <c r="L10" s="20">
        <f>'article 1-A'!L35/'article 1-A'!L10-1</f>
        <v>0.0811486337430909</v>
      </c>
      <c r="M10" s="20">
        <f>'article 1-A'!M35/'article 1-A'!M10-1</f>
        <v>0.624898116290464</v>
      </c>
      <c r="N10" s="8"/>
      <c r="O10" s="17" t="s">
        <v>473</v>
      </c>
      <c r="P10" s="8"/>
      <c r="Q10" s="18">
        <f>'article 1-A'!Q35/'article 1-A'!Q10-1</f>
        <v>0.31716157475736</v>
      </c>
      <c r="R10" s="19"/>
      <c r="S10" s="20">
        <f>'article 1-A'!S35/'article 1-A'!S10-1</f>
        <v>0.417883335297155</v>
      </c>
      <c r="T10" s="20">
        <f>'article 1-A'!T35/'article 1-A'!T10-1</f>
        <v>0.14767383037831</v>
      </c>
      <c r="U10" s="19"/>
      <c r="V10" s="20">
        <f>'article 1-A'!V35/'article 1-A'!V10-1</f>
        <v>0.0374464151681009</v>
      </c>
      <c r="W10" s="20">
        <f>'article 1-A'!W35/'article 1-A'!W10-1</f>
        <v>0.346108457000763</v>
      </c>
      <c r="X10" s="20">
        <f>'article 1-A'!X35/'article 1-A'!X10-1</f>
        <v>-0.11986368472635</v>
      </c>
      <c r="Y10" s="20">
        <f>'article 1-A'!Y35/'article 1-A'!Y10-1</f>
        <v>0.0183154552443749</v>
      </c>
      <c r="Z10" s="20">
        <f>'article 1-A'!Z35/'article 1-A'!Z10-1</f>
        <v>1.68917478191298</v>
      </c>
      <c r="AA10" s="16"/>
    </row>
    <row r="11" ht="24" customHeight="1" spans="1:54">
      <c r="A11" s="16"/>
      <c r="B11" s="17" t="s">
        <v>474</v>
      </c>
      <c r="C11" s="8"/>
      <c r="D11" s="18">
        <f>'article 1-A'!D36/'article 1-A'!D11-1</f>
        <v>-0.00473822227656229</v>
      </c>
      <c r="E11" s="19"/>
      <c r="F11" s="20">
        <f>'article 1-A'!F36/'article 1-A'!F11-1</f>
        <v>-0.00640752383543097</v>
      </c>
      <c r="G11" s="20">
        <f>'article 1-A'!G36/'article 1-A'!G11-1</f>
        <v>0.0312024033367417</v>
      </c>
      <c r="H11" s="19"/>
      <c r="I11" s="20">
        <f>'article 1-A'!I36/'article 1-A'!I11-1</f>
        <v>-0.141439905405888</v>
      </c>
      <c r="J11" s="20">
        <f>'article 1-A'!J36/'article 1-A'!J11-1</f>
        <v>0.473762398266701</v>
      </c>
      <c r="K11" s="20">
        <f>'article 1-A'!K36/'article 1-A'!K11-1</f>
        <v>-0.150157674534275</v>
      </c>
      <c r="L11" s="20">
        <f>'article 1-A'!L36/'article 1-A'!L11-1</f>
        <v>0.265993525506423</v>
      </c>
      <c r="M11" s="20">
        <f>'article 1-A'!M36/'article 1-A'!M11-1</f>
        <v>-0.0903491593263873</v>
      </c>
      <c r="N11" s="8"/>
      <c r="O11" s="17" t="s">
        <v>474</v>
      </c>
      <c r="P11" s="8"/>
      <c r="Q11" s="18">
        <f>'article 1-A'!Q36/'article 1-A'!Q11-1</f>
        <v>0.0306467611851204</v>
      </c>
      <c r="R11" s="19"/>
      <c r="S11" s="20">
        <f>'article 1-A'!S36/'article 1-A'!S11-1</f>
        <v>0.0288697123892945</v>
      </c>
      <c r="T11" s="20">
        <f>'article 1-A'!T36/'article 1-A'!T11-1</f>
        <v>0.102849309001129</v>
      </c>
      <c r="U11" s="19"/>
      <c r="V11" s="20">
        <f>'article 1-A'!V36/'article 1-A'!V11-1</f>
        <v>-0.112134986318894</v>
      </c>
      <c r="W11" s="20">
        <f>'article 1-A'!W36/'article 1-A'!W11-1</f>
        <v>0.472012197057591</v>
      </c>
      <c r="X11" s="20">
        <f>'article 1-A'!X36/'article 1-A'!X11-1</f>
        <v>-0.168497496888648</v>
      </c>
      <c r="Y11" s="20">
        <f>'article 1-A'!Y36/'article 1-A'!Y11-1</f>
        <v>0.1987340551874</v>
      </c>
      <c r="Z11" s="20">
        <f>'article 1-A'!Z36/'article 1-A'!Z11-1</f>
        <v>-0.0247724618222437</v>
      </c>
      <c r="AA11" s="16"/>
    </row>
    <row r="12" ht="24" customHeight="1" spans="1:54">
      <c r="A12" s="16"/>
      <c r="B12" s="17" t="s">
        <v>475</v>
      </c>
      <c r="C12" s="8"/>
      <c r="D12" s="18">
        <f>'article 1-A'!D37/'article 1-A'!D12-1</f>
        <v>0.0887494728659084</v>
      </c>
      <c r="E12" s="19"/>
      <c r="F12" s="20">
        <f>'article 1-A'!F37/'article 1-A'!F12-1</f>
        <v>0.0499045595221781</v>
      </c>
      <c r="G12" s="20">
        <f>'article 1-A'!G37/'article 1-A'!G12-1</f>
        <v>0.365132564144912</v>
      </c>
      <c r="H12" s="19"/>
      <c r="I12" s="20">
        <f>'article 1-A'!I37/'article 1-A'!I12-1</f>
        <v>0.3385293055254</v>
      </c>
      <c r="J12" s="20">
        <f>'article 1-A'!J37/'article 1-A'!J12-1</f>
        <v>-0.183934209320892</v>
      </c>
      <c r="K12" s="20">
        <f>'article 1-A'!K37/'article 1-A'!K12-1</f>
        <v>-0.193588072372877</v>
      </c>
      <c r="L12" s="20">
        <f>'article 1-A'!L37/'article 1-A'!L12-1</f>
        <v>-0.00965161403341053</v>
      </c>
      <c r="M12" s="20">
        <f>'article 1-A'!M37/'article 1-A'!M12-1</f>
        <v>-0.000329218857922475</v>
      </c>
      <c r="N12" s="8"/>
      <c r="O12" s="17" t="s">
        <v>475</v>
      </c>
      <c r="P12" s="8"/>
      <c r="Q12" s="18">
        <f>'article 1-A'!Q37/'article 1-A'!Q12-1</f>
        <v>0.094134337699139</v>
      </c>
      <c r="R12" s="19"/>
      <c r="S12" s="20">
        <f>'article 1-A'!S37/'article 1-A'!S12-1</f>
        <v>0.0679165347471151</v>
      </c>
      <c r="T12" s="20">
        <f>'article 1-A'!T37/'article 1-A'!T12-1</f>
        <v>0.308562174586612</v>
      </c>
      <c r="U12" s="19"/>
      <c r="V12" s="20">
        <f>'article 1-A'!V37/'article 1-A'!V12-1</f>
        <v>0.291908065050207</v>
      </c>
      <c r="W12" s="20">
        <f>'article 1-A'!W37/'article 1-A'!W12-1</f>
        <v>0.00413686443908912</v>
      </c>
      <c r="X12" s="20">
        <f>'article 1-A'!X37/'article 1-A'!X12-1</f>
        <v>-0.311667095442998</v>
      </c>
      <c r="Y12" s="20">
        <f>'article 1-A'!Y37/'article 1-A'!Y12-1</f>
        <v>-0.108047060236934</v>
      </c>
      <c r="Z12" s="20">
        <f>'article 1-A'!Z37/'article 1-A'!Z12-1</f>
        <v>0.61205132434349</v>
      </c>
      <c r="AA12" s="16"/>
    </row>
    <row r="13" ht="24" customHeight="1" spans="1:54">
      <c r="A13" s="16"/>
      <c r="B13" s="17" t="s">
        <v>477</v>
      </c>
      <c r="C13" s="8"/>
      <c r="D13" s="18">
        <f>'article 1-A'!D38/'article 1-A'!D13-1</f>
        <v>-0.33689220065972</v>
      </c>
      <c r="E13" s="19"/>
      <c r="F13" s="20">
        <f>'article 1-A'!F38/'article 1-A'!F13-1</f>
        <v>-0.350784361229112</v>
      </c>
      <c r="G13" s="20">
        <f>'article 1-A'!G38/'article 1-A'!G13-1</f>
        <v>-0.107756730140002</v>
      </c>
      <c r="H13" s="19"/>
      <c r="I13" s="20">
        <f>'article 1-A'!I38/'article 1-A'!I13-1</f>
        <v>0.0635108646815865</v>
      </c>
      <c r="J13" s="20">
        <f>'article 1-A'!J38/'article 1-A'!J13-1</f>
        <v>0.467913187758325</v>
      </c>
      <c r="K13" s="20">
        <f>'article 1-A'!K38/'article 1-A'!K13-1</f>
        <v>0.992273615180549</v>
      </c>
      <c r="L13" s="20">
        <f>'article 1-A'!L38/'article 1-A'!L13-1</f>
        <v>0.563026612180821</v>
      </c>
      <c r="M13" s="20">
        <f>'article 1-A'!M38/'article 1-A'!M13-1</f>
        <v>-0.467535464144199</v>
      </c>
      <c r="N13" s="8"/>
      <c r="O13" s="17" t="s">
        <v>477</v>
      </c>
      <c r="P13" s="8"/>
      <c r="Q13" s="18">
        <f>'article 1-A'!Q38/'article 1-A'!Q13-1</f>
        <v>-0.306305141451783</v>
      </c>
      <c r="R13" s="19"/>
      <c r="S13" s="20">
        <f>'article 1-A'!S38/'article 1-A'!S13-1</f>
        <v>-0.322293467436308</v>
      </c>
      <c r="T13" s="20">
        <f>'article 1-A'!T38/'article 1-A'!T13-1</f>
        <v>-0.0576167518081304</v>
      </c>
      <c r="U13" s="19"/>
      <c r="V13" s="20">
        <f>'article 1-A'!V38/'article 1-A'!V13-1</f>
        <v>0.0657585581435054</v>
      </c>
      <c r="W13" s="20">
        <f>'article 1-A'!W38/'article 1-A'!W13-1</f>
        <v>0.465689263671226</v>
      </c>
      <c r="X13" s="20">
        <f>'article 1-A'!X38/'article 1-A'!X13-1</f>
        <v>0.58612429911913</v>
      </c>
      <c r="Y13" s="20">
        <f>'article 1-A'!Y38/'article 1-A'!Y13-1</f>
        <v>0.411190110519873</v>
      </c>
      <c r="Z13" s="20">
        <f>'article 1-A'!Z38/'article 1-A'!Z13-1</f>
        <v>-0.432355367186365</v>
      </c>
      <c r="AA13" s="16"/>
    </row>
    <row r="14" ht="24" customHeight="1" spans="1:54">
      <c r="A14" s="16"/>
      <c r="B14" s="17" t="s">
        <v>479</v>
      </c>
      <c r="C14" s="8"/>
      <c r="D14" s="18">
        <f>'article 1-A'!D39/'article 1-A'!D14-1</f>
        <v>0.0454704219786823</v>
      </c>
      <c r="E14" s="19"/>
      <c r="F14" s="20">
        <f>'article 1-A'!F39/'article 1-A'!F14-1</f>
        <v>-0.120193146298498</v>
      </c>
      <c r="G14" s="20">
        <f>'article 1-A'!G39/'article 1-A'!G14-1</f>
        <v>-0.198879890585306</v>
      </c>
      <c r="H14" s="19"/>
      <c r="I14" s="20">
        <f>'article 1-A'!I39/'article 1-A'!I14-1</f>
        <v>-0.202930688443836</v>
      </c>
      <c r="J14" s="20">
        <f>'article 1-A'!J39/'article 1-A'!J14-1</f>
        <v>-0.134649945092914</v>
      </c>
      <c r="K14" s="20">
        <f>'article 1-A'!K39/'article 1-A'!K14-1</f>
        <v>0.285951835986754</v>
      </c>
      <c r="L14" s="20">
        <f>'article 1-A'!L39/'article 1-A'!L14-1</f>
        <v>-0.156153838319379</v>
      </c>
      <c r="M14" s="20">
        <f>'article 1-A'!M39/'article 1-A'!M14-1</f>
        <v>0.144575277973787</v>
      </c>
      <c r="N14" s="8"/>
      <c r="O14" s="17" t="s">
        <v>479</v>
      </c>
      <c r="P14" s="8"/>
      <c r="Q14" s="18">
        <f>'article 1-A'!Q39/'article 1-A'!Q14-1</f>
        <v>0.0387741806085022</v>
      </c>
      <c r="R14" s="19"/>
      <c r="S14" s="20">
        <f>'article 1-A'!S39/'article 1-A'!S14-1</f>
        <v>-0.098260887991682</v>
      </c>
      <c r="T14" s="20">
        <f>'article 1-A'!T39/'article 1-A'!T14-1</f>
        <v>-0.082733433281043</v>
      </c>
      <c r="U14" s="19"/>
      <c r="V14" s="20">
        <f>'article 1-A'!V39/'article 1-A'!V14-1</f>
        <v>-0.188611761761284</v>
      </c>
      <c r="W14" s="20">
        <f>'article 1-A'!W39/'article 1-A'!W14-1</f>
        <v>-0.0902039693007947</v>
      </c>
      <c r="X14" s="20">
        <f>'article 1-A'!X39/'article 1-A'!X14-1</f>
        <v>0.0251527397261277</v>
      </c>
      <c r="Y14" s="20">
        <f>'article 1-A'!Y39/'article 1-A'!Y14-1</f>
        <v>-0.19865968359413</v>
      </c>
      <c r="Z14" s="20">
        <f>'article 1-A'!Z39/'article 1-A'!Z14-1</f>
        <v>10.1273323275549</v>
      </c>
      <c r="AA14" s="16"/>
    </row>
    <row r="15" ht="24" customHeight="1" spans="1:54">
      <c r="A15" s="16"/>
      <c r="B15" s="17" t="s">
        <v>481</v>
      </c>
      <c r="C15" s="8"/>
      <c r="D15" s="18">
        <f>'article 1-A'!D40/'article 1-A'!D15-1</f>
        <v>0.0985811622803152</v>
      </c>
      <c r="E15" s="19"/>
      <c r="F15" s="20">
        <f>'article 1-A'!F40/'article 1-A'!F15-1</f>
        <v>-0.0132630346399533</v>
      </c>
      <c r="G15" s="20">
        <f>'article 1-A'!G40/'article 1-A'!G15-1</f>
        <v>0.474695176584365</v>
      </c>
      <c r="H15" s="19"/>
      <c r="I15" s="20">
        <f>'article 1-A'!I40/'article 1-A'!I15-1</f>
        <v>0.154563469397386</v>
      </c>
      <c r="J15" s="20">
        <f>'article 1-A'!J40/'article 1-A'!J15-1</f>
        <v>-0.123767908859476</v>
      </c>
      <c r="K15" s="20">
        <f>'article 1-A'!K40/'article 1-A'!K15-1</f>
        <v>0.508037524290601</v>
      </c>
      <c r="L15" s="20">
        <f>'article 1-A'!L40/'article 1-A'!L15-1</f>
        <v>1.3820571675458</v>
      </c>
      <c r="M15" s="20">
        <f>'article 1-A'!M40/'article 1-A'!M15-1</f>
        <v>-0.0103256570845143</v>
      </c>
      <c r="N15" s="8"/>
      <c r="O15" s="17" t="s">
        <v>481</v>
      </c>
      <c r="P15" s="8"/>
      <c r="Q15" s="18">
        <f>'article 1-A'!Q40/'article 1-A'!Q15-1</f>
        <v>0.101320605895139</v>
      </c>
      <c r="R15" s="19"/>
      <c r="S15" s="20">
        <f>'article 1-A'!S40/'article 1-A'!S15-1</f>
        <v>-0.000598911822343617</v>
      </c>
      <c r="T15" s="20">
        <f>'article 1-A'!T40/'article 1-A'!T15-1</f>
        <v>0.410877777849822</v>
      </c>
      <c r="U15" s="19"/>
      <c r="V15" s="20">
        <f>'article 1-A'!V40/'article 1-A'!V15-1</f>
        <v>0.179919622939752</v>
      </c>
      <c r="W15" s="20">
        <f>'article 1-A'!W40/'article 1-A'!W15-1</f>
        <v>-0.0579741300473617</v>
      </c>
      <c r="X15" s="20">
        <f>'article 1-A'!X40/'article 1-A'!X15-1</f>
        <v>0.240742751814836</v>
      </c>
      <c r="Y15" s="20">
        <f>'article 1-A'!Y40/'article 1-A'!Y15-1</f>
        <v>0.873364106465631</v>
      </c>
      <c r="Z15" s="20">
        <f>'article 1-A'!Z40/'article 1-A'!Z15-1</f>
        <v>0.256212929812368</v>
      </c>
      <c r="AA15" s="16"/>
    </row>
    <row r="16" ht="24" customHeight="1" spans="1:54">
      <c r="A16" s="16"/>
      <c r="B16" s="17" t="s">
        <v>482</v>
      </c>
      <c r="C16" s="8"/>
      <c r="D16" s="18">
        <f>'article 1-A'!D41/'article 1-A'!D16-1</f>
        <v>-0.426527871136237</v>
      </c>
      <c r="E16" s="19"/>
      <c r="F16" s="20">
        <f>'article 1-A'!F41/'article 1-A'!F16-1</f>
        <v>-0.42672024113647</v>
      </c>
      <c r="G16" s="20">
        <f>'article 1-A'!G41/'article 1-A'!G16-1</f>
        <v>-0.158059037301678</v>
      </c>
      <c r="H16" s="19"/>
      <c r="I16" s="20">
        <f>'article 1-A'!I41/'article 1-A'!I16-1</f>
        <v>0.718954984795791</v>
      </c>
      <c r="J16" s="20">
        <f>'article 1-A'!J41/'article 1-A'!J16-1</f>
        <v>0.227950058436148</v>
      </c>
      <c r="K16" s="20">
        <f>'article 1-A'!K41/'article 1-A'!K16-1</f>
        <v>1.27067963011562</v>
      </c>
      <c r="L16" s="20">
        <f>'article 1-A'!L41/'article 1-A'!L16-1</f>
        <v>0.331827744533785</v>
      </c>
      <c r="M16" s="20">
        <f>'article 1-A'!M41/'article 1-A'!M16-1</f>
        <v>-0.568865963654756</v>
      </c>
      <c r="N16" s="8"/>
      <c r="O16" s="17" t="s">
        <v>482</v>
      </c>
      <c r="P16" s="8"/>
      <c r="Q16" s="18">
        <f>'article 1-A'!Q41/'article 1-A'!Q16-1</f>
        <v>-0.408576506243849</v>
      </c>
      <c r="R16" s="19"/>
      <c r="S16" s="20">
        <f>'article 1-A'!S41/'article 1-A'!S16-1</f>
        <v>-0.408886396914317</v>
      </c>
      <c r="T16" s="20">
        <f>'article 1-A'!T41/'article 1-A'!T16-1</f>
        <v>-0.202654508553089</v>
      </c>
      <c r="U16" s="19"/>
      <c r="V16" s="20">
        <f>'article 1-A'!V41/'article 1-A'!V16-1</f>
        <v>0.0531831134358012</v>
      </c>
      <c r="W16" s="20">
        <f>'article 1-A'!W41/'article 1-A'!W16-1</f>
        <v>-0.0480186475831983</v>
      </c>
      <c r="X16" s="20">
        <f>'article 1-A'!X41/'article 1-A'!X16-1</f>
        <v>-0.126268616256983</v>
      </c>
      <c r="Y16" s="20">
        <f>'article 1-A'!Y41/'article 1-A'!Y16-1</f>
        <v>-0.132103682453633</v>
      </c>
      <c r="Z16" s="20">
        <f>'article 1-A'!Z41/'article 1-A'!Z16-1</f>
        <v>-0.530218530658444</v>
      </c>
      <c r="AA16" s="16"/>
    </row>
    <row r="17" ht="24" customHeight="1" spans="1:27">
      <c r="A17" s="16"/>
      <c r="B17" s="17" t="s">
        <v>484</v>
      </c>
      <c r="C17" s="8"/>
      <c r="D17" s="18">
        <f>'article 1-A'!D42/'article 1-A'!D17-1</f>
        <v>0.0246601548256995</v>
      </c>
      <c r="E17" s="19"/>
      <c r="F17" s="20">
        <f>'article 1-A'!F42/'article 1-A'!F17-1</f>
        <v>0.0390728582001572</v>
      </c>
      <c r="G17" s="20">
        <f>'article 1-A'!G42/'article 1-A'!G17-1</f>
        <v>0.103754082276025</v>
      </c>
      <c r="H17" s="19"/>
      <c r="I17" s="20">
        <f>'article 1-A'!I42/'article 1-A'!I17-1</f>
        <v>1.27174371350605</v>
      </c>
      <c r="J17" s="20">
        <f>'article 1-A'!J42/'article 1-A'!J17-1</f>
        <v>0.536287143730537</v>
      </c>
      <c r="K17" s="20">
        <f>'article 1-A'!K42/'article 1-A'!K17-1</f>
        <v>-0.0891882673565209</v>
      </c>
      <c r="L17" s="20">
        <f>'article 1-A'!L42/'article 1-A'!L17-1</f>
        <v>0.0341369267811522</v>
      </c>
      <c r="M17" s="20">
        <f>'article 1-A'!M42/'article 1-A'!M17-1</f>
        <v>-0.0352535261601592</v>
      </c>
      <c r="N17" s="8"/>
      <c r="O17" s="17" t="s">
        <v>484</v>
      </c>
      <c r="P17" s="8"/>
      <c r="Q17" s="18">
        <f>'article 1-A'!Q42/'article 1-A'!Q17-1</f>
        <v>0.018482752658499</v>
      </c>
      <c r="R17" s="19"/>
      <c r="S17" s="20">
        <f>'article 1-A'!S42/'article 1-A'!S17-1</f>
        <v>0.039378151289071</v>
      </c>
      <c r="T17" s="20">
        <f>'article 1-A'!T42/'article 1-A'!T17-1</f>
        <v>0.0497190321444136</v>
      </c>
      <c r="U17" s="19"/>
      <c r="V17" s="20">
        <f>'article 1-A'!V42/'article 1-A'!V17-1</f>
        <v>1.03690684867566</v>
      </c>
      <c r="W17" s="20">
        <f>'article 1-A'!W42/'article 1-A'!W17-1</f>
        <v>0.424909942386592</v>
      </c>
      <c r="X17" s="20">
        <f>'article 1-A'!X42/'article 1-A'!X17-1</f>
        <v>-0.173077882022651</v>
      </c>
      <c r="Y17" s="20">
        <f>'article 1-A'!Y42/'article 1-A'!Y17-1</f>
        <v>-0.0257893601991616</v>
      </c>
      <c r="Z17" s="20">
        <f>'article 1-A'!Z42/'article 1-A'!Z17-1</f>
        <v>0.0987834439615625</v>
      </c>
      <c r="AA17" s="16"/>
    </row>
    <row r="18" ht="24" customHeight="1" spans="1:27">
      <c r="A18" s="16"/>
      <c r="B18" s="17" t="s">
        <v>485</v>
      </c>
      <c r="C18" s="8"/>
      <c r="D18" s="18">
        <f>'article 1-A'!D43/'article 1-A'!D18-1</f>
        <v>0.5946625386656</v>
      </c>
      <c r="E18" s="19"/>
      <c r="F18" s="20">
        <f>'article 1-A'!F43/'article 1-A'!F18-1</f>
        <v>0.678731067179482</v>
      </c>
      <c r="G18" s="20">
        <f>'article 1-A'!G43/'article 1-A'!G18-1</f>
        <v>0.157286619005272</v>
      </c>
      <c r="H18" s="19"/>
      <c r="I18" s="20">
        <f>'article 1-A'!I43/'article 1-A'!I18-1</f>
        <v>-0.0435425466457832</v>
      </c>
      <c r="J18" s="20">
        <f>'article 1-A'!J43/'article 1-A'!J18-1</f>
        <v>-0.0719435530484768</v>
      </c>
      <c r="K18" s="20">
        <f>'article 1-A'!K43/'article 1-A'!K18-1</f>
        <v>-0.220950293015196</v>
      </c>
      <c r="L18" s="20">
        <f>'article 1-A'!L43/'article 1-A'!L18-1</f>
        <v>-0.251022440336098</v>
      </c>
      <c r="M18" s="20">
        <f>'article 1-A'!M43/'article 1-A'!M18-1</f>
        <v>1.62630696542461</v>
      </c>
      <c r="N18" s="8"/>
      <c r="O18" s="17" t="s">
        <v>485</v>
      </c>
      <c r="P18" s="8"/>
      <c r="Q18" s="18">
        <f>'article 1-A'!Q43/'article 1-A'!Q18-1</f>
        <v>0.534151000909695</v>
      </c>
      <c r="R18" s="19"/>
      <c r="S18" s="20">
        <f>'article 1-A'!S43/'article 1-A'!S18-1</f>
        <v>0.67161445900244</v>
      </c>
      <c r="T18" s="20">
        <f>'article 1-A'!T43/'article 1-A'!T18-1</f>
        <v>0.0586524925822669</v>
      </c>
      <c r="U18" s="19"/>
      <c r="V18" s="20">
        <f>'article 1-A'!V43/'article 1-A'!V18-1</f>
        <v>-0.0686952839730471</v>
      </c>
      <c r="W18" s="20">
        <f>'article 1-A'!W43/'article 1-A'!W18-1</f>
        <v>-0.0611825923639501</v>
      </c>
      <c r="X18" s="20">
        <f>'article 1-A'!X43/'article 1-A'!X18-1</f>
        <v>-0.311333103986939</v>
      </c>
      <c r="Y18" s="20">
        <f>'article 1-A'!Y43/'article 1-A'!Y18-1</f>
        <v>-0.255515318471113</v>
      </c>
      <c r="Z18" s="20">
        <f>'article 1-A'!Z43/'article 1-A'!Z18-1</f>
        <v>69.3720901262701</v>
      </c>
      <c r="AA18" s="16"/>
    </row>
    <row r="19" ht="24" customHeight="1" spans="1:27">
      <c r="A19" s="16"/>
      <c r="B19" s="17" t="s">
        <v>486</v>
      </c>
      <c r="C19" s="8"/>
      <c r="D19" s="18">
        <f>'article 1-A'!D44/'article 1-A'!D19-1</f>
        <v>-0.108312492799758</v>
      </c>
      <c r="E19" s="19"/>
      <c r="F19" s="20">
        <f>'article 1-A'!F44/'article 1-A'!F19-1</f>
        <v>-0.0828695104213308</v>
      </c>
      <c r="G19" s="20">
        <f>'article 1-A'!G44/'article 1-A'!G19-1</f>
        <v>-0.251525499162886</v>
      </c>
      <c r="H19" s="19"/>
      <c r="I19" s="20">
        <f>'article 1-A'!I44/'article 1-A'!I19-1</f>
        <v>0.0129784377179556</v>
      </c>
      <c r="J19" s="20">
        <f>'article 1-A'!J44/'article 1-A'!J19-1</f>
        <v>-0.186619791679886</v>
      </c>
      <c r="K19" s="20">
        <f>'article 1-A'!K44/'article 1-A'!K19-1</f>
        <v>-0.231805588947163</v>
      </c>
      <c r="L19" s="20">
        <f>'article 1-A'!L44/'article 1-A'!L19-1</f>
        <v>-0.286928763732007</v>
      </c>
      <c r="M19" s="20">
        <f>'article 1-A'!M44/'article 1-A'!M19-1</f>
        <v>-0.0928264449387172</v>
      </c>
      <c r="N19" s="8"/>
      <c r="O19" s="17" t="s">
        <v>486</v>
      </c>
      <c r="P19" s="8"/>
      <c r="Q19" s="18">
        <f>'article 1-A'!Q44/'article 1-A'!Q19-1</f>
        <v>-0.0931130441551881</v>
      </c>
      <c r="R19" s="19"/>
      <c r="S19" s="20">
        <f>'article 1-A'!S44/'article 1-A'!S19-1</f>
        <v>-0.0683659881106209</v>
      </c>
      <c r="T19" s="20">
        <f>'article 1-A'!T44/'article 1-A'!T19-1</f>
        <v>-0.259982495043106</v>
      </c>
      <c r="U19" s="19"/>
      <c r="V19" s="20">
        <f>'article 1-A'!V44/'article 1-A'!V19-1</f>
        <v>-0.0131180520283642</v>
      </c>
      <c r="W19" s="20">
        <f>'article 1-A'!W44/'article 1-A'!W19-1</f>
        <v>-0.135962367539227</v>
      </c>
      <c r="X19" s="20">
        <f>'article 1-A'!X44/'article 1-A'!X19-1</f>
        <v>-0.302335045959323</v>
      </c>
      <c r="Y19" s="20">
        <f>'article 1-A'!Y44/'article 1-A'!Y19-1</f>
        <v>-0.268745370211583</v>
      </c>
      <c r="Z19" s="20">
        <f>'article 1-A'!Z44/'article 1-A'!Z19-1</f>
        <v>0.088773251907398</v>
      </c>
      <c r="AA19" s="16"/>
    </row>
    <row r="20" ht="24" customHeight="1" spans="1:27">
      <c r="A20" s="16"/>
      <c r="B20" s="17" t="s">
        <v>487</v>
      </c>
      <c r="C20" s="8"/>
      <c r="D20" s="18">
        <f>'article 1-A'!D45/'article 1-A'!D20-1</f>
        <v>0.0334710150086823</v>
      </c>
      <c r="E20" s="19"/>
      <c r="F20" s="20">
        <f>'article 1-A'!F45/'article 1-A'!F20-1</f>
        <v>0.0967447449692167</v>
      </c>
      <c r="G20" s="20">
        <f>'article 1-A'!G45/'article 1-A'!G20-1</f>
        <v>-0.295540997601294</v>
      </c>
      <c r="H20" s="19"/>
      <c r="I20" s="20">
        <f>'article 1-A'!I45/'article 1-A'!I20-1</f>
        <v>0.372811900708814</v>
      </c>
      <c r="J20" s="20">
        <f>'article 1-A'!J45/'article 1-A'!J20-1</f>
        <v>0.0478442749199111</v>
      </c>
      <c r="K20" s="20">
        <f>'article 1-A'!K45/'article 1-A'!K20-1</f>
        <v>-0.301874181368652</v>
      </c>
      <c r="L20" s="20">
        <f>'article 1-A'!L45/'article 1-A'!L20-1</f>
        <v>-0.319834374455421</v>
      </c>
      <c r="M20" s="20">
        <f>'article 1-A'!M45/'article 1-A'!M20-1</f>
        <v>0.0730890670406141</v>
      </c>
      <c r="N20" s="8"/>
      <c r="O20" s="17" t="s">
        <v>487</v>
      </c>
      <c r="P20" s="8"/>
      <c r="Q20" s="18">
        <f>'article 1-A'!Q45/'article 1-A'!Q20-1</f>
        <v>0.0245796239366463</v>
      </c>
      <c r="R20" s="19"/>
      <c r="S20" s="20">
        <f>'article 1-A'!S45/'article 1-A'!S20-1</f>
        <v>0.0972267436252201</v>
      </c>
      <c r="T20" s="20">
        <f>'article 1-A'!T45/'article 1-A'!T20-1</f>
        <v>-0.244865898229178</v>
      </c>
      <c r="U20" s="19"/>
      <c r="V20" s="20">
        <f>'article 1-A'!V45/'article 1-A'!V20-1</f>
        <v>0.0154367607563586</v>
      </c>
      <c r="W20" s="20">
        <f>'article 1-A'!W45/'article 1-A'!W20-1</f>
        <v>0.343198310914123</v>
      </c>
      <c r="X20" s="20">
        <f>'article 1-A'!X45/'article 1-A'!X20-1</f>
        <v>-0.378049239357245</v>
      </c>
      <c r="Y20" s="20">
        <f>'article 1-A'!Y45/'article 1-A'!Y20-1</f>
        <v>-0.347892253520924</v>
      </c>
      <c r="Z20" s="20">
        <f>'article 1-A'!Z45/'article 1-A'!Z20-1</f>
        <v>0.374843975090573</v>
      </c>
      <c r="AA20" s="16"/>
    </row>
    <row r="21" ht="24" customHeight="1" spans="1:27">
      <c r="A21" s="16"/>
      <c r="B21" s="17" t="s">
        <v>488</v>
      </c>
      <c r="C21" s="8"/>
      <c r="D21" s="18">
        <f>'article 1-A'!D46/'article 1-A'!D21-1</f>
        <v>-0.076740039736421</v>
      </c>
      <c r="E21" s="19"/>
      <c r="F21" s="20">
        <f>'article 1-A'!F46/'article 1-A'!F21-1</f>
        <v>-0.0667267106327365</v>
      </c>
      <c r="G21" s="20">
        <f>'article 1-A'!G46/'article 1-A'!G21-1</f>
        <v>0.112792948472157</v>
      </c>
      <c r="H21" s="19"/>
      <c r="I21" s="20">
        <f>'article 1-A'!I46/'article 1-A'!I21-1</f>
        <v>-0.424166660317958</v>
      </c>
      <c r="J21" s="20">
        <f>'article 1-A'!J46/'article 1-A'!J21-1</f>
        <v>-0.38440518638815</v>
      </c>
      <c r="K21" s="20">
        <f>'article 1-A'!K46/'article 1-A'!K21-1</f>
        <v>-0.585846702227135</v>
      </c>
      <c r="L21" s="20">
        <f>'article 1-A'!L46/'article 1-A'!L21-1</f>
        <v>-0.37968441540104</v>
      </c>
      <c r="M21" s="20">
        <f>'article 1-A'!M46/'article 1-A'!M21-1</f>
        <v>-0.262757735221082</v>
      </c>
      <c r="N21" s="8"/>
      <c r="O21" s="17" t="s">
        <v>488</v>
      </c>
      <c r="P21" s="8"/>
      <c r="Q21" s="18">
        <f>'article 1-A'!Q46/'article 1-A'!Q21-1</f>
        <v>-0.0681274315791991</v>
      </c>
      <c r="R21" s="19"/>
      <c r="S21" s="20">
        <f>'article 1-A'!S46/'article 1-A'!S21-1</f>
        <v>-0.0505875616283887</v>
      </c>
      <c r="T21" s="20">
        <f>'article 1-A'!T46/'article 1-A'!T21-1</f>
        <v>0.0201586413131294</v>
      </c>
      <c r="U21" s="19"/>
      <c r="V21" s="20">
        <f>'article 1-A'!V46/'article 1-A'!V21-1</f>
        <v>-0.392608947573036</v>
      </c>
      <c r="W21" s="20">
        <f>'article 1-A'!W46/'article 1-A'!W21-1</f>
        <v>-0.34195341130136</v>
      </c>
      <c r="X21" s="20">
        <f>'article 1-A'!X46/'article 1-A'!X21-1</f>
        <v>-0.552696097982515</v>
      </c>
      <c r="Y21" s="20">
        <f>'article 1-A'!Y46/'article 1-A'!Y21-1</f>
        <v>-0.36020799651038</v>
      </c>
      <c r="Z21" s="20">
        <f>'article 1-A'!Z46/'article 1-A'!Z21-1</f>
        <v>-0.191186238155972</v>
      </c>
      <c r="AA21" s="16"/>
    </row>
    <row r="22" ht="24" customHeight="1" spans="1:27">
      <c r="A22" s="16"/>
      <c r="B22" s="17" t="s">
        <v>490</v>
      </c>
      <c r="C22" s="8"/>
      <c r="D22" s="18">
        <f>'article 1-A'!D47/'article 1-A'!D22-1</f>
        <v>0.078974020735038</v>
      </c>
      <c r="E22" s="19"/>
      <c r="F22" s="20">
        <f>'article 1-A'!F47/'article 1-A'!F22-1</f>
        <v>0.0981429526594284</v>
      </c>
      <c r="G22" s="20">
        <f>'article 1-A'!G47/'article 1-A'!G22-1</f>
        <v>0.225352666454959</v>
      </c>
      <c r="H22" s="19"/>
      <c r="I22" s="20">
        <f>'article 1-A'!I47/'article 1-A'!I22-1</f>
        <v>0.596888062957185</v>
      </c>
      <c r="J22" s="20">
        <f>'article 1-A'!J47/'article 1-A'!J22-1</f>
        <v>-0.230699105785579</v>
      </c>
      <c r="K22" s="20">
        <f>'article 1-A'!K47/'article 1-A'!K22-1</f>
        <v>-0.491529941653555</v>
      </c>
      <c r="L22" s="20">
        <f>'article 1-A'!L47/'article 1-A'!L22-1</f>
        <v>-0.435402642509907</v>
      </c>
      <c r="M22" s="20">
        <f>'article 1-A'!M47/'article 1-A'!M22-1</f>
        <v>0.216599336193752</v>
      </c>
      <c r="N22" s="8"/>
      <c r="O22" s="17" t="s">
        <v>490</v>
      </c>
      <c r="P22" s="8"/>
      <c r="Q22" s="18">
        <f>'article 1-A'!Q47/'article 1-A'!Q22-1</f>
        <v>0.0363367437821871</v>
      </c>
      <c r="R22" s="19"/>
      <c r="S22" s="20">
        <f>'article 1-A'!S47/'article 1-A'!S22-1</f>
        <v>0.0997321305604433</v>
      </c>
      <c r="T22" s="20">
        <f>'article 1-A'!T47/'article 1-A'!T22-1</f>
        <v>0.216957812877639</v>
      </c>
      <c r="U22" s="19"/>
      <c r="V22" s="20">
        <f>'article 1-A'!V47/'article 1-A'!V22-1</f>
        <v>-0.08697909086847</v>
      </c>
      <c r="W22" s="20">
        <f>'article 1-A'!W47/'article 1-A'!W22-1</f>
        <v>-0.329999438781619</v>
      </c>
      <c r="X22" s="20">
        <f>'article 1-A'!X47/'article 1-A'!X22-1</f>
        <v>-0.569428981447309</v>
      </c>
      <c r="Y22" s="20">
        <f>'article 1-A'!Y47/'article 1-A'!Y22-1</f>
        <v>-0.541303053587062</v>
      </c>
      <c r="Z22" s="20">
        <f>'article 1-A'!Z47/'article 1-A'!Z22-1</f>
        <v>2.41995078445609</v>
      </c>
      <c r="AA22" s="16"/>
    </row>
    <row r="23" ht="24" customHeight="1" spans="1:27">
      <c r="A23" s="16"/>
      <c r="B23" s="21" t="s">
        <v>492</v>
      </c>
      <c r="C23" s="8"/>
      <c r="D23" s="18">
        <f>'article 1-A'!D48/'article 1-A'!D23-1</f>
        <v>0.115104040031196</v>
      </c>
      <c r="E23" s="19"/>
      <c r="F23" s="20">
        <f>'article 1-A'!F48/'article 1-A'!F23-1</f>
        <v>0.126024556832027</v>
      </c>
      <c r="G23" s="20">
        <f>'article 1-A'!G48/'article 1-A'!G23-1</f>
        <v>0.124339746754916</v>
      </c>
      <c r="H23" s="19"/>
      <c r="I23" s="20">
        <f>'article 1-A'!I48/'article 1-A'!I23-1</f>
        <v>0.24263978574116</v>
      </c>
      <c r="J23" s="20">
        <f>'article 1-A'!J48/'article 1-A'!J23-1</f>
        <v>0.21500151288123</v>
      </c>
      <c r="K23" s="20">
        <f>'article 1-A'!K48/'article 1-A'!K23-1</f>
        <v>-0.222875656938284</v>
      </c>
      <c r="L23" s="20">
        <f>'article 1-A'!L48/'article 1-A'!L23-1</f>
        <v>0.228899971787166</v>
      </c>
      <c r="M23" s="20">
        <f>'article 1-A'!M48/'article 1-A'!M23-1</f>
        <v>0.153331433751774</v>
      </c>
      <c r="N23" s="8"/>
      <c r="O23" s="21" t="s">
        <v>492</v>
      </c>
      <c r="P23" s="8"/>
      <c r="Q23" s="18">
        <f>'article 1-A'!Q48/'article 1-A'!Q23-1</f>
        <v>0.0850569901129516</v>
      </c>
      <c r="R23" s="19"/>
      <c r="S23" s="20">
        <f>'article 1-A'!S48/'article 1-A'!S23-1</f>
        <v>0.512782490043427</v>
      </c>
      <c r="T23" s="20">
        <f>'article 1-A'!T48/'article 1-A'!T23-1</f>
        <v>0.0511919455298022</v>
      </c>
      <c r="U23" s="19"/>
      <c r="V23" s="20">
        <f>'article 1-A'!V48/'article 1-A'!V23-1</f>
        <v>0.167218826126417</v>
      </c>
      <c r="W23" s="20">
        <f>'article 1-A'!W48/'article 1-A'!W23-1</f>
        <v>0.154563864962903</v>
      </c>
      <c r="X23" s="20">
        <f>'article 1-A'!X48/'article 1-A'!X23-1</f>
        <v>-0.267794858356321</v>
      </c>
      <c r="Y23" s="20">
        <f>'article 1-A'!Y48/'article 1-A'!Y23-1</f>
        <v>0.121949063180724</v>
      </c>
      <c r="Z23" s="20">
        <f>'article 1-A'!Z48/'article 1-A'!Z23-1</f>
        <v>0.231278168067426</v>
      </c>
      <c r="AA23" s="16"/>
    </row>
    <row r="24" ht="24" customHeight="1" spans="1:27">
      <c r="A24" s="16"/>
      <c r="B24" s="17" t="s">
        <v>493</v>
      </c>
      <c r="C24" s="8"/>
      <c r="D24" s="18">
        <f>'article 1-A'!D49/'article 1-A'!D24-1</f>
        <v>0.282371039676863</v>
      </c>
      <c r="E24" s="19"/>
      <c r="F24" s="20">
        <f>'article 1-A'!F49/'article 1-A'!F24-1</f>
        <v>0.295305292269809</v>
      </c>
      <c r="G24" s="20">
        <f>'article 1-A'!G49/'article 1-A'!G24-1</f>
        <v>0.155509153366371</v>
      </c>
      <c r="H24" s="19"/>
      <c r="I24" s="20">
        <f>'article 1-A'!I49/'article 1-A'!I24-1</f>
        <v>0.0422245628745326</v>
      </c>
      <c r="J24" s="20">
        <f>'article 1-A'!J49/'article 1-A'!J24-1</f>
        <v>0.26968490200391</v>
      </c>
      <c r="K24" s="20">
        <f>'article 1-A'!K49/'article 1-A'!K24-1</f>
        <v>-0.429538402267958</v>
      </c>
      <c r="L24" s="20">
        <f>'article 1-A'!L49/'article 1-A'!L24-1</f>
        <v>-0.135145359479431</v>
      </c>
      <c r="M24" s="20">
        <f>'article 1-A'!M49/'article 1-A'!M24-1</f>
        <v>0.218023337992657</v>
      </c>
      <c r="N24" s="8"/>
      <c r="O24" s="17" t="s">
        <v>493</v>
      </c>
      <c r="P24" s="8"/>
      <c r="Q24" s="18">
        <f>'article 1-A'!Q49/'article 1-A'!Q24-1</f>
        <v>0.249171620104355</v>
      </c>
      <c r="R24" s="19"/>
      <c r="S24" s="20">
        <f>'article 1-A'!S49/'article 1-A'!S24-1</f>
        <v>0.269123391437858</v>
      </c>
      <c r="T24" s="20">
        <f>'article 1-A'!T49/'article 1-A'!T24-1</f>
        <v>0.121028913150897</v>
      </c>
      <c r="U24" s="19"/>
      <c r="V24" s="20">
        <f>'article 1-A'!V49/'article 1-A'!V24-1</f>
        <v>0.0172567232091276</v>
      </c>
      <c r="W24" s="20">
        <f>'article 1-A'!W49/'article 1-A'!W24-1</f>
        <v>0.242884652864864</v>
      </c>
      <c r="X24" s="20">
        <f>'article 1-A'!X49/'article 1-A'!X24-1</f>
        <v>0.0523781876824776</v>
      </c>
      <c r="Y24" s="20">
        <f>'article 1-A'!Y49/'article 1-A'!Y24-1</f>
        <v>-0.162402744206027</v>
      </c>
      <c r="Z24" s="20">
        <f>'article 1-A'!Z49/'article 1-A'!Z24-1</f>
        <v>0.33718967047416</v>
      </c>
      <c r="AA24" s="16"/>
    </row>
    <row r="25" ht="9" customHeight="1" spans="1:27">
      <c r="A25" s="16"/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16"/>
      <c r="O25" s="22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16"/>
    </row>
    <row r="26" ht="15.15" spans="1:27">
      <c r="B26" s="2"/>
      <c r="D26" s="2"/>
      <c r="F26" s="2"/>
      <c r="G26" s="2"/>
      <c r="I26" s="2"/>
      <c r="J26" s="2"/>
      <c r="K26" s="2"/>
      <c r="L26" s="2"/>
      <c r="M26" s="2"/>
      <c r="O26" s="2"/>
      <c r="Q26" s="2"/>
      <c r="S26" s="2"/>
      <c r="T26" s="2"/>
      <c r="V26" s="2"/>
      <c r="W26" s="2"/>
      <c r="X26" s="2"/>
      <c r="Y26" s="2"/>
      <c r="Z26" s="2"/>
    </row>
    <row r="27" ht="17.4" spans="1:27">
      <c r="B27" s="5" t="s">
        <v>507</v>
      </c>
      <c r="C27" s="6"/>
      <c r="D27" s="5" t="s">
        <v>271</v>
      </c>
      <c r="E27" s="6"/>
      <c r="F27" s="7" t="s">
        <v>463</v>
      </c>
      <c r="G27" s="7"/>
      <c r="H27" s="6"/>
      <c r="I27" s="7" t="s">
        <v>464</v>
      </c>
      <c r="J27" s="7"/>
      <c r="K27" s="7"/>
      <c r="L27" s="7"/>
      <c r="M27" s="7"/>
      <c r="N27" s="8"/>
      <c r="O27" s="5" t="s">
        <v>508</v>
      </c>
      <c r="P27" s="9"/>
      <c r="Q27" s="5" t="s">
        <v>271</v>
      </c>
      <c r="R27" s="6"/>
      <c r="S27" s="7" t="s">
        <v>463</v>
      </c>
      <c r="T27" s="7"/>
      <c r="U27" s="6"/>
      <c r="V27" s="7" t="s">
        <v>464</v>
      </c>
      <c r="W27" s="7"/>
      <c r="X27" s="7"/>
      <c r="Y27" s="7"/>
      <c r="Z27" s="7"/>
    </row>
    <row r="28" ht="18.15" spans="1:27">
      <c r="A28" s="14"/>
      <c r="B28" s="10"/>
      <c r="C28" s="11"/>
      <c r="D28" s="10"/>
      <c r="E28" s="11"/>
      <c r="F28" s="12" t="s">
        <v>461</v>
      </c>
      <c r="G28" s="12" t="s">
        <v>462</v>
      </c>
      <c r="H28" s="11"/>
      <c r="I28" s="12" t="s">
        <v>3</v>
      </c>
      <c r="J28" s="12" t="s">
        <v>4</v>
      </c>
      <c r="K28" s="12" t="s">
        <v>5</v>
      </c>
      <c r="L28" s="12" t="s">
        <v>6</v>
      </c>
      <c r="M28" s="12" t="s">
        <v>7</v>
      </c>
      <c r="N28" s="8"/>
      <c r="O28" s="10"/>
      <c r="P28" s="13"/>
      <c r="Q28" s="10"/>
      <c r="R28" s="11"/>
      <c r="S28" s="12" t="s">
        <v>461</v>
      </c>
      <c r="T28" s="12" t="s">
        <v>462</v>
      </c>
      <c r="U28" s="11"/>
      <c r="V28" s="12" t="s">
        <v>3</v>
      </c>
      <c r="W28" s="12" t="s">
        <v>4</v>
      </c>
      <c r="X28" s="12" t="s">
        <v>5</v>
      </c>
      <c r="Y28" s="12" t="s">
        <v>6</v>
      </c>
      <c r="Z28" s="12" t="s">
        <v>7</v>
      </c>
      <c r="AA28" s="14"/>
    </row>
    <row r="29" spans="1:27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</row>
    <row r="30" ht="24" customHeight="1" spans="1:27">
      <c r="A30" s="16"/>
      <c r="B30" s="17" t="s">
        <v>466</v>
      </c>
      <c r="C30" s="8"/>
      <c r="D30" s="24" t="str">
        <f t="shared" ref="D30:D49" si="0">IF(D5&lt;0,"baisse","HAUSSE")</f>
        <v>baisse</v>
      </c>
      <c r="E30" s="25"/>
      <c r="F30" s="26" t="s">
        <v>509</v>
      </c>
      <c r="G30" s="26" t="s">
        <v>509</v>
      </c>
      <c r="H30" s="25"/>
      <c r="I30" s="26" t="s">
        <v>509</v>
      </c>
      <c r="J30" s="26" t="s">
        <v>509</v>
      </c>
      <c r="K30" s="26" t="s">
        <v>509</v>
      </c>
      <c r="L30" s="26" t="s">
        <v>509</v>
      </c>
      <c r="M30" s="26" t="s">
        <v>509</v>
      </c>
      <c r="N30" s="8"/>
      <c r="O30" s="17" t="s">
        <v>466</v>
      </c>
      <c r="P30" s="8"/>
      <c r="Q30" s="24" t="str">
        <f t="shared" ref="Q30:Q49" si="1">IF(Q5&lt;0,"baisse","HAUSSE")</f>
        <v>baisse</v>
      </c>
      <c r="R30" s="25"/>
      <c r="S30" s="26" t="str">
        <f t="shared" ref="S30:T49" si="2">IF(S5&lt;0,"baisse","HAUSSE")</f>
        <v>baisse</v>
      </c>
      <c r="T30" s="26" t="str">
        <f t="shared" si="2"/>
        <v>baisse</v>
      </c>
      <c r="U30" s="25"/>
      <c r="V30" s="26" t="str">
        <f t="shared" ref="V30:Z39" si="3">IF(V5&lt;0,"baisse","HAUSSE")</f>
        <v>baisse</v>
      </c>
      <c r="W30" s="26" t="str">
        <f t="shared" si="3"/>
        <v>baisse</v>
      </c>
      <c r="X30" s="26" t="str">
        <f t="shared" si="3"/>
        <v>HAUSSE</v>
      </c>
      <c r="Y30" s="26" t="str">
        <f t="shared" si="3"/>
        <v>baisse</v>
      </c>
      <c r="Z30" s="26" t="str">
        <f t="shared" si="3"/>
        <v>baisse</v>
      </c>
      <c r="AA30" s="16"/>
    </row>
    <row r="31" ht="24" customHeight="1" spans="1:27">
      <c r="A31" s="16"/>
      <c r="B31" s="17" t="s">
        <v>468</v>
      </c>
      <c r="C31" s="8"/>
      <c r="D31" s="24" t="str">
        <f t="shared" si="0"/>
        <v>HAUSSE</v>
      </c>
      <c r="E31" s="25"/>
      <c r="F31" s="26" t="s">
        <v>510</v>
      </c>
      <c r="G31" s="26" t="s">
        <v>510</v>
      </c>
      <c r="H31" s="25"/>
      <c r="I31" s="26" t="s">
        <v>510</v>
      </c>
      <c r="J31" s="26" t="s">
        <v>510</v>
      </c>
      <c r="K31" s="26" t="s">
        <v>510</v>
      </c>
      <c r="L31" s="26" t="s">
        <v>510</v>
      </c>
      <c r="M31" s="26" t="s">
        <v>510</v>
      </c>
      <c r="N31" s="8"/>
      <c r="O31" s="17" t="s">
        <v>468</v>
      </c>
      <c r="P31" s="8"/>
      <c r="Q31" s="24" t="str">
        <f t="shared" si="1"/>
        <v>HAUSSE</v>
      </c>
      <c r="R31" s="25"/>
      <c r="S31" s="26" t="str">
        <f t="shared" si="2"/>
        <v>HAUSSE</v>
      </c>
      <c r="T31" s="26" t="str">
        <f t="shared" si="2"/>
        <v>baisse</v>
      </c>
      <c r="U31" s="25"/>
      <c r="V31" s="26" t="str">
        <f t="shared" si="3"/>
        <v>baisse</v>
      </c>
      <c r="W31" s="26" t="str">
        <f t="shared" si="3"/>
        <v>baisse</v>
      </c>
      <c r="X31" s="26" t="str">
        <f t="shared" si="3"/>
        <v>baisse</v>
      </c>
      <c r="Y31" s="26" t="str">
        <f t="shared" si="3"/>
        <v>HAUSSE</v>
      </c>
      <c r="Z31" s="26" t="str">
        <f t="shared" si="3"/>
        <v>HAUSSE</v>
      </c>
      <c r="AA31" s="16"/>
    </row>
    <row r="32" ht="24" customHeight="1" spans="1:27">
      <c r="A32" s="16"/>
      <c r="B32" s="17" t="s">
        <v>469</v>
      </c>
      <c r="C32" s="8"/>
      <c r="D32" s="24" t="str">
        <f t="shared" si="0"/>
        <v>baisse</v>
      </c>
      <c r="E32" s="25"/>
      <c r="F32" s="26" t="s">
        <v>509</v>
      </c>
      <c r="G32" s="26" t="s">
        <v>509</v>
      </c>
      <c r="H32" s="25"/>
      <c r="I32" s="26" t="s">
        <v>509</v>
      </c>
      <c r="J32" s="26" t="s">
        <v>509</v>
      </c>
      <c r="K32" s="26" t="s">
        <v>509</v>
      </c>
      <c r="L32" s="26" t="s">
        <v>509</v>
      </c>
      <c r="M32" s="26" t="s">
        <v>509</v>
      </c>
      <c r="N32" s="8"/>
      <c r="O32" s="17" t="s">
        <v>469</v>
      </c>
      <c r="P32" s="8"/>
      <c r="Q32" s="24" t="str">
        <f t="shared" si="1"/>
        <v>HAUSSE</v>
      </c>
      <c r="R32" s="25"/>
      <c r="S32" s="26" t="str">
        <f t="shared" si="2"/>
        <v>HAUSSE</v>
      </c>
      <c r="T32" s="26" t="str">
        <f t="shared" si="2"/>
        <v>baisse</v>
      </c>
      <c r="U32" s="25"/>
      <c r="V32" s="26" t="str">
        <f t="shared" si="3"/>
        <v>baisse</v>
      </c>
      <c r="W32" s="26" t="str">
        <f t="shared" si="3"/>
        <v>HAUSSE</v>
      </c>
      <c r="X32" s="26" t="str">
        <f t="shared" si="3"/>
        <v>baisse</v>
      </c>
      <c r="Y32" s="26" t="str">
        <f t="shared" si="3"/>
        <v>baisse</v>
      </c>
      <c r="Z32" s="26" t="str">
        <f t="shared" si="3"/>
        <v>baisse</v>
      </c>
      <c r="AA32" s="16"/>
    </row>
    <row r="33" ht="24" customHeight="1" spans="1:27">
      <c r="A33" s="16"/>
      <c r="B33" s="17" t="s">
        <v>470</v>
      </c>
      <c r="C33" s="8"/>
      <c r="D33" s="24" t="str">
        <f t="shared" si="0"/>
        <v>HAUSSE</v>
      </c>
      <c r="E33" s="25"/>
      <c r="F33" s="26" t="s">
        <v>510</v>
      </c>
      <c r="G33" s="26" t="s">
        <v>510</v>
      </c>
      <c r="H33" s="25"/>
      <c r="I33" s="26" t="s">
        <v>510</v>
      </c>
      <c r="J33" s="26" t="s">
        <v>510</v>
      </c>
      <c r="K33" s="26" t="s">
        <v>510</v>
      </c>
      <c r="L33" s="26" t="s">
        <v>510</v>
      </c>
      <c r="M33" s="26" t="s">
        <v>510</v>
      </c>
      <c r="N33" s="8"/>
      <c r="O33" s="17" t="s">
        <v>470</v>
      </c>
      <c r="P33" s="8"/>
      <c r="Q33" s="24" t="str">
        <f t="shared" si="1"/>
        <v>HAUSSE</v>
      </c>
      <c r="R33" s="25"/>
      <c r="S33" s="26" t="str">
        <f t="shared" si="2"/>
        <v>HAUSSE</v>
      </c>
      <c r="T33" s="26" t="str">
        <f t="shared" si="2"/>
        <v>HAUSSE</v>
      </c>
      <c r="U33" s="25"/>
      <c r="V33" s="26" t="str">
        <f t="shared" si="3"/>
        <v>baisse</v>
      </c>
      <c r="W33" s="26" t="str">
        <f t="shared" si="3"/>
        <v>baisse</v>
      </c>
      <c r="X33" s="26" t="str">
        <f t="shared" si="3"/>
        <v>HAUSSE</v>
      </c>
      <c r="Y33" s="26" t="str">
        <f t="shared" si="3"/>
        <v>baisse</v>
      </c>
      <c r="Z33" s="26" t="str">
        <f t="shared" si="3"/>
        <v>HAUSSE</v>
      </c>
      <c r="AA33" s="16"/>
    </row>
    <row r="34" ht="24" customHeight="1" spans="1:27">
      <c r="A34" s="16"/>
      <c r="B34" s="17" t="s">
        <v>471</v>
      </c>
      <c r="C34" s="8"/>
      <c r="D34" s="24" t="str">
        <f t="shared" si="0"/>
        <v>HAUSSE</v>
      </c>
      <c r="E34" s="25"/>
      <c r="F34" s="26" t="s">
        <v>510</v>
      </c>
      <c r="G34" s="26" t="s">
        <v>510</v>
      </c>
      <c r="H34" s="25"/>
      <c r="I34" s="26" t="s">
        <v>510</v>
      </c>
      <c r="J34" s="26" t="s">
        <v>510</v>
      </c>
      <c r="K34" s="26" t="s">
        <v>510</v>
      </c>
      <c r="L34" s="26" t="s">
        <v>510</v>
      </c>
      <c r="M34" s="26" t="s">
        <v>510</v>
      </c>
      <c r="N34" s="8"/>
      <c r="O34" s="17" t="s">
        <v>471</v>
      </c>
      <c r="P34" s="8"/>
      <c r="Q34" s="24" t="str">
        <f t="shared" si="1"/>
        <v>HAUSSE</v>
      </c>
      <c r="R34" s="25"/>
      <c r="S34" s="26" t="str">
        <f t="shared" si="2"/>
        <v>HAUSSE</v>
      </c>
      <c r="T34" s="26" t="str">
        <f t="shared" si="2"/>
        <v>HAUSSE</v>
      </c>
      <c r="U34" s="25"/>
      <c r="V34" s="26" t="str">
        <f t="shared" si="3"/>
        <v>HAUSSE</v>
      </c>
      <c r="W34" s="26" t="str">
        <f t="shared" si="3"/>
        <v>baisse</v>
      </c>
      <c r="X34" s="26" t="str">
        <f t="shared" si="3"/>
        <v>baisse</v>
      </c>
      <c r="Y34" s="26" t="str">
        <f t="shared" si="3"/>
        <v>baisse</v>
      </c>
      <c r="Z34" s="26" t="str">
        <f t="shared" si="3"/>
        <v>HAUSSE</v>
      </c>
      <c r="AA34" s="16"/>
    </row>
    <row r="35" ht="24" customHeight="1" spans="1:27">
      <c r="A35" s="16"/>
      <c r="B35" s="17" t="s">
        <v>473</v>
      </c>
      <c r="C35" s="8"/>
      <c r="D35" s="24" t="str">
        <f t="shared" si="0"/>
        <v>HAUSSE</v>
      </c>
      <c r="E35" s="25"/>
      <c r="F35" s="26" t="s">
        <v>510</v>
      </c>
      <c r="G35" s="26" t="s">
        <v>510</v>
      </c>
      <c r="H35" s="25"/>
      <c r="I35" s="26" t="s">
        <v>510</v>
      </c>
      <c r="J35" s="26" t="s">
        <v>510</v>
      </c>
      <c r="K35" s="26" t="s">
        <v>510</v>
      </c>
      <c r="L35" s="26" t="s">
        <v>510</v>
      </c>
      <c r="M35" s="26" t="s">
        <v>510</v>
      </c>
      <c r="N35" s="8"/>
      <c r="O35" s="17" t="s">
        <v>473</v>
      </c>
      <c r="P35" s="8"/>
      <c r="Q35" s="24" t="str">
        <f t="shared" si="1"/>
        <v>HAUSSE</v>
      </c>
      <c r="R35" s="25"/>
      <c r="S35" s="26" t="str">
        <f t="shared" si="2"/>
        <v>HAUSSE</v>
      </c>
      <c r="T35" s="26" t="str">
        <f t="shared" si="2"/>
        <v>HAUSSE</v>
      </c>
      <c r="U35" s="25"/>
      <c r="V35" s="26" t="str">
        <f t="shared" si="3"/>
        <v>HAUSSE</v>
      </c>
      <c r="W35" s="26" t="str">
        <f t="shared" si="3"/>
        <v>HAUSSE</v>
      </c>
      <c r="X35" s="26" t="str">
        <f t="shared" si="3"/>
        <v>baisse</v>
      </c>
      <c r="Y35" s="26" t="str">
        <f t="shared" si="3"/>
        <v>HAUSSE</v>
      </c>
      <c r="Z35" s="26" t="str">
        <f t="shared" si="3"/>
        <v>HAUSSE</v>
      </c>
      <c r="AA35" s="16"/>
    </row>
    <row r="36" ht="24" customHeight="1" spans="1:27">
      <c r="A36" s="16"/>
      <c r="B36" s="17" t="s">
        <v>474</v>
      </c>
      <c r="C36" s="8"/>
      <c r="D36" s="24" t="str">
        <f t="shared" si="0"/>
        <v>baisse</v>
      </c>
      <c r="E36" s="25"/>
      <c r="F36" s="26" t="s">
        <v>509</v>
      </c>
      <c r="G36" s="26" t="s">
        <v>509</v>
      </c>
      <c r="H36" s="25"/>
      <c r="I36" s="26" t="s">
        <v>509</v>
      </c>
      <c r="J36" s="26" t="s">
        <v>509</v>
      </c>
      <c r="K36" s="26" t="s">
        <v>509</v>
      </c>
      <c r="L36" s="26" t="s">
        <v>509</v>
      </c>
      <c r="M36" s="26" t="s">
        <v>509</v>
      </c>
      <c r="N36" s="8"/>
      <c r="O36" s="17" t="s">
        <v>474</v>
      </c>
      <c r="P36" s="8"/>
      <c r="Q36" s="24" t="str">
        <f t="shared" si="1"/>
        <v>HAUSSE</v>
      </c>
      <c r="R36" s="25"/>
      <c r="S36" s="26" t="str">
        <f t="shared" si="2"/>
        <v>HAUSSE</v>
      </c>
      <c r="T36" s="26" t="str">
        <f t="shared" si="2"/>
        <v>HAUSSE</v>
      </c>
      <c r="U36" s="25"/>
      <c r="V36" s="26" t="str">
        <f t="shared" si="3"/>
        <v>baisse</v>
      </c>
      <c r="W36" s="26" t="str">
        <f t="shared" si="3"/>
        <v>HAUSSE</v>
      </c>
      <c r="X36" s="26" t="str">
        <f t="shared" si="3"/>
        <v>baisse</v>
      </c>
      <c r="Y36" s="26" t="str">
        <f t="shared" si="3"/>
        <v>HAUSSE</v>
      </c>
      <c r="Z36" s="26" t="str">
        <f t="shared" si="3"/>
        <v>baisse</v>
      </c>
      <c r="AA36" s="16"/>
    </row>
    <row r="37" ht="24" customHeight="1" spans="1:27">
      <c r="A37" s="16"/>
      <c r="B37" s="17" t="s">
        <v>475</v>
      </c>
      <c r="C37" s="8"/>
      <c r="D37" s="24" t="str">
        <f t="shared" si="0"/>
        <v>HAUSSE</v>
      </c>
      <c r="E37" s="25"/>
      <c r="F37" s="26" t="s">
        <v>510</v>
      </c>
      <c r="G37" s="26" t="s">
        <v>510</v>
      </c>
      <c r="H37" s="25"/>
      <c r="I37" s="26" t="s">
        <v>510</v>
      </c>
      <c r="J37" s="26" t="s">
        <v>510</v>
      </c>
      <c r="K37" s="26" t="s">
        <v>510</v>
      </c>
      <c r="L37" s="26" t="s">
        <v>510</v>
      </c>
      <c r="M37" s="26" t="s">
        <v>510</v>
      </c>
      <c r="N37" s="8"/>
      <c r="O37" s="17" t="s">
        <v>475</v>
      </c>
      <c r="P37" s="8"/>
      <c r="Q37" s="24" t="str">
        <f t="shared" si="1"/>
        <v>HAUSSE</v>
      </c>
      <c r="R37" s="25"/>
      <c r="S37" s="26" t="str">
        <f t="shared" si="2"/>
        <v>HAUSSE</v>
      </c>
      <c r="T37" s="26" t="str">
        <f t="shared" si="2"/>
        <v>HAUSSE</v>
      </c>
      <c r="U37" s="25"/>
      <c r="V37" s="26" t="str">
        <f t="shared" si="3"/>
        <v>HAUSSE</v>
      </c>
      <c r="W37" s="26" t="str">
        <f t="shared" si="3"/>
        <v>HAUSSE</v>
      </c>
      <c r="X37" s="26" t="str">
        <f t="shared" si="3"/>
        <v>baisse</v>
      </c>
      <c r="Y37" s="26" t="str">
        <f t="shared" si="3"/>
        <v>baisse</v>
      </c>
      <c r="Z37" s="26" t="str">
        <f t="shared" si="3"/>
        <v>HAUSSE</v>
      </c>
      <c r="AA37" s="16"/>
    </row>
    <row r="38" ht="24" customHeight="1" spans="1:27">
      <c r="A38" s="16"/>
      <c r="B38" s="17" t="s">
        <v>477</v>
      </c>
      <c r="C38" s="8"/>
      <c r="D38" s="24" t="str">
        <f t="shared" si="0"/>
        <v>baisse</v>
      </c>
      <c r="E38" s="25"/>
      <c r="F38" s="26" t="s">
        <v>509</v>
      </c>
      <c r="G38" s="26" t="s">
        <v>509</v>
      </c>
      <c r="H38" s="25"/>
      <c r="I38" s="26" t="s">
        <v>509</v>
      </c>
      <c r="J38" s="26" t="s">
        <v>509</v>
      </c>
      <c r="K38" s="26" t="s">
        <v>509</v>
      </c>
      <c r="L38" s="26" t="s">
        <v>509</v>
      </c>
      <c r="M38" s="26" t="s">
        <v>509</v>
      </c>
      <c r="N38" s="8"/>
      <c r="O38" s="17" t="s">
        <v>477</v>
      </c>
      <c r="P38" s="8"/>
      <c r="Q38" s="24" t="str">
        <f t="shared" si="1"/>
        <v>baisse</v>
      </c>
      <c r="R38" s="25"/>
      <c r="S38" s="26" t="str">
        <f t="shared" si="2"/>
        <v>baisse</v>
      </c>
      <c r="T38" s="26" t="str">
        <f t="shared" si="2"/>
        <v>baisse</v>
      </c>
      <c r="U38" s="25"/>
      <c r="V38" s="26" t="str">
        <f t="shared" si="3"/>
        <v>HAUSSE</v>
      </c>
      <c r="W38" s="26" t="str">
        <f t="shared" si="3"/>
        <v>HAUSSE</v>
      </c>
      <c r="X38" s="26" t="str">
        <f t="shared" si="3"/>
        <v>HAUSSE</v>
      </c>
      <c r="Y38" s="26" t="str">
        <f t="shared" si="3"/>
        <v>HAUSSE</v>
      </c>
      <c r="Z38" s="26" t="str">
        <f t="shared" si="3"/>
        <v>baisse</v>
      </c>
      <c r="AA38" s="16"/>
    </row>
    <row r="39" ht="24" customHeight="1" spans="1:27">
      <c r="A39" s="16"/>
      <c r="B39" s="17" t="s">
        <v>479</v>
      </c>
      <c r="C39" s="8"/>
      <c r="D39" s="24" t="str">
        <f t="shared" si="0"/>
        <v>HAUSSE</v>
      </c>
      <c r="E39" s="25"/>
      <c r="F39" s="26" t="s">
        <v>510</v>
      </c>
      <c r="G39" s="26" t="s">
        <v>510</v>
      </c>
      <c r="H39" s="25"/>
      <c r="I39" s="26" t="s">
        <v>510</v>
      </c>
      <c r="J39" s="26" t="s">
        <v>510</v>
      </c>
      <c r="K39" s="26" t="s">
        <v>510</v>
      </c>
      <c r="L39" s="26" t="s">
        <v>510</v>
      </c>
      <c r="M39" s="26" t="s">
        <v>510</v>
      </c>
      <c r="N39" s="8"/>
      <c r="O39" s="17" t="s">
        <v>479</v>
      </c>
      <c r="P39" s="8"/>
      <c r="Q39" s="24" t="str">
        <f t="shared" si="1"/>
        <v>HAUSSE</v>
      </c>
      <c r="R39" s="25"/>
      <c r="S39" s="26" t="str">
        <f t="shared" si="2"/>
        <v>baisse</v>
      </c>
      <c r="T39" s="26" t="str">
        <f t="shared" si="2"/>
        <v>baisse</v>
      </c>
      <c r="U39" s="25"/>
      <c r="V39" s="26" t="str">
        <f t="shared" si="3"/>
        <v>baisse</v>
      </c>
      <c r="W39" s="26" t="str">
        <f t="shared" si="3"/>
        <v>baisse</v>
      </c>
      <c r="X39" s="26" t="str">
        <f t="shared" si="3"/>
        <v>HAUSSE</v>
      </c>
      <c r="Y39" s="26" t="str">
        <f t="shared" si="3"/>
        <v>baisse</v>
      </c>
      <c r="Z39" s="26" t="str">
        <f t="shared" si="3"/>
        <v>HAUSSE</v>
      </c>
      <c r="AA39" s="16"/>
    </row>
    <row r="40" ht="24" customHeight="1" spans="1:27">
      <c r="A40" s="16"/>
      <c r="B40" s="17" t="s">
        <v>481</v>
      </c>
      <c r="C40" s="8"/>
      <c r="D40" s="24" t="str">
        <f t="shared" si="0"/>
        <v>HAUSSE</v>
      </c>
      <c r="E40" s="25"/>
      <c r="F40" s="26" t="s">
        <v>510</v>
      </c>
      <c r="G40" s="26" t="s">
        <v>510</v>
      </c>
      <c r="H40" s="25"/>
      <c r="I40" s="26" t="s">
        <v>510</v>
      </c>
      <c r="J40" s="26" t="s">
        <v>510</v>
      </c>
      <c r="K40" s="26" t="s">
        <v>510</v>
      </c>
      <c r="L40" s="26" t="s">
        <v>510</v>
      </c>
      <c r="M40" s="26" t="s">
        <v>510</v>
      </c>
      <c r="N40" s="8"/>
      <c r="O40" s="17" t="s">
        <v>481</v>
      </c>
      <c r="P40" s="8"/>
      <c r="Q40" s="24" t="str">
        <f t="shared" si="1"/>
        <v>HAUSSE</v>
      </c>
      <c r="R40" s="25"/>
      <c r="S40" s="26" t="str">
        <f t="shared" si="2"/>
        <v>baisse</v>
      </c>
      <c r="T40" s="26" t="str">
        <f t="shared" si="2"/>
        <v>HAUSSE</v>
      </c>
      <c r="U40" s="25"/>
      <c r="V40" s="26" t="str">
        <f t="shared" ref="V40:Z49" si="4">IF(V15&lt;0,"baisse","HAUSSE")</f>
        <v>HAUSSE</v>
      </c>
      <c r="W40" s="26" t="str">
        <f t="shared" si="4"/>
        <v>baisse</v>
      </c>
      <c r="X40" s="26" t="str">
        <f t="shared" si="4"/>
        <v>HAUSSE</v>
      </c>
      <c r="Y40" s="26" t="str">
        <f t="shared" si="4"/>
        <v>HAUSSE</v>
      </c>
      <c r="Z40" s="26" t="str">
        <f t="shared" si="4"/>
        <v>HAUSSE</v>
      </c>
      <c r="AA40" s="16"/>
    </row>
    <row r="41" ht="24" customHeight="1" spans="1:27">
      <c r="A41" s="16"/>
      <c r="B41" s="17" t="s">
        <v>482</v>
      </c>
      <c r="C41" s="8"/>
      <c r="D41" s="24" t="str">
        <f t="shared" si="0"/>
        <v>baisse</v>
      </c>
      <c r="E41" s="25"/>
      <c r="F41" s="26" t="s">
        <v>509</v>
      </c>
      <c r="G41" s="26" t="s">
        <v>509</v>
      </c>
      <c r="H41" s="25"/>
      <c r="I41" s="26" t="s">
        <v>509</v>
      </c>
      <c r="J41" s="26" t="s">
        <v>509</v>
      </c>
      <c r="K41" s="26" t="s">
        <v>509</v>
      </c>
      <c r="L41" s="26" t="s">
        <v>509</v>
      </c>
      <c r="M41" s="26" t="s">
        <v>509</v>
      </c>
      <c r="N41" s="8"/>
      <c r="O41" s="17" t="s">
        <v>482</v>
      </c>
      <c r="P41" s="8"/>
      <c r="Q41" s="24" t="str">
        <f t="shared" si="1"/>
        <v>baisse</v>
      </c>
      <c r="R41" s="25"/>
      <c r="S41" s="26" t="str">
        <f t="shared" si="2"/>
        <v>baisse</v>
      </c>
      <c r="T41" s="26" t="str">
        <f t="shared" si="2"/>
        <v>baisse</v>
      </c>
      <c r="U41" s="25"/>
      <c r="V41" s="26" t="str">
        <f t="shared" si="4"/>
        <v>HAUSSE</v>
      </c>
      <c r="W41" s="26" t="str">
        <f t="shared" si="4"/>
        <v>baisse</v>
      </c>
      <c r="X41" s="26" t="str">
        <f t="shared" si="4"/>
        <v>baisse</v>
      </c>
      <c r="Y41" s="26" t="str">
        <f t="shared" si="4"/>
        <v>baisse</v>
      </c>
      <c r="Z41" s="26" t="str">
        <f t="shared" si="4"/>
        <v>baisse</v>
      </c>
      <c r="AA41" s="16"/>
    </row>
    <row r="42" ht="24" customHeight="1" spans="1:27">
      <c r="A42" s="16"/>
      <c r="B42" s="17" t="s">
        <v>484</v>
      </c>
      <c r="C42" s="8"/>
      <c r="D42" s="24" t="str">
        <f t="shared" si="0"/>
        <v>HAUSSE</v>
      </c>
      <c r="E42" s="25"/>
      <c r="F42" s="26" t="s">
        <v>510</v>
      </c>
      <c r="G42" s="26" t="s">
        <v>510</v>
      </c>
      <c r="H42" s="25"/>
      <c r="I42" s="26" t="s">
        <v>510</v>
      </c>
      <c r="J42" s="26" t="s">
        <v>510</v>
      </c>
      <c r="K42" s="26" t="s">
        <v>510</v>
      </c>
      <c r="L42" s="26" t="s">
        <v>510</v>
      </c>
      <c r="M42" s="26" t="s">
        <v>510</v>
      </c>
      <c r="N42" s="8"/>
      <c r="O42" s="17" t="s">
        <v>484</v>
      </c>
      <c r="P42" s="8"/>
      <c r="Q42" s="24" t="str">
        <f t="shared" si="1"/>
        <v>HAUSSE</v>
      </c>
      <c r="R42" s="25"/>
      <c r="S42" s="26" t="str">
        <f t="shared" si="2"/>
        <v>HAUSSE</v>
      </c>
      <c r="T42" s="26" t="str">
        <f t="shared" si="2"/>
        <v>HAUSSE</v>
      </c>
      <c r="U42" s="25"/>
      <c r="V42" s="26" t="str">
        <f t="shared" si="4"/>
        <v>HAUSSE</v>
      </c>
      <c r="W42" s="26" t="str">
        <f t="shared" si="4"/>
        <v>HAUSSE</v>
      </c>
      <c r="X42" s="26" t="str">
        <f t="shared" si="4"/>
        <v>baisse</v>
      </c>
      <c r="Y42" s="26" t="str">
        <f t="shared" si="4"/>
        <v>baisse</v>
      </c>
      <c r="Z42" s="26" t="str">
        <f t="shared" si="4"/>
        <v>HAUSSE</v>
      </c>
      <c r="AA42" s="16"/>
    </row>
    <row r="43" ht="24" customHeight="1" spans="1:27">
      <c r="A43" s="16"/>
      <c r="B43" s="17" t="s">
        <v>485</v>
      </c>
      <c r="C43" s="8"/>
      <c r="D43" s="24" t="str">
        <f t="shared" si="0"/>
        <v>HAUSSE</v>
      </c>
      <c r="E43" s="25"/>
      <c r="F43" s="26" t="s">
        <v>510</v>
      </c>
      <c r="G43" s="26" t="s">
        <v>510</v>
      </c>
      <c r="H43" s="25"/>
      <c r="I43" s="26" t="s">
        <v>510</v>
      </c>
      <c r="J43" s="26" t="s">
        <v>510</v>
      </c>
      <c r="K43" s="26" t="s">
        <v>510</v>
      </c>
      <c r="L43" s="26" t="s">
        <v>510</v>
      </c>
      <c r="M43" s="26" t="s">
        <v>510</v>
      </c>
      <c r="N43" s="8"/>
      <c r="O43" s="17" t="s">
        <v>485</v>
      </c>
      <c r="P43" s="8"/>
      <c r="Q43" s="24" t="str">
        <f t="shared" si="1"/>
        <v>HAUSSE</v>
      </c>
      <c r="R43" s="25"/>
      <c r="S43" s="26" t="str">
        <f t="shared" si="2"/>
        <v>HAUSSE</v>
      </c>
      <c r="T43" s="26" t="str">
        <f t="shared" si="2"/>
        <v>HAUSSE</v>
      </c>
      <c r="U43" s="25"/>
      <c r="V43" s="26" t="str">
        <f t="shared" si="4"/>
        <v>baisse</v>
      </c>
      <c r="W43" s="26" t="str">
        <f t="shared" si="4"/>
        <v>baisse</v>
      </c>
      <c r="X43" s="26" t="str">
        <f t="shared" si="4"/>
        <v>baisse</v>
      </c>
      <c r="Y43" s="26" t="str">
        <f t="shared" si="4"/>
        <v>baisse</v>
      </c>
      <c r="Z43" s="26" t="str">
        <f t="shared" si="4"/>
        <v>HAUSSE</v>
      </c>
      <c r="AA43" s="16"/>
    </row>
    <row r="44" ht="24" customHeight="1" spans="1:27">
      <c r="A44" s="16"/>
      <c r="B44" s="17" t="s">
        <v>486</v>
      </c>
      <c r="C44" s="8"/>
      <c r="D44" s="24" t="str">
        <f t="shared" si="0"/>
        <v>baisse</v>
      </c>
      <c r="E44" s="25"/>
      <c r="F44" s="26" t="s">
        <v>509</v>
      </c>
      <c r="G44" s="26" t="s">
        <v>509</v>
      </c>
      <c r="H44" s="25"/>
      <c r="I44" s="26" t="s">
        <v>509</v>
      </c>
      <c r="J44" s="26" t="s">
        <v>509</v>
      </c>
      <c r="K44" s="26" t="s">
        <v>509</v>
      </c>
      <c r="L44" s="26" t="s">
        <v>509</v>
      </c>
      <c r="M44" s="26" t="s">
        <v>509</v>
      </c>
      <c r="N44" s="8"/>
      <c r="O44" s="17" t="s">
        <v>486</v>
      </c>
      <c r="P44" s="8"/>
      <c r="Q44" s="24" t="str">
        <f t="shared" si="1"/>
        <v>baisse</v>
      </c>
      <c r="R44" s="25"/>
      <c r="S44" s="26" t="str">
        <f t="shared" si="2"/>
        <v>baisse</v>
      </c>
      <c r="T44" s="26" t="str">
        <f t="shared" si="2"/>
        <v>baisse</v>
      </c>
      <c r="U44" s="25"/>
      <c r="V44" s="26" t="str">
        <f t="shared" si="4"/>
        <v>baisse</v>
      </c>
      <c r="W44" s="26" t="str">
        <f t="shared" si="4"/>
        <v>baisse</v>
      </c>
      <c r="X44" s="26" t="str">
        <f t="shared" si="4"/>
        <v>baisse</v>
      </c>
      <c r="Y44" s="26" t="str">
        <f t="shared" si="4"/>
        <v>baisse</v>
      </c>
      <c r="Z44" s="26" t="str">
        <f t="shared" si="4"/>
        <v>HAUSSE</v>
      </c>
      <c r="AA44" s="16"/>
    </row>
    <row r="45" ht="24" customHeight="1" spans="1:27">
      <c r="A45" s="16"/>
      <c r="B45" s="17" t="s">
        <v>487</v>
      </c>
      <c r="C45" s="8"/>
      <c r="D45" s="24" t="str">
        <f t="shared" si="0"/>
        <v>HAUSSE</v>
      </c>
      <c r="E45" s="25"/>
      <c r="F45" s="26" t="s">
        <v>510</v>
      </c>
      <c r="G45" s="26" t="s">
        <v>510</v>
      </c>
      <c r="H45" s="25"/>
      <c r="I45" s="26" t="s">
        <v>510</v>
      </c>
      <c r="J45" s="26" t="s">
        <v>510</v>
      </c>
      <c r="K45" s="26" t="s">
        <v>510</v>
      </c>
      <c r="L45" s="26" t="s">
        <v>510</v>
      </c>
      <c r="M45" s="26" t="s">
        <v>510</v>
      </c>
      <c r="N45" s="8"/>
      <c r="O45" s="17" t="s">
        <v>487</v>
      </c>
      <c r="P45" s="8"/>
      <c r="Q45" s="24" t="str">
        <f t="shared" si="1"/>
        <v>HAUSSE</v>
      </c>
      <c r="R45" s="25"/>
      <c r="S45" s="26" t="str">
        <f t="shared" si="2"/>
        <v>HAUSSE</v>
      </c>
      <c r="T45" s="26" t="str">
        <f t="shared" si="2"/>
        <v>baisse</v>
      </c>
      <c r="U45" s="25"/>
      <c r="V45" s="26" t="str">
        <f t="shared" si="4"/>
        <v>HAUSSE</v>
      </c>
      <c r="W45" s="26" t="str">
        <f t="shared" si="4"/>
        <v>HAUSSE</v>
      </c>
      <c r="X45" s="26" t="str">
        <f t="shared" si="4"/>
        <v>baisse</v>
      </c>
      <c r="Y45" s="26" t="str">
        <f t="shared" si="4"/>
        <v>baisse</v>
      </c>
      <c r="Z45" s="26" t="str">
        <f t="shared" si="4"/>
        <v>HAUSSE</v>
      </c>
      <c r="AA45" s="16"/>
    </row>
    <row r="46" ht="24" customHeight="1" spans="1:27">
      <c r="A46" s="16"/>
      <c r="B46" s="17" t="s">
        <v>488</v>
      </c>
      <c r="C46" s="8"/>
      <c r="D46" s="24" t="str">
        <f t="shared" si="0"/>
        <v>baisse</v>
      </c>
      <c r="E46" s="25"/>
      <c r="F46" s="26" t="s">
        <v>509</v>
      </c>
      <c r="G46" s="26" t="s">
        <v>509</v>
      </c>
      <c r="H46" s="25"/>
      <c r="I46" s="26" t="s">
        <v>509</v>
      </c>
      <c r="J46" s="26" t="s">
        <v>509</v>
      </c>
      <c r="K46" s="26" t="s">
        <v>509</v>
      </c>
      <c r="L46" s="26" t="s">
        <v>509</v>
      </c>
      <c r="M46" s="26" t="s">
        <v>509</v>
      </c>
      <c r="N46" s="8"/>
      <c r="O46" s="17" t="s">
        <v>488</v>
      </c>
      <c r="P46" s="8"/>
      <c r="Q46" s="24" t="str">
        <f t="shared" si="1"/>
        <v>baisse</v>
      </c>
      <c r="R46" s="25"/>
      <c r="S46" s="26" t="str">
        <f t="shared" si="2"/>
        <v>baisse</v>
      </c>
      <c r="T46" s="26" t="str">
        <f t="shared" si="2"/>
        <v>HAUSSE</v>
      </c>
      <c r="U46" s="25"/>
      <c r="V46" s="26" t="str">
        <f t="shared" si="4"/>
        <v>baisse</v>
      </c>
      <c r="W46" s="26" t="str">
        <f t="shared" si="4"/>
        <v>baisse</v>
      </c>
      <c r="X46" s="26" t="str">
        <f t="shared" si="4"/>
        <v>baisse</v>
      </c>
      <c r="Y46" s="26" t="str">
        <f t="shared" si="4"/>
        <v>baisse</v>
      </c>
      <c r="Z46" s="26" t="str">
        <f t="shared" si="4"/>
        <v>baisse</v>
      </c>
      <c r="AA46" s="16"/>
    </row>
    <row r="47" ht="24" customHeight="1" spans="1:27">
      <c r="A47" s="16"/>
      <c r="B47" s="17" t="s">
        <v>490</v>
      </c>
      <c r="C47" s="8"/>
      <c r="D47" s="24" t="str">
        <f t="shared" si="0"/>
        <v>HAUSSE</v>
      </c>
      <c r="E47" s="25"/>
      <c r="F47" s="26" t="s">
        <v>510</v>
      </c>
      <c r="G47" s="26" t="s">
        <v>510</v>
      </c>
      <c r="H47" s="25"/>
      <c r="I47" s="26" t="s">
        <v>510</v>
      </c>
      <c r="J47" s="26" t="s">
        <v>510</v>
      </c>
      <c r="K47" s="26" t="s">
        <v>510</v>
      </c>
      <c r="L47" s="26" t="s">
        <v>510</v>
      </c>
      <c r="M47" s="26" t="s">
        <v>510</v>
      </c>
      <c r="N47" s="8"/>
      <c r="O47" s="17" t="s">
        <v>490</v>
      </c>
      <c r="P47" s="8"/>
      <c r="Q47" s="24" t="str">
        <f t="shared" si="1"/>
        <v>HAUSSE</v>
      </c>
      <c r="R47" s="25"/>
      <c r="S47" s="26" t="str">
        <f t="shared" si="2"/>
        <v>HAUSSE</v>
      </c>
      <c r="T47" s="26" t="str">
        <f t="shared" si="2"/>
        <v>HAUSSE</v>
      </c>
      <c r="U47" s="25"/>
      <c r="V47" s="26" t="str">
        <f t="shared" si="4"/>
        <v>baisse</v>
      </c>
      <c r="W47" s="26" t="str">
        <f t="shared" si="4"/>
        <v>baisse</v>
      </c>
      <c r="X47" s="26" t="str">
        <f t="shared" si="4"/>
        <v>baisse</v>
      </c>
      <c r="Y47" s="26" t="str">
        <f t="shared" si="4"/>
        <v>baisse</v>
      </c>
      <c r="Z47" s="26" t="str">
        <f t="shared" si="4"/>
        <v>HAUSSE</v>
      </c>
      <c r="AA47" s="16"/>
    </row>
    <row r="48" ht="24" customHeight="1" spans="1:27">
      <c r="A48" s="16"/>
      <c r="B48" s="21" t="s">
        <v>492</v>
      </c>
      <c r="C48" s="8"/>
      <c r="D48" s="24" t="str">
        <f t="shared" si="0"/>
        <v>HAUSSE</v>
      </c>
      <c r="E48" s="25"/>
      <c r="F48" s="26" t="s">
        <v>510</v>
      </c>
      <c r="G48" s="26" t="s">
        <v>510</v>
      </c>
      <c r="H48" s="25"/>
      <c r="I48" s="26" t="s">
        <v>510</v>
      </c>
      <c r="J48" s="26" t="s">
        <v>510</v>
      </c>
      <c r="K48" s="26" t="s">
        <v>510</v>
      </c>
      <c r="L48" s="26" t="s">
        <v>510</v>
      </c>
      <c r="M48" s="26" t="s">
        <v>510</v>
      </c>
      <c r="N48" s="8"/>
      <c r="O48" s="21" t="s">
        <v>492</v>
      </c>
      <c r="P48" s="8"/>
      <c r="Q48" s="24" t="str">
        <f t="shared" si="1"/>
        <v>HAUSSE</v>
      </c>
      <c r="R48" s="25"/>
      <c r="S48" s="26" t="str">
        <f t="shared" si="2"/>
        <v>HAUSSE</v>
      </c>
      <c r="T48" s="26" t="str">
        <f t="shared" si="2"/>
        <v>HAUSSE</v>
      </c>
      <c r="U48" s="25"/>
      <c r="V48" s="26" t="str">
        <f t="shared" si="4"/>
        <v>HAUSSE</v>
      </c>
      <c r="W48" s="26" t="str">
        <f t="shared" si="4"/>
        <v>HAUSSE</v>
      </c>
      <c r="X48" s="26" t="str">
        <f t="shared" si="4"/>
        <v>baisse</v>
      </c>
      <c r="Y48" s="26" t="str">
        <f t="shared" si="4"/>
        <v>HAUSSE</v>
      </c>
      <c r="Z48" s="26" t="str">
        <f t="shared" si="4"/>
        <v>HAUSSE</v>
      </c>
      <c r="AA48" s="16"/>
    </row>
    <row r="49" ht="24" customHeight="1" spans="1:28">
      <c r="A49" s="16"/>
      <c r="B49" s="17" t="s">
        <v>493</v>
      </c>
      <c r="C49" s="8"/>
      <c r="D49" s="24" t="str">
        <f t="shared" si="0"/>
        <v>HAUSSE</v>
      </c>
      <c r="E49" s="25"/>
      <c r="F49" s="26" t="s">
        <v>510</v>
      </c>
      <c r="G49" s="26" t="s">
        <v>510</v>
      </c>
      <c r="H49" s="25"/>
      <c r="I49" s="26" t="s">
        <v>510</v>
      </c>
      <c r="J49" s="26" t="s">
        <v>510</v>
      </c>
      <c r="K49" s="26" t="s">
        <v>510</v>
      </c>
      <c r="L49" s="26" t="s">
        <v>510</v>
      </c>
      <c r="M49" s="26" t="s">
        <v>510</v>
      </c>
      <c r="N49" s="8"/>
      <c r="O49" s="17" t="s">
        <v>493</v>
      </c>
      <c r="P49" s="8"/>
      <c r="Q49" s="24" t="str">
        <f t="shared" si="1"/>
        <v>HAUSSE</v>
      </c>
      <c r="R49" s="25"/>
      <c r="S49" s="26" t="str">
        <f t="shared" si="2"/>
        <v>HAUSSE</v>
      </c>
      <c r="T49" s="26" t="str">
        <f t="shared" si="2"/>
        <v>HAUSSE</v>
      </c>
      <c r="U49" s="25"/>
      <c r="V49" s="26" t="str">
        <f t="shared" si="4"/>
        <v>HAUSSE</v>
      </c>
      <c r="W49" s="26" t="str">
        <f t="shared" si="4"/>
        <v>HAUSSE</v>
      </c>
      <c r="X49" s="26" t="str">
        <f t="shared" si="4"/>
        <v>HAUSSE</v>
      </c>
      <c r="Y49" s="26" t="str">
        <f t="shared" si="4"/>
        <v>baisse</v>
      </c>
      <c r="Z49" s="26" t="str">
        <f t="shared" si="4"/>
        <v>HAUSSE</v>
      </c>
      <c r="AA49" s="16"/>
    </row>
    <row r="50" ht="16.35" spans="1:28">
      <c r="A50" s="16"/>
      <c r="B50" s="22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16"/>
      <c r="O50" s="22"/>
      <c r="P50" s="22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16"/>
    </row>
    <row r="51" ht="15.15" spans="1:28">
      <c r="B51" s="2"/>
      <c r="D51" s="2"/>
      <c r="F51" s="2"/>
      <c r="G51" s="2"/>
      <c r="I51" s="2"/>
      <c r="J51" s="2"/>
      <c r="K51" s="2"/>
      <c r="L51" s="2"/>
      <c r="M51" s="2"/>
      <c r="O51" s="2"/>
      <c r="Q51" s="2"/>
      <c r="S51" s="2"/>
      <c r="T51" s="2"/>
      <c r="V51" s="2"/>
      <c r="W51" s="2"/>
      <c r="X51" s="2"/>
      <c r="Y51" s="2"/>
      <c r="Z51" s="2"/>
    </row>
    <row r="52" ht="17.4" spans="1:28">
      <c r="B52" s="5" t="s">
        <v>507</v>
      </c>
      <c r="C52" s="6"/>
      <c r="D52" s="5" t="s">
        <v>271</v>
      </c>
      <c r="E52" s="6"/>
      <c r="F52" s="7" t="s">
        <v>463</v>
      </c>
      <c r="G52" s="7"/>
      <c r="H52" s="6"/>
      <c r="I52" s="7" t="s">
        <v>464</v>
      </c>
      <c r="J52" s="7"/>
      <c r="K52" s="7"/>
      <c r="L52" s="7"/>
      <c r="M52" s="7"/>
      <c r="N52" s="8"/>
      <c r="O52" s="5" t="s">
        <v>508</v>
      </c>
      <c r="P52" s="9"/>
      <c r="Q52" s="5" t="s">
        <v>271</v>
      </c>
      <c r="R52" s="6"/>
      <c r="S52" s="7" t="s">
        <v>463</v>
      </c>
      <c r="T52" s="7"/>
      <c r="U52" s="6"/>
      <c r="V52" s="7" t="s">
        <v>464</v>
      </c>
      <c r="W52" s="7"/>
      <c r="X52" s="7"/>
      <c r="Y52" s="7"/>
      <c r="Z52" s="7"/>
    </row>
    <row r="53" ht="18.15" spans="1:28">
      <c r="B53" s="10"/>
      <c r="C53" s="11"/>
      <c r="D53" s="10"/>
      <c r="E53" s="11"/>
      <c r="F53" s="12" t="s">
        <v>461</v>
      </c>
      <c r="G53" s="12" t="s">
        <v>462</v>
      </c>
      <c r="H53" s="11"/>
      <c r="I53" s="12" t="s">
        <v>3</v>
      </c>
      <c r="J53" s="12" t="s">
        <v>4</v>
      </c>
      <c r="K53" s="12" t="s">
        <v>5</v>
      </c>
      <c r="L53" s="12" t="s">
        <v>6</v>
      </c>
      <c r="M53" s="12" t="s">
        <v>7</v>
      </c>
      <c r="N53" s="8"/>
      <c r="O53" s="10"/>
      <c r="P53" s="13"/>
      <c r="Q53" s="10"/>
      <c r="R53" s="11"/>
      <c r="S53" s="12" t="s">
        <v>461</v>
      </c>
      <c r="T53" s="12" t="s">
        <v>462</v>
      </c>
      <c r="U53" s="11"/>
      <c r="V53" s="12" t="s">
        <v>3</v>
      </c>
      <c r="W53" s="12" t="s">
        <v>4</v>
      </c>
      <c r="X53" s="12" t="s">
        <v>5</v>
      </c>
      <c r="Y53" s="12" t="s">
        <v>6</v>
      </c>
      <c r="Z53" s="12" t="s">
        <v>7</v>
      </c>
    </row>
    <row r="54" ht="15.15" spans="1:28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6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8" spans="1:28">
      <c r="B55" s="27" t="s">
        <v>485</v>
      </c>
      <c r="C55" s="28"/>
      <c r="D55" s="29">
        <v>0.5946625386656</v>
      </c>
      <c r="E55" s="30"/>
      <c r="F55" s="30">
        <v>0.678731067179482</v>
      </c>
      <c r="G55" s="30">
        <v>0.157286619005272</v>
      </c>
      <c r="H55" s="30"/>
      <c r="I55" s="30">
        <v>-0.0435425466457832</v>
      </c>
      <c r="J55" s="30">
        <v>-0.0719435530484768</v>
      </c>
      <c r="K55" s="30">
        <v>-0.220950293015196</v>
      </c>
      <c r="L55" s="30">
        <v>-0.251022440336098</v>
      </c>
      <c r="M55" s="30">
        <v>1.62630696542461</v>
      </c>
      <c r="N55" s="8"/>
      <c r="O55" s="27" t="s">
        <v>485</v>
      </c>
      <c r="P55" s="28"/>
      <c r="Q55" s="29">
        <v>0.534151000909695</v>
      </c>
      <c r="R55" s="30"/>
      <c r="S55" s="30">
        <v>0.67161445900244</v>
      </c>
      <c r="T55" s="30">
        <v>0.0586524925822669</v>
      </c>
      <c r="U55" s="30"/>
      <c r="V55" s="30">
        <v>-0.0686952839730471</v>
      </c>
      <c r="W55" s="30">
        <v>-0.0611825923639501</v>
      </c>
      <c r="X55" s="30">
        <v>-0.311333103986939</v>
      </c>
      <c r="Y55" s="30">
        <v>-0.255515318471113</v>
      </c>
      <c r="Z55" s="30">
        <v>69.3720901262701</v>
      </c>
      <c r="AB55" s="31" t="str">
        <f>IF(O55=B55,"Yes","No")</f>
        <v>Yes</v>
      </c>
    </row>
    <row r="56" ht="18" spans="1:28">
      <c r="B56" s="32" t="s">
        <v>473</v>
      </c>
      <c r="C56" s="33"/>
      <c r="D56" s="34">
        <v>0.346349954254342</v>
      </c>
      <c r="E56" s="35"/>
      <c r="F56" s="35">
        <v>0.42683218667285</v>
      </c>
      <c r="G56" s="35">
        <v>0.257618232797387</v>
      </c>
      <c r="H56" s="35"/>
      <c r="I56" s="35">
        <v>0.0605872840995474</v>
      </c>
      <c r="J56" s="35">
        <v>0.3927656081353</v>
      </c>
      <c r="K56" s="35">
        <v>-0.0394568093937557</v>
      </c>
      <c r="L56" s="35">
        <v>0.0811486337430909</v>
      </c>
      <c r="M56" s="35">
        <v>0.624898116290464</v>
      </c>
      <c r="N56" s="8"/>
      <c r="O56" s="32" t="s">
        <v>473</v>
      </c>
      <c r="P56" s="33"/>
      <c r="Q56" s="34">
        <v>0.31716157475736</v>
      </c>
      <c r="R56" s="35"/>
      <c r="S56" s="35">
        <v>0.417883335297155</v>
      </c>
      <c r="T56" s="35">
        <v>0.14767383037831</v>
      </c>
      <c r="U56" s="35"/>
      <c r="V56" s="35">
        <v>0.0374464151681009</v>
      </c>
      <c r="W56" s="35">
        <v>0.346108457000763</v>
      </c>
      <c r="X56" s="35">
        <v>-0.11986368472635</v>
      </c>
      <c r="Y56" s="35">
        <v>0.0183154552443749</v>
      </c>
      <c r="Z56" s="35">
        <v>1.68917478191298</v>
      </c>
      <c r="AB56" s="31" t="str">
        <f t="shared" ref="AB56:AB74" si="5">IF(O56=B56,"Yes","No")</f>
        <v>Yes</v>
      </c>
    </row>
    <row r="57" ht="18" spans="1:28">
      <c r="B57" s="32" t="s">
        <v>493</v>
      </c>
      <c r="C57" s="33"/>
      <c r="D57" s="34">
        <v>0.282371039676863</v>
      </c>
      <c r="E57" s="35"/>
      <c r="F57" s="35">
        <v>0.295305292269809</v>
      </c>
      <c r="G57" s="35">
        <v>0.155509153366371</v>
      </c>
      <c r="H57" s="35"/>
      <c r="I57" s="35">
        <v>0.0422245628745326</v>
      </c>
      <c r="J57" s="35">
        <v>0.26968490200391</v>
      </c>
      <c r="K57" s="35">
        <v>-0.429538402267958</v>
      </c>
      <c r="L57" s="35">
        <v>-0.135145359479431</v>
      </c>
      <c r="M57" s="35">
        <v>0.218023337992657</v>
      </c>
      <c r="N57" s="8"/>
      <c r="O57" s="32" t="s">
        <v>493</v>
      </c>
      <c r="P57" s="33"/>
      <c r="Q57" s="34">
        <v>0.249171620104355</v>
      </c>
      <c r="R57" s="35"/>
      <c r="S57" s="35">
        <v>0.269123391437858</v>
      </c>
      <c r="T57" s="35">
        <v>0.121028913150897</v>
      </c>
      <c r="U57" s="35"/>
      <c r="V57" s="35">
        <v>0.0172567232091276</v>
      </c>
      <c r="W57" s="35">
        <v>0.242884652864864</v>
      </c>
      <c r="X57" s="35">
        <v>0.0523781876824776</v>
      </c>
      <c r="Y57" s="35">
        <v>-0.162402744206027</v>
      </c>
      <c r="Z57" s="35">
        <v>0.33718967047416</v>
      </c>
      <c r="AB57" s="31" t="str">
        <f t="shared" si="5"/>
        <v>Yes</v>
      </c>
    </row>
    <row r="58" ht="18" spans="1:28">
      <c r="B58" s="32" t="s">
        <v>471</v>
      </c>
      <c r="C58" s="33"/>
      <c r="D58" s="34">
        <v>0.198717152412542</v>
      </c>
      <c r="E58" s="35"/>
      <c r="F58" s="35">
        <v>0.240085786217404</v>
      </c>
      <c r="G58" s="35">
        <v>0.149199716410624</v>
      </c>
      <c r="H58" s="35"/>
      <c r="I58" s="35">
        <v>0.0789626838484929</v>
      </c>
      <c r="J58" s="35">
        <v>-0.049612139778287</v>
      </c>
      <c r="K58" s="35">
        <v>-0.0263026026720979</v>
      </c>
      <c r="L58" s="35">
        <v>-0.0846699284529389</v>
      </c>
      <c r="M58" s="35">
        <v>0.571432592278073</v>
      </c>
      <c r="N58" s="8"/>
      <c r="O58" s="32" t="s">
        <v>471</v>
      </c>
      <c r="P58" s="33"/>
      <c r="Q58" s="34">
        <v>0.185716675507321</v>
      </c>
      <c r="R58" s="35"/>
      <c r="S58" s="35">
        <v>0.23374786321585</v>
      </c>
      <c r="T58" s="35">
        <v>0.109520287366706</v>
      </c>
      <c r="U58" s="35"/>
      <c r="V58" s="35">
        <v>0.0486685765511872</v>
      </c>
      <c r="W58" s="35">
        <v>-0.0366737973503248</v>
      </c>
      <c r="X58" s="35">
        <v>-0.127206526649056</v>
      </c>
      <c r="Y58" s="35">
        <v>-0.105366250296564</v>
      </c>
      <c r="Z58" s="35">
        <v>0.853810528437058</v>
      </c>
      <c r="AB58" s="31" t="str">
        <f t="shared" si="5"/>
        <v>Yes</v>
      </c>
    </row>
    <row r="59" ht="18" spans="1:28">
      <c r="B59" s="32" t="s">
        <v>470</v>
      </c>
      <c r="C59" s="33"/>
      <c r="D59" s="34">
        <v>0.120993885991701</v>
      </c>
      <c r="E59" s="35"/>
      <c r="F59" s="35">
        <v>0.116254673351313</v>
      </c>
      <c r="G59" s="35">
        <v>0.0221790011742671</v>
      </c>
      <c r="H59" s="35"/>
      <c r="I59" s="35">
        <v>-0.00519579654592406</v>
      </c>
      <c r="J59" s="35">
        <v>-0.0620104680849157</v>
      </c>
      <c r="K59" s="35">
        <v>0.428379735767563</v>
      </c>
      <c r="L59" s="35">
        <v>-0.0297135862827184</v>
      </c>
      <c r="M59" s="35">
        <v>0.583980225897166</v>
      </c>
      <c r="N59" s="8"/>
      <c r="O59" s="32" t="s">
        <v>481</v>
      </c>
      <c r="P59" s="33"/>
      <c r="Q59" s="34">
        <v>0.101320605895139</v>
      </c>
      <c r="R59" s="35"/>
      <c r="S59" s="35">
        <v>-0.000598911822343617</v>
      </c>
      <c r="T59" s="35">
        <v>0.410877777849822</v>
      </c>
      <c r="U59" s="35"/>
      <c r="V59" s="35">
        <v>0.179919622939752</v>
      </c>
      <c r="W59" s="35">
        <v>-0.0579741300473617</v>
      </c>
      <c r="X59" s="35">
        <v>0.240742751814836</v>
      </c>
      <c r="Y59" s="35">
        <v>0.873364106465631</v>
      </c>
      <c r="Z59" s="35">
        <v>0.256212929812368</v>
      </c>
      <c r="AB59" s="31" t="str">
        <f t="shared" si="5"/>
        <v>No</v>
      </c>
    </row>
    <row r="60" ht="18" spans="1:28">
      <c r="B60" s="36" t="s">
        <v>492</v>
      </c>
      <c r="C60" s="33"/>
      <c r="D60" s="34">
        <v>0.115104040031196</v>
      </c>
      <c r="E60" s="35"/>
      <c r="F60" s="35">
        <v>0.126024556832027</v>
      </c>
      <c r="G60" s="35">
        <v>0.124339746754916</v>
      </c>
      <c r="H60" s="35"/>
      <c r="I60" s="35">
        <v>0.24263978574116</v>
      </c>
      <c r="J60" s="35">
        <v>0.21500151288123</v>
      </c>
      <c r="K60" s="35">
        <v>-0.222875656938284</v>
      </c>
      <c r="L60" s="35">
        <v>0.228899971787166</v>
      </c>
      <c r="M60" s="35">
        <v>0.153331433751774</v>
      </c>
      <c r="N60" s="8"/>
      <c r="O60" s="32" t="s">
        <v>475</v>
      </c>
      <c r="P60" s="33"/>
      <c r="Q60" s="34">
        <v>0.094134337699139</v>
      </c>
      <c r="R60" s="35"/>
      <c r="S60" s="35">
        <v>0.0679165347471151</v>
      </c>
      <c r="T60" s="35">
        <v>0.308562174586612</v>
      </c>
      <c r="U60" s="35"/>
      <c r="V60" s="35">
        <v>0.291908065050207</v>
      </c>
      <c r="W60" s="35">
        <v>0.00413686443908912</v>
      </c>
      <c r="X60" s="35">
        <v>-0.311667095442998</v>
      </c>
      <c r="Y60" s="35">
        <v>-0.108047060236934</v>
      </c>
      <c r="Z60" s="35">
        <v>0.61205132434349</v>
      </c>
      <c r="AB60" s="31" t="str">
        <f t="shared" si="5"/>
        <v>No</v>
      </c>
    </row>
    <row r="61" ht="18" spans="1:28">
      <c r="B61" s="32" t="s">
        <v>481</v>
      </c>
      <c r="C61" s="33"/>
      <c r="D61" s="34">
        <v>0.0985811622803152</v>
      </c>
      <c r="E61" s="35"/>
      <c r="F61" s="35">
        <v>-0.0132630346399533</v>
      </c>
      <c r="G61" s="35">
        <v>0.474695176584365</v>
      </c>
      <c r="H61" s="35"/>
      <c r="I61" s="35">
        <v>0.154563469397386</v>
      </c>
      <c r="J61" s="35">
        <v>-0.123767908859476</v>
      </c>
      <c r="K61" s="35">
        <v>0.508037524290601</v>
      </c>
      <c r="L61" s="35">
        <v>1.3820571675458</v>
      </c>
      <c r="M61" s="35">
        <v>-0.0103256570845143</v>
      </c>
      <c r="N61" s="8"/>
      <c r="O61" s="32" t="s">
        <v>470</v>
      </c>
      <c r="P61" s="33"/>
      <c r="Q61" s="34">
        <v>0.092666728649115</v>
      </c>
      <c r="R61" s="35"/>
      <c r="S61" s="35">
        <v>0.0973608429501562</v>
      </c>
      <c r="T61" s="35">
        <v>0.0079948156429297</v>
      </c>
      <c r="U61" s="35"/>
      <c r="V61" s="35">
        <v>-0.00576663699657598</v>
      </c>
      <c r="W61" s="35">
        <v>-0.0454279460277228</v>
      </c>
      <c r="X61" s="35">
        <v>0.287938602691802</v>
      </c>
      <c r="Y61" s="35">
        <v>-0.0377936914882979</v>
      </c>
      <c r="Z61" s="35">
        <v>0.67848682181873</v>
      </c>
      <c r="AB61" s="31" t="str">
        <f t="shared" si="5"/>
        <v>No</v>
      </c>
    </row>
    <row r="62" ht="18" spans="1:28">
      <c r="B62" s="32" t="s">
        <v>475</v>
      </c>
      <c r="C62" s="33"/>
      <c r="D62" s="34">
        <v>0.0887494728659084</v>
      </c>
      <c r="E62" s="35"/>
      <c r="F62" s="35">
        <v>0.0499045595221781</v>
      </c>
      <c r="G62" s="35">
        <v>0.365132564144912</v>
      </c>
      <c r="H62" s="35"/>
      <c r="I62" s="35">
        <v>0.3385293055254</v>
      </c>
      <c r="J62" s="35">
        <v>-0.183934209320892</v>
      </c>
      <c r="K62" s="35">
        <v>-0.193588072372877</v>
      </c>
      <c r="L62" s="35">
        <v>-0.00965161403341053</v>
      </c>
      <c r="M62" s="35">
        <v>-0.000329218857922475</v>
      </c>
      <c r="N62" s="8"/>
      <c r="O62" s="36" t="s">
        <v>492</v>
      </c>
      <c r="P62" s="33"/>
      <c r="Q62" s="34">
        <v>0.0850569901129516</v>
      </c>
      <c r="R62" s="35"/>
      <c r="S62" s="35">
        <v>0.512782490043427</v>
      </c>
      <c r="T62" s="35">
        <v>0.0511919455298022</v>
      </c>
      <c r="U62" s="35"/>
      <c r="V62" s="35">
        <v>0.167218826126417</v>
      </c>
      <c r="W62" s="35">
        <v>0.154563864962903</v>
      </c>
      <c r="X62" s="35">
        <v>-0.267794858356321</v>
      </c>
      <c r="Y62" s="35">
        <v>0.121949063180724</v>
      </c>
      <c r="Z62" s="35">
        <v>0.231278168067426</v>
      </c>
      <c r="AB62" s="31" t="str">
        <f t="shared" si="5"/>
        <v>No</v>
      </c>
    </row>
    <row r="63" ht="18" spans="1:28">
      <c r="B63" s="37" t="s">
        <v>490</v>
      </c>
      <c r="C63" s="8"/>
      <c r="D63" s="18">
        <v>0.078974020735038</v>
      </c>
      <c r="E63" s="19"/>
      <c r="F63" s="20">
        <v>0.0981429526594284</v>
      </c>
      <c r="G63" s="20">
        <v>0.225352666454959</v>
      </c>
      <c r="H63" s="19"/>
      <c r="I63" s="20">
        <v>0.596888062957185</v>
      </c>
      <c r="J63" s="20">
        <v>-0.230699105785579</v>
      </c>
      <c r="K63" s="20">
        <v>-0.491529941653555</v>
      </c>
      <c r="L63" s="20">
        <v>-0.435402642509907</v>
      </c>
      <c r="M63" s="20">
        <v>0.216599336193752</v>
      </c>
      <c r="N63" s="8"/>
      <c r="O63" s="37" t="s">
        <v>468</v>
      </c>
      <c r="P63" s="8"/>
      <c r="Q63" s="18">
        <v>0.0611303765137687</v>
      </c>
      <c r="R63" s="19"/>
      <c r="S63" s="20">
        <v>0.166497072899156</v>
      </c>
      <c r="T63" s="20">
        <v>-0.0999828427171768</v>
      </c>
      <c r="U63" s="19"/>
      <c r="V63" s="20">
        <v>-0.142065101604227</v>
      </c>
      <c r="W63" s="20">
        <v>-0.0178304574807947</v>
      </c>
      <c r="X63" s="20">
        <v>-0.268874423341555</v>
      </c>
      <c r="Y63" s="20">
        <v>0.000472452092922016</v>
      </c>
      <c r="Z63" s="20">
        <v>3.4574247241538</v>
      </c>
      <c r="AB63" s="31" t="str">
        <f t="shared" si="5"/>
        <v>No</v>
      </c>
    </row>
    <row r="64" ht="18" spans="1:28">
      <c r="B64" s="37" t="s">
        <v>468</v>
      </c>
      <c r="C64" s="8"/>
      <c r="D64" s="18">
        <v>0.0674274592303961</v>
      </c>
      <c r="E64" s="19"/>
      <c r="F64" s="20">
        <v>0.145917671422635</v>
      </c>
      <c r="G64" s="20">
        <v>-0.0333782606922238</v>
      </c>
      <c r="H64" s="19"/>
      <c r="I64" s="20">
        <v>-0.147334128229162</v>
      </c>
      <c r="J64" s="20">
        <v>-0.0732645931792937</v>
      </c>
      <c r="K64" s="20">
        <v>-0.0836682254605327</v>
      </c>
      <c r="L64" s="20">
        <v>0.166570497219449</v>
      </c>
      <c r="M64" s="20">
        <v>0.109854001521886</v>
      </c>
      <c r="N64" s="8"/>
      <c r="O64" s="37" t="s">
        <v>479</v>
      </c>
      <c r="P64" s="8"/>
      <c r="Q64" s="18">
        <v>0.038774180608502</v>
      </c>
      <c r="R64" s="19"/>
      <c r="S64" s="20">
        <v>-0.098260887991682</v>
      </c>
      <c r="T64" s="20">
        <v>-0.082733433281043</v>
      </c>
      <c r="U64" s="19"/>
      <c r="V64" s="20">
        <v>-0.188611761761284</v>
      </c>
      <c r="W64" s="20">
        <v>-0.0902039693007947</v>
      </c>
      <c r="X64" s="20">
        <v>0.0251527397261277</v>
      </c>
      <c r="Y64" s="20">
        <v>-0.19865968359413</v>
      </c>
      <c r="Z64" s="20">
        <v>10.1273323275549</v>
      </c>
      <c r="AB64" s="31" t="str">
        <f t="shared" si="5"/>
        <v>No</v>
      </c>
    </row>
    <row r="65" ht="18" spans="2:28">
      <c r="B65" s="37" t="s">
        <v>479</v>
      </c>
      <c r="C65" s="8"/>
      <c r="D65" s="18">
        <v>0.0454704219786823</v>
      </c>
      <c r="E65" s="19"/>
      <c r="F65" s="20">
        <v>-0.120193146298498</v>
      </c>
      <c r="G65" s="20">
        <v>-0.198879890585306</v>
      </c>
      <c r="H65" s="19"/>
      <c r="I65" s="20">
        <v>-0.202930688443836</v>
      </c>
      <c r="J65" s="20">
        <v>-0.134649945092914</v>
      </c>
      <c r="K65" s="20">
        <v>0.285951835986754</v>
      </c>
      <c r="L65" s="20">
        <v>-0.156153838319379</v>
      </c>
      <c r="M65" s="20">
        <v>0.144575277973787</v>
      </c>
      <c r="N65" s="8"/>
      <c r="O65" s="37" t="s">
        <v>490</v>
      </c>
      <c r="P65" s="8"/>
      <c r="Q65" s="18">
        <v>0.0363367437821871</v>
      </c>
      <c r="R65" s="19"/>
      <c r="S65" s="20">
        <v>0.0997321305604433</v>
      </c>
      <c r="T65" s="20">
        <v>0.216957812877639</v>
      </c>
      <c r="U65" s="19"/>
      <c r="V65" s="20">
        <v>-0.08697909086847</v>
      </c>
      <c r="W65" s="20">
        <v>-0.329999438781619</v>
      </c>
      <c r="X65" s="20">
        <v>-0.569428981447309</v>
      </c>
      <c r="Y65" s="20">
        <v>-0.541303053587062</v>
      </c>
      <c r="Z65" s="20">
        <v>2.41995078445609</v>
      </c>
      <c r="AB65" s="31" t="str">
        <f t="shared" si="5"/>
        <v>No</v>
      </c>
    </row>
    <row r="66" ht="18" spans="2:28">
      <c r="B66" s="37" t="s">
        <v>487</v>
      </c>
      <c r="C66" s="8"/>
      <c r="D66" s="18">
        <v>0.0334710150086823</v>
      </c>
      <c r="E66" s="19"/>
      <c r="F66" s="20">
        <v>0.0967447449692167</v>
      </c>
      <c r="G66" s="20">
        <v>-0.295540997601294</v>
      </c>
      <c r="H66" s="19"/>
      <c r="I66" s="20">
        <v>0.372811900708814</v>
      </c>
      <c r="J66" s="20">
        <v>0.0478442749199111</v>
      </c>
      <c r="K66" s="20">
        <v>-0.301874181368652</v>
      </c>
      <c r="L66" s="20">
        <v>-0.319834374455421</v>
      </c>
      <c r="M66" s="20">
        <v>0.0730890670406141</v>
      </c>
      <c r="N66" s="8"/>
      <c r="O66" s="38" t="s">
        <v>469</v>
      </c>
      <c r="P66" s="39"/>
      <c r="Q66" s="40">
        <v>0.0323334257019321</v>
      </c>
      <c r="R66" s="41"/>
      <c r="S66" s="41">
        <v>1.05868891837873</v>
      </c>
      <c r="T66" s="41">
        <v>-0.163577473099747</v>
      </c>
      <c r="U66" s="41"/>
      <c r="V66" s="41">
        <v>-0.271545835335659</v>
      </c>
      <c r="W66" s="41">
        <v>0.273911936803899</v>
      </c>
      <c r="X66" s="41">
        <v>-0.404332286597483</v>
      </c>
      <c r="Y66" s="41">
        <v>-0.0815378476972198</v>
      </c>
      <c r="Z66" s="41">
        <v>-0.495549527689766</v>
      </c>
      <c r="AB66" s="31" t="str">
        <f t="shared" si="5"/>
        <v>No</v>
      </c>
    </row>
    <row r="67" ht="18.75" spans="2:28">
      <c r="B67" s="42" t="s">
        <v>484</v>
      </c>
      <c r="C67" s="43"/>
      <c r="D67" s="44">
        <v>0.0246601548256995</v>
      </c>
      <c r="E67" s="45"/>
      <c r="F67" s="46">
        <v>0.0390728582001572</v>
      </c>
      <c r="G67" s="46">
        <v>0.103754082276025</v>
      </c>
      <c r="H67" s="45"/>
      <c r="I67" s="46">
        <v>1.27174371350605</v>
      </c>
      <c r="J67" s="46">
        <v>0.536287143730537</v>
      </c>
      <c r="K67" s="46">
        <v>-0.0891882673565209</v>
      </c>
      <c r="L67" s="46">
        <v>0.0341369267811522</v>
      </c>
      <c r="M67" s="46">
        <v>-0.0352535261601592</v>
      </c>
      <c r="N67" s="8"/>
      <c r="O67" s="37" t="s">
        <v>474</v>
      </c>
      <c r="P67" s="8"/>
      <c r="Q67" s="18">
        <v>0.0306467611851204</v>
      </c>
      <c r="R67" s="19"/>
      <c r="S67" s="20">
        <v>0.0288697123892945</v>
      </c>
      <c r="T67" s="20">
        <v>0.102849309001129</v>
      </c>
      <c r="U67" s="19"/>
      <c r="V67" s="20">
        <v>-0.112134986318894</v>
      </c>
      <c r="W67" s="20">
        <v>0.472012197057591</v>
      </c>
      <c r="X67" s="20">
        <v>-0.168497496888648</v>
      </c>
      <c r="Y67" s="20">
        <v>0.1987340551874</v>
      </c>
      <c r="Z67" s="20">
        <v>-0.0247724618222437</v>
      </c>
      <c r="AB67" s="31" t="str">
        <f t="shared" si="5"/>
        <v>No</v>
      </c>
    </row>
    <row r="68" ht="18.75" spans="2:28">
      <c r="B68" s="17" t="s">
        <v>474</v>
      </c>
      <c r="C68" s="8"/>
      <c r="D68" s="18">
        <v>-0.00473822227656229</v>
      </c>
      <c r="E68" s="19"/>
      <c r="F68" s="20">
        <v>-0.00640752383543097</v>
      </c>
      <c r="G68" s="20">
        <v>0.0312024033367417</v>
      </c>
      <c r="H68" s="19"/>
      <c r="I68" s="20">
        <v>-0.141439905405888</v>
      </c>
      <c r="J68" s="20">
        <v>0.473762398266701</v>
      </c>
      <c r="K68" s="20">
        <v>-0.150157674534275</v>
      </c>
      <c r="L68" s="20">
        <v>0.265993525506423</v>
      </c>
      <c r="M68" s="20">
        <v>-0.0903491593263873</v>
      </c>
      <c r="N68" s="8"/>
      <c r="O68" s="37" t="s">
        <v>487</v>
      </c>
      <c r="P68" s="8"/>
      <c r="Q68" s="18">
        <v>0.0245796239366463</v>
      </c>
      <c r="R68" s="19"/>
      <c r="S68" s="20">
        <v>0.0972267436252201</v>
      </c>
      <c r="T68" s="20">
        <v>-0.244865898229178</v>
      </c>
      <c r="U68" s="19"/>
      <c r="V68" s="20">
        <v>0.0154367607563586</v>
      </c>
      <c r="W68" s="20">
        <v>0.343198310914123</v>
      </c>
      <c r="X68" s="20">
        <v>-0.378049239357245</v>
      </c>
      <c r="Y68" s="20">
        <v>-0.347892253520924</v>
      </c>
      <c r="Z68" s="20">
        <v>0.374843975090573</v>
      </c>
      <c r="AB68" s="31" t="str">
        <f t="shared" si="5"/>
        <v>No</v>
      </c>
    </row>
    <row r="69" ht="18.75" spans="2:28">
      <c r="B69" s="47" t="s">
        <v>488</v>
      </c>
      <c r="C69" s="48"/>
      <c r="D69" s="49">
        <v>-0.076740039736421</v>
      </c>
      <c r="E69" s="50"/>
      <c r="F69" s="51">
        <v>-0.0667267106327365</v>
      </c>
      <c r="G69" s="51">
        <v>0.112792948472157</v>
      </c>
      <c r="H69" s="50"/>
      <c r="I69" s="51">
        <v>-0.424166660317958</v>
      </c>
      <c r="J69" s="51">
        <v>-0.38440518638815</v>
      </c>
      <c r="K69" s="51">
        <v>-0.585846702227135</v>
      </c>
      <c r="L69" s="51">
        <v>-0.37968441540104</v>
      </c>
      <c r="M69" s="51">
        <v>-0.262757735221082</v>
      </c>
      <c r="N69" s="8"/>
      <c r="O69" s="42" t="s">
        <v>484</v>
      </c>
      <c r="P69" s="43"/>
      <c r="Q69" s="44">
        <v>0.018482752658499</v>
      </c>
      <c r="R69" s="45"/>
      <c r="S69" s="46">
        <v>0.039378151289071</v>
      </c>
      <c r="T69" s="46">
        <v>0.0497190321444136</v>
      </c>
      <c r="U69" s="45"/>
      <c r="V69" s="46">
        <v>1.03690684867566</v>
      </c>
      <c r="W69" s="46">
        <v>0.424909942386592</v>
      </c>
      <c r="X69" s="46">
        <v>-0.173077882022651</v>
      </c>
      <c r="Y69" s="46">
        <v>-0.0257893601991616</v>
      </c>
      <c r="Z69" s="46">
        <v>0.0987834439615625</v>
      </c>
      <c r="AB69" s="31" t="str">
        <f t="shared" si="5"/>
        <v>No</v>
      </c>
    </row>
    <row r="70" ht="18" spans="2:28">
      <c r="B70" s="37" t="s">
        <v>486</v>
      </c>
      <c r="C70" s="8"/>
      <c r="D70" s="18">
        <v>-0.108312492799758</v>
      </c>
      <c r="E70" s="19"/>
      <c r="F70" s="20">
        <v>-0.0828695104213308</v>
      </c>
      <c r="G70" s="20">
        <v>-0.251525499162886</v>
      </c>
      <c r="H70" s="19"/>
      <c r="I70" s="20">
        <v>0.0129784377179556</v>
      </c>
      <c r="J70" s="20">
        <v>-0.186619791679886</v>
      </c>
      <c r="K70" s="20">
        <v>-0.231805588947163</v>
      </c>
      <c r="L70" s="20">
        <v>-0.286928763732007</v>
      </c>
      <c r="M70" s="20">
        <v>-0.0928264449387172</v>
      </c>
      <c r="N70" s="8"/>
      <c r="O70" s="47" t="s">
        <v>488</v>
      </c>
      <c r="P70" s="48"/>
      <c r="Q70" s="49">
        <v>-0.0681274315791991</v>
      </c>
      <c r="R70" s="50"/>
      <c r="S70" s="51">
        <v>-0.0505875616283887</v>
      </c>
      <c r="T70" s="51">
        <v>0.0201586413131294</v>
      </c>
      <c r="U70" s="50"/>
      <c r="V70" s="51">
        <v>-0.392608947573036</v>
      </c>
      <c r="W70" s="51">
        <v>-0.34195341130136</v>
      </c>
      <c r="X70" s="51">
        <v>-0.552696097982515</v>
      </c>
      <c r="Y70" s="51">
        <v>-0.36020799651038</v>
      </c>
      <c r="Z70" s="51">
        <v>-0.191186238155972</v>
      </c>
      <c r="AB70" s="31" t="str">
        <f t="shared" si="5"/>
        <v>No</v>
      </c>
    </row>
    <row r="71" ht="18" spans="2:28">
      <c r="B71" s="37" t="s">
        <v>477</v>
      </c>
      <c r="C71" s="8"/>
      <c r="D71" s="18">
        <v>-0.33689220065972</v>
      </c>
      <c r="E71" s="19"/>
      <c r="F71" s="20">
        <v>-0.350784361229112</v>
      </c>
      <c r="G71" s="20">
        <v>-0.107756730140002</v>
      </c>
      <c r="H71" s="19"/>
      <c r="I71" s="20">
        <v>0.0635108646815865</v>
      </c>
      <c r="J71" s="20">
        <v>0.467913187758325</v>
      </c>
      <c r="K71" s="20">
        <v>0.992273615180549</v>
      </c>
      <c r="L71" s="20">
        <v>0.563026612180821</v>
      </c>
      <c r="M71" s="20">
        <v>-0.467535464144199</v>
      </c>
      <c r="N71" s="8"/>
      <c r="O71" s="37" t="s">
        <v>486</v>
      </c>
      <c r="P71" s="8"/>
      <c r="Q71" s="18">
        <v>-0.0931130441551881</v>
      </c>
      <c r="R71" s="19"/>
      <c r="S71" s="20">
        <v>-0.0683659881106209</v>
      </c>
      <c r="T71" s="20">
        <v>-0.259982495043106</v>
      </c>
      <c r="U71" s="19"/>
      <c r="V71" s="20">
        <v>-0.0131180520283642</v>
      </c>
      <c r="W71" s="20">
        <v>-0.135962367539227</v>
      </c>
      <c r="X71" s="20">
        <v>-0.302335045959323</v>
      </c>
      <c r="Y71" s="20">
        <v>-0.268745370211583</v>
      </c>
      <c r="Z71" s="20">
        <v>0.088773251907398</v>
      </c>
      <c r="AB71" s="31" t="str">
        <f t="shared" si="5"/>
        <v>No</v>
      </c>
    </row>
    <row r="72" ht="18" spans="2:28">
      <c r="B72" s="37" t="s">
        <v>466</v>
      </c>
      <c r="C72" s="8"/>
      <c r="D72" s="18">
        <v>-0.352819302870726</v>
      </c>
      <c r="E72" s="19"/>
      <c r="F72" s="20">
        <v>-0.273327557379865</v>
      </c>
      <c r="G72" s="20">
        <v>-0.205333932973922</v>
      </c>
      <c r="H72" s="19"/>
      <c r="I72" s="20">
        <v>-0.0484703536845742</v>
      </c>
      <c r="J72" s="20">
        <v>-0.0829221942606243</v>
      </c>
      <c r="K72" s="20">
        <v>0.220911376449068</v>
      </c>
      <c r="L72" s="20">
        <v>-0.102578916942618</v>
      </c>
      <c r="M72" s="20">
        <v>-0.11088209881667</v>
      </c>
      <c r="N72" s="8"/>
      <c r="O72" s="37" t="s">
        <v>477</v>
      </c>
      <c r="P72" s="8"/>
      <c r="Q72" s="18">
        <v>-0.306305141451783</v>
      </c>
      <c r="R72" s="19"/>
      <c r="S72" s="20">
        <v>-0.322293467436308</v>
      </c>
      <c r="T72" s="20">
        <v>-0.0576167518081304</v>
      </c>
      <c r="U72" s="19"/>
      <c r="V72" s="20">
        <v>0.0657585581435054</v>
      </c>
      <c r="W72" s="20">
        <v>0.465689263671226</v>
      </c>
      <c r="X72" s="20">
        <v>0.58612429911913</v>
      </c>
      <c r="Y72" s="20">
        <v>0.411190110519873</v>
      </c>
      <c r="Z72" s="20">
        <v>-0.432355367186365</v>
      </c>
      <c r="AB72" s="31" t="str">
        <f t="shared" si="5"/>
        <v>No</v>
      </c>
    </row>
    <row r="73" ht="18" spans="2:28">
      <c r="B73" s="37" t="s">
        <v>482</v>
      </c>
      <c r="C73" s="8"/>
      <c r="D73" s="18">
        <v>-0.426527871136237</v>
      </c>
      <c r="E73" s="19"/>
      <c r="F73" s="20">
        <v>-0.42672024113647</v>
      </c>
      <c r="G73" s="20">
        <v>-0.158059037301678</v>
      </c>
      <c r="H73" s="19"/>
      <c r="I73" s="20">
        <v>0.718954984795791</v>
      </c>
      <c r="J73" s="20">
        <v>0.227950058436148</v>
      </c>
      <c r="K73" s="20">
        <v>1.27067963011562</v>
      </c>
      <c r="L73" s="20">
        <v>0.331827744533785</v>
      </c>
      <c r="M73" s="20">
        <v>-0.568865963654756</v>
      </c>
      <c r="N73" s="8"/>
      <c r="O73" s="37" t="s">
        <v>466</v>
      </c>
      <c r="P73" s="8"/>
      <c r="Q73" s="18">
        <v>-0.333807531200404</v>
      </c>
      <c r="R73" s="19"/>
      <c r="S73" s="20">
        <v>-0.264374372343676</v>
      </c>
      <c r="T73" s="20">
        <v>-0.175540060172839</v>
      </c>
      <c r="U73" s="19"/>
      <c r="V73" s="20">
        <v>-0.0446791883883255</v>
      </c>
      <c r="W73" s="20">
        <v>-0.0649743481230458</v>
      </c>
      <c r="X73" s="20">
        <v>0.143471215159961</v>
      </c>
      <c r="Y73" s="20">
        <v>-0.0984061006169421</v>
      </c>
      <c r="Z73" s="20">
        <v>-0.0601201105856541</v>
      </c>
      <c r="AB73" s="31" t="str">
        <f t="shared" si="5"/>
        <v>No</v>
      </c>
    </row>
    <row r="74" ht="18.75" spans="2:28">
      <c r="B74" s="52" t="s">
        <v>469</v>
      </c>
      <c r="C74" s="53"/>
      <c r="D74" s="54">
        <v>-0.664569402537325</v>
      </c>
      <c r="E74" s="55"/>
      <c r="F74" s="55">
        <v>-0.577737381710979</v>
      </c>
      <c r="G74" s="55">
        <v>-0.0631128940199942</v>
      </c>
      <c r="H74" s="55"/>
      <c r="I74" s="55">
        <v>-0.21747412084156</v>
      </c>
      <c r="J74" s="55">
        <v>0.00759461061560818</v>
      </c>
      <c r="K74" s="55">
        <v>-0.0767396225039271</v>
      </c>
      <c r="L74" s="55">
        <v>-0.0402787058991328</v>
      </c>
      <c r="M74" s="55">
        <v>-0.0600668488917731</v>
      </c>
      <c r="N74" s="8"/>
      <c r="O74" s="42" t="s">
        <v>482</v>
      </c>
      <c r="P74" s="43"/>
      <c r="Q74" s="44">
        <v>-0.408576506243849</v>
      </c>
      <c r="R74" s="45"/>
      <c r="S74" s="46">
        <v>-0.408886396914317</v>
      </c>
      <c r="T74" s="46">
        <v>-0.202654508553089</v>
      </c>
      <c r="U74" s="45"/>
      <c r="V74" s="46">
        <v>0.0531831134358012</v>
      </c>
      <c r="W74" s="46">
        <v>-0.0480186475831983</v>
      </c>
      <c r="X74" s="46">
        <v>-0.126268616256983</v>
      </c>
      <c r="Y74" s="46">
        <v>-0.132103682453633</v>
      </c>
      <c r="Z74" s="46">
        <v>-0.530218530658444</v>
      </c>
      <c r="AB74" s="31" t="str">
        <f t="shared" si="5"/>
        <v>No</v>
      </c>
    </row>
    <row r="75" ht="16.35" spans="2:28">
      <c r="B75" s="22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16"/>
      <c r="O75" s="22"/>
      <c r="P75" s="22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15"/>
    <row r="77" ht="17.4" spans="2:28">
      <c r="B77" s="5" t="s">
        <v>511</v>
      </c>
      <c r="C77" s="6"/>
      <c r="D77" s="5"/>
      <c r="E77" s="6"/>
      <c r="F77" s="7" t="s">
        <v>463</v>
      </c>
      <c r="G77" s="7"/>
      <c r="H77" s="6"/>
      <c r="I77" s="7" t="s">
        <v>464</v>
      </c>
      <c r="J77" s="7"/>
      <c r="K77" s="7"/>
      <c r="L77" s="7"/>
      <c r="M77" s="7"/>
      <c r="N77" s="8"/>
      <c r="O77" s="5" t="s">
        <v>512</v>
      </c>
      <c r="P77" s="9"/>
      <c r="Q77" s="5"/>
      <c r="R77" s="6"/>
      <c r="S77" s="7" t="s">
        <v>463</v>
      </c>
      <c r="T77" s="7"/>
      <c r="U77" s="6"/>
      <c r="V77" s="7" t="s">
        <v>464</v>
      </c>
      <c r="W77" s="7"/>
      <c r="X77" s="7"/>
      <c r="Y77" s="7"/>
      <c r="Z77" s="7"/>
    </row>
    <row r="78" ht="18.15" spans="2:28">
      <c r="B78" s="10"/>
      <c r="C78" s="11"/>
      <c r="D78" s="10"/>
      <c r="E78" s="11"/>
      <c r="F78" s="12" t="s">
        <v>461</v>
      </c>
      <c r="G78" s="12" t="s">
        <v>462</v>
      </c>
      <c r="H78" s="11"/>
      <c r="I78" s="12" t="s">
        <v>3</v>
      </c>
      <c r="J78" s="12" t="s">
        <v>4</v>
      </c>
      <c r="K78" s="12" t="s">
        <v>5</v>
      </c>
      <c r="L78" s="12" t="s">
        <v>6</v>
      </c>
      <c r="M78" s="12" t="s">
        <v>7</v>
      </c>
      <c r="N78" s="8"/>
      <c r="O78" s="10"/>
      <c r="P78" s="13"/>
      <c r="Q78" s="10"/>
      <c r="R78" s="11"/>
      <c r="S78" s="12" t="s">
        <v>461</v>
      </c>
      <c r="T78" s="12" t="s">
        <v>462</v>
      </c>
      <c r="U78" s="11"/>
      <c r="V78" s="12" t="s">
        <v>3</v>
      </c>
      <c r="W78" s="12" t="s">
        <v>4</v>
      </c>
      <c r="X78" s="12" t="s">
        <v>5</v>
      </c>
      <c r="Y78" s="12" t="s">
        <v>6</v>
      </c>
      <c r="Z78" s="12" t="s">
        <v>7</v>
      </c>
    </row>
    <row r="79" spans="2:28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6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8" spans="2:28">
      <c r="B80" s="17" t="s">
        <v>466</v>
      </c>
      <c r="C80" s="8"/>
      <c r="D80" s="18"/>
      <c r="E80" s="19"/>
      <c r="F80" s="20">
        <v>-0.273327557379865</v>
      </c>
      <c r="G80" s="20">
        <v>-0.205333932973922</v>
      </c>
      <c r="H80" s="19"/>
      <c r="I80" s="20">
        <v>-0.0484703536845742</v>
      </c>
      <c r="J80" s="20">
        <v>-0.0829221942606243</v>
      </c>
      <c r="K80" s="20">
        <v>0.220911376449068</v>
      </c>
      <c r="L80" s="20">
        <v>-0.102578916942618</v>
      </c>
      <c r="M80" s="20">
        <v>-0.11088209881667</v>
      </c>
      <c r="N80" s="8"/>
      <c r="O80" s="17" t="s">
        <v>466</v>
      </c>
      <c r="P80" s="8"/>
      <c r="Q80" s="18"/>
      <c r="R80" s="19"/>
      <c r="S80" s="20">
        <v>-0.264374372343676</v>
      </c>
      <c r="T80" s="20">
        <v>-0.175540060172839</v>
      </c>
      <c r="U80" s="19"/>
      <c r="V80" s="20">
        <v>-0.0446791883883255</v>
      </c>
      <c r="W80" s="20">
        <v>-0.0649743481230458</v>
      </c>
      <c r="X80" s="20">
        <v>0.143471215159961</v>
      </c>
      <c r="Y80" s="20">
        <v>-0.0984061006169421</v>
      </c>
      <c r="Z80" s="20">
        <v>-0.0601201105856541</v>
      </c>
    </row>
    <row r="81" ht="18" spans="2:26">
      <c r="B81" s="17" t="s">
        <v>468</v>
      </c>
      <c r="C81" s="8"/>
      <c r="D81" s="18"/>
      <c r="E81" s="19"/>
      <c r="F81" s="20">
        <v>0.145917671422635</v>
      </c>
      <c r="G81" s="20">
        <v>-0.0333782606922238</v>
      </c>
      <c r="H81" s="19"/>
      <c r="I81" s="20">
        <v>-0.147334128229162</v>
      </c>
      <c r="J81" s="20">
        <v>-0.0732645931792937</v>
      </c>
      <c r="K81" s="20">
        <v>-0.0836682254605327</v>
      </c>
      <c r="L81" s="20">
        <v>0.166570497219449</v>
      </c>
      <c r="M81" s="20">
        <v>0.109854001521886</v>
      </c>
      <c r="N81" s="8"/>
      <c r="O81" s="17" t="s">
        <v>468</v>
      </c>
      <c r="P81" s="8"/>
      <c r="Q81" s="18"/>
      <c r="R81" s="19"/>
      <c r="S81" s="20">
        <v>0.166497072899156</v>
      </c>
      <c r="T81" s="20">
        <v>-0.0999828427171768</v>
      </c>
      <c r="U81" s="19"/>
      <c r="V81" s="20">
        <v>-0.142065101604227</v>
      </c>
      <c r="W81" s="20">
        <v>-0.0178304574807947</v>
      </c>
      <c r="X81" s="20">
        <v>-0.268874423341555</v>
      </c>
      <c r="Y81" s="20">
        <v>0.000472452092922016</v>
      </c>
      <c r="Z81" s="20">
        <v>3.4574247241538</v>
      </c>
    </row>
    <row r="82" ht="18" spans="2:26">
      <c r="B82" s="17" t="s">
        <v>469</v>
      </c>
      <c r="C82" s="8"/>
      <c r="D82" s="18"/>
      <c r="E82" s="19"/>
      <c r="F82" s="20">
        <v>-0.577737381710979</v>
      </c>
      <c r="G82" s="20">
        <v>-0.0631128940199942</v>
      </c>
      <c r="H82" s="19"/>
      <c r="I82" s="20">
        <v>-0.21747412084156</v>
      </c>
      <c r="J82" s="20">
        <v>0.00759461061560818</v>
      </c>
      <c r="K82" s="20">
        <v>-0.0767396225039271</v>
      </c>
      <c r="L82" s="20">
        <v>-0.0402787058991328</v>
      </c>
      <c r="M82" s="20">
        <v>-0.0600668488917731</v>
      </c>
      <c r="N82" s="8"/>
      <c r="O82" s="17" t="s">
        <v>469</v>
      </c>
      <c r="P82" s="8"/>
      <c r="Q82" s="18"/>
      <c r="R82" s="19"/>
      <c r="S82" s="20">
        <v>1.05868891837873</v>
      </c>
      <c r="T82" s="20">
        <v>-0.163577473099747</v>
      </c>
      <c r="U82" s="19"/>
      <c r="V82" s="20">
        <v>-0.271545835335659</v>
      </c>
      <c r="W82" s="20">
        <v>0.273911936803899</v>
      </c>
      <c r="X82" s="20">
        <v>-0.404332286597483</v>
      </c>
      <c r="Y82" s="20">
        <v>-0.0815378476972198</v>
      </c>
      <c r="Z82" s="20">
        <v>-0.495549527689766</v>
      </c>
    </row>
    <row r="83" ht="18" spans="2:26">
      <c r="B83" s="17" t="s">
        <v>470</v>
      </c>
      <c r="C83" s="8"/>
      <c r="D83" s="18"/>
      <c r="E83" s="19"/>
      <c r="F83" s="20">
        <v>0.116254673351313</v>
      </c>
      <c r="G83" s="20">
        <v>0.0221790011742671</v>
      </c>
      <c r="H83" s="19"/>
      <c r="I83" s="20">
        <v>-0.00519579654592406</v>
      </c>
      <c r="J83" s="20">
        <v>-0.0620104680849157</v>
      </c>
      <c r="K83" s="20">
        <v>0.428379735767563</v>
      </c>
      <c r="L83" s="20">
        <v>-0.0297135862827184</v>
      </c>
      <c r="M83" s="20">
        <v>0.583980225897166</v>
      </c>
      <c r="N83" s="8"/>
      <c r="O83" s="17" t="s">
        <v>470</v>
      </c>
      <c r="P83" s="8"/>
      <c r="Q83" s="18"/>
      <c r="R83" s="19"/>
      <c r="S83" s="20">
        <v>0.0973608429501562</v>
      </c>
      <c r="T83" s="20">
        <v>0.0079948156429297</v>
      </c>
      <c r="U83" s="19"/>
      <c r="V83" s="20">
        <v>-0.00576663699657598</v>
      </c>
      <c r="W83" s="20">
        <v>-0.0454279460277228</v>
      </c>
      <c r="X83" s="20">
        <v>0.287938602691802</v>
      </c>
      <c r="Y83" s="20">
        <v>-0.0377936914882979</v>
      </c>
      <c r="Z83" s="20">
        <v>0.67848682181873</v>
      </c>
    </row>
    <row r="84" ht="18" spans="2:26">
      <c r="B84" s="17" t="s">
        <v>471</v>
      </c>
      <c r="C84" s="8"/>
      <c r="D84" s="18"/>
      <c r="E84" s="19"/>
      <c r="F84" s="20">
        <v>0.240085786217404</v>
      </c>
      <c r="G84" s="20">
        <v>0.149199716410624</v>
      </c>
      <c r="H84" s="19"/>
      <c r="I84" s="20">
        <v>0.0789626838484929</v>
      </c>
      <c r="J84" s="20">
        <v>-0.049612139778287</v>
      </c>
      <c r="K84" s="20">
        <v>-0.0263026026720979</v>
      </c>
      <c r="L84" s="20">
        <v>-0.0846699284529389</v>
      </c>
      <c r="M84" s="20">
        <v>0.571432592278073</v>
      </c>
      <c r="N84" s="8"/>
      <c r="O84" s="17" t="s">
        <v>471</v>
      </c>
      <c r="P84" s="8"/>
      <c r="Q84" s="18"/>
      <c r="R84" s="19"/>
      <c r="S84" s="20">
        <v>0.23374786321585</v>
      </c>
      <c r="T84" s="20">
        <v>0.109520287366706</v>
      </c>
      <c r="U84" s="19"/>
      <c r="V84" s="20">
        <v>0.0486685765511872</v>
      </c>
      <c r="W84" s="20">
        <v>-0.0366737973503248</v>
      </c>
      <c r="X84" s="20">
        <v>-0.127206526649056</v>
      </c>
      <c r="Y84" s="20">
        <v>-0.105366250296564</v>
      </c>
      <c r="Z84" s="20">
        <v>0.853810528437058</v>
      </c>
    </row>
    <row r="85" ht="18" spans="2:26">
      <c r="B85" s="17" t="s">
        <v>473</v>
      </c>
      <c r="C85" s="8"/>
      <c r="D85" s="18"/>
      <c r="E85" s="19"/>
      <c r="F85" s="20">
        <v>0.42683218667285</v>
      </c>
      <c r="G85" s="20">
        <v>0.257618232797387</v>
      </c>
      <c r="H85" s="19"/>
      <c r="I85" s="20">
        <v>0.0605872840995474</v>
      </c>
      <c r="J85" s="20">
        <v>0.3927656081353</v>
      </c>
      <c r="K85" s="20">
        <v>-0.0394568093937557</v>
      </c>
      <c r="L85" s="20">
        <v>0.0811486337430909</v>
      </c>
      <c r="M85" s="20">
        <v>0.624898116290464</v>
      </c>
      <c r="N85" s="8"/>
      <c r="O85" s="17" t="s">
        <v>473</v>
      </c>
      <c r="P85" s="8"/>
      <c r="Q85" s="18"/>
      <c r="R85" s="19"/>
      <c r="S85" s="20">
        <v>0.417883335297155</v>
      </c>
      <c r="T85" s="20">
        <v>0.14767383037831</v>
      </c>
      <c r="U85" s="19"/>
      <c r="V85" s="20">
        <v>0.0374464151681009</v>
      </c>
      <c r="W85" s="20">
        <v>0.346108457000763</v>
      </c>
      <c r="X85" s="20">
        <v>-0.11986368472635</v>
      </c>
      <c r="Y85" s="20">
        <v>0.0183154552443749</v>
      </c>
      <c r="Z85" s="20">
        <v>1.68917478191298</v>
      </c>
    </row>
    <row r="86" ht="18" spans="2:26">
      <c r="B86" s="17" t="s">
        <v>474</v>
      </c>
      <c r="C86" s="8"/>
      <c r="D86" s="18"/>
      <c r="E86" s="19"/>
      <c r="F86" s="20">
        <v>-0.00640752383543097</v>
      </c>
      <c r="G86" s="20">
        <v>0.0312024033367417</v>
      </c>
      <c r="H86" s="19"/>
      <c r="I86" s="20">
        <v>-0.141439905405888</v>
      </c>
      <c r="J86" s="20">
        <v>0.473762398266701</v>
      </c>
      <c r="K86" s="20">
        <v>-0.150157674534275</v>
      </c>
      <c r="L86" s="20">
        <v>0.265993525506423</v>
      </c>
      <c r="M86" s="20">
        <v>-0.0903491593263873</v>
      </c>
      <c r="N86" s="8"/>
      <c r="O86" s="17" t="s">
        <v>474</v>
      </c>
      <c r="P86" s="8"/>
      <c r="Q86" s="18"/>
      <c r="R86" s="19"/>
      <c r="S86" s="20">
        <v>0.0288697123892945</v>
      </c>
      <c r="T86" s="20">
        <v>0.102849309001129</v>
      </c>
      <c r="U86" s="19"/>
      <c r="V86" s="20">
        <v>-0.112134986318894</v>
      </c>
      <c r="W86" s="20">
        <v>0.472012197057591</v>
      </c>
      <c r="X86" s="20">
        <v>-0.168497496888648</v>
      </c>
      <c r="Y86" s="20">
        <v>0.1987340551874</v>
      </c>
      <c r="Z86" s="20">
        <v>-0.0247724618222437</v>
      </c>
    </row>
    <row r="87" ht="18" spans="2:26">
      <c r="B87" s="17" t="s">
        <v>475</v>
      </c>
      <c r="C87" s="8"/>
      <c r="D87" s="18"/>
      <c r="E87" s="19"/>
      <c r="F87" s="20">
        <v>0.0499045595221781</v>
      </c>
      <c r="G87" s="20">
        <v>0.365132564144912</v>
      </c>
      <c r="H87" s="19"/>
      <c r="I87" s="20">
        <v>0.3385293055254</v>
      </c>
      <c r="J87" s="20">
        <v>-0.183934209320892</v>
      </c>
      <c r="K87" s="20">
        <v>-0.193588072372877</v>
      </c>
      <c r="L87" s="20">
        <v>-0.00965161403341053</v>
      </c>
      <c r="M87" s="20">
        <v>-0.000329218857922475</v>
      </c>
      <c r="N87" s="8"/>
      <c r="O87" s="17" t="s">
        <v>475</v>
      </c>
      <c r="P87" s="8"/>
      <c r="Q87" s="18"/>
      <c r="R87" s="19"/>
      <c r="S87" s="20">
        <v>0.0679165347471151</v>
      </c>
      <c r="T87" s="20">
        <v>0.308562174586612</v>
      </c>
      <c r="U87" s="19"/>
      <c r="V87" s="20">
        <v>0.291908065050207</v>
      </c>
      <c r="W87" s="20">
        <v>0.00413686443908912</v>
      </c>
      <c r="X87" s="20">
        <v>-0.311667095442998</v>
      </c>
      <c r="Y87" s="20">
        <v>-0.108047060236934</v>
      </c>
      <c r="Z87" s="20">
        <v>0.61205132434349</v>
      </c>
    </row>
    <row r="88" ht="18" spans="2:26">
      <c r="B88" s="17" t="s">
        <v>477</v>
      </c>
      <c r="C88" s="8"/>
      <c r="D88" s="18"/>
      <c r="E88" s="19"/>
      <c r="F88" s="20">
        <v>-0.350784361229112</v>
      </c>
      <c r="G88" s="20">
        <v>-0.107756730140002</v>
      </c>
      <c r="H88" s="19"/>
      <c r="I88" s="20">
        <v>0.0635108646815865</v>
      </c>
      <c r="J88" s="20">
        <v>0.467913187758325</v>
      </c>
      <c r="K88" s="20">
        <v>0.992273615180549</v>
      </c>
      <c r="L88" s="20">
        <v>0.563026612180821</v>
      </c>
      <c r="M88" s="20">
        <v>-0.467535464144199</v>
      </c>
      <c r="N88" s="8"/>
      <c r="O88" s="17" t="s">
        <v>477</v>
      </c>
      <c r="P88" s="8"/>
      <c r="Q88" s="18"/>
      <c r="R88" s="19"/>
      <c r="S88" s="20">
        <v>-0.322293467436308</v>
      </c>
      <c r="T88" s="20">
        <v>-0.0576167518081304</v>
      </c>
      <c r="U88" s="19"/>
      <c r="V88" s="20">
        <v>0.0657585581435054</v>
      </c>
      <c r="W88" s="20">
        <v>0.465689263671226</v>
      </c>
      <c r="X88" s="20">
        <v>0.58612429911913</v>
      </c>
      <c r="Y88" s="20">
        <v>0.411190110519873</v>
      </c>
      <c r="Z88" s="20">
        <v>-0.432355367186365</v>
      </c>
    </row>
    <row r="89" ht="18" spans="2:26">
      <c r="B89" s="17" t="s">
        <v>479</v>
      </c>
      <c r="C89" s="8"/>
      <c r="D89" s="18"/>
      <c r="E89" s="19"/>
      <c r="F89" s="20">
        <v>-0.120193146298498</v>
      </c>
      <c r="G89" s="20">
        <v>-0.198879890585306</v>
      </c>
      <c r="H89" s="19"/>
      <c r="I89" s="20">
        <v>-0.202930688443836</v>
      </c>
      <c r="J89" s="20">
        <v>-0.134649945092914</v>
      </c>
      <c r="K89" s="20">
        <v>0.285951835986754</v>
      </c>
      <c r="L89" s="20">
        <v>-0.156153838319379</v>
      </c>
      <c r="M89" s="20">
        <v>0.144575277973787</v>
      </c>
      <c r="N89" s="8"/>
      <c r="O89" s="17" t="s">
        <v>479</v>
      </c>
      <c r="P89" s="8"/>
      <c r="Q89" s="18"/>
      <c r="R89" s="19"/>
      <c r="S89" s="20">
        <v>-0.098260887991682</v>
      </c>
      <c r="T89" s="20">
        <v>-0.082733433281043</v>
      </c>
      <c r="U89" s="19"/>
      <c r="V89" s="20">
        <v>-0.188611761761284</v>
      </c>
      <c r="W89" s="20">
        <v>-0.0902039693007947</v>
      </c>
      <c r="X89" s="20">
        <v>0.0251527397261277</v>
      </c>
      <c r="Y89" s="20">
        <v>-0.19865968359413</v>
      </c>
      <c r="Z89" s="20">
        <v>10.1273323275549</v>
      </c>
    </row>
    <row r="90" ht="18" spans="2:26">
      <c r="B90" s="17" t="s">
        <v>481</v>
      </c>
      <c r="C90" s="8"/>
      <c r="D90" s="18"/>
      <c r="E90" s="19"/>
      <c r="F90" s="20">
        <v>-0.0132630346399533</v>
      </c>
      <c r="G90" s="20">
        <v>0.474695176584365</v>
      </c>
      <c r="H90" s="19"/>
      <c r="I90" s="20">
        <v>0.154563469397386</v>
      </c>
      <c r="J90" s="20">
        <v>-0.123767908859476</v>
      </c>
      <c r="K90" s="20">
        <v>0.508037524290601</v>
      </c>
      <c r="L90" s="20">
        <v>1.3820571675458</v>
      </c>
      <c r="M90" s="20">
        <v>-0.0103256570845143</v>
      </c>
      <c r="N90" s="8"/>
      <c r="O90" s="17" t="s">
        <v>481</v>
      </c>
      <c r="P90" s="8"/>
      <c r="Q90" s="18"/>
      <c r="R90" s="19"/>
      <c r="S90" s="20">
        <v>-0.000598911822343617</v>
      </c>
      <c r="T90" s="20">
        <v>0.410877777849822</v>
      </c>
      <c r="U90" s="19"/>
      <c r="V90" s="20">
        <v>0.179919622939752</v>
      </c>
      <c r="W90" s="20">
        <v>-0.0579741300473617</v>
      </c>
      <c r="X90" s="20">
        <v>0.240742751814836</v>
      </c>
      <c r="Y90" s="20">
        <v>0.873364106465631</v>
      </c>
      <c r="Z90" s="20">
        <v>0.256212929812368</v>
      </c>
    </row>
    <row r="91" ht="18" spans="2:26">
      <c r="B91" s="17" t="s">
        <v>482</v>
      </c>
      <c r="C91" s="8"/>
      <c r="D91" s="18"/>
      <c r="E91" s="19"/>
      <c r="F91" s="20">
        <v>-0.42672024113647</v>
      </c>
      <c r="G91" s="20">
        <v>-0.158059037301678</v>
      </c>
      <c r="H91" s="19"/>
      <c r="I91" s="20">
        <v>0.718954984795791</v>
      </c>
      <c r="J91" s="20">
        <v>0.227950058436148</v>
      </c>
      <c r="K91" s="20">
        <v>1.27067963011562</v>
      </c>
      <c r="L91" s="20">
        <v>0.331827744533785</v>
      </c>
      <c r="M91" s="20">
        <v>-0.568865963654756</v>
      </c>
      <c r="N91" s="8"/>
      <c r="O91" s="17" t="s">
        <v>482</v>
      </c>
      <c r="P91" s="8"/>
      <c r="Q91" s="18"/>
      <c r="R91" s="19"/>
      <c r="S91" s="20">
        <v>-0.408886396914317</v>
      </c>
      <c r="T91" s="20">
        <v>-0.202654508553089</v>
      </c>
      <c r="U91" s="19"/>
      <c r="V91" s="20">
        <v>0.0531831134358012</v>
      </c>
      <c r="W91" s="20">
        <v>-0.0480186475831983</v>
      </c>
      <c r="X91" s="20">
        <v>-0.126268616256983</v>
      </c>
      <c r="Y91" s="20">
        <v>-0.132103682453633</v>
      </c>
      <c r="Z91" s="20">
        <v>-0.530218530658444</v>
      </c>
    </row>
    <row r="92" ht="18" spans="2:26">
      <c r="B92" s="17" t="s">
        <v>484</v>
      </c>
      <c r="C92" s="8"/>
      <c r="D92" s="18"/>
      <c r="E92" s="19"/>
      <c r="F92" s="20">
        <v>0.0390728582001572</v>
      </c>
      <c r="G92" s="20">
        <v>0.103754082276025</v>
      </c>
      <c r="H92" s="19"/>
      <c r="I92" s="20">
        <v>1.27174371350605</v>
      </c>
      <c r="J92" s="20">
        <v>0.536287143730537</v>
      </c>
      <c r="K92" s="20">
        <v>-0.0891882673565209</v>
      </c>
      <c r="L92" s="20">
        <v>0.0341369267811522</v>
      </c>
      <c r="M92" s="20">
        <v>-0.0352535261601592</v>
      </c>
      <c r="N92" s="8"/>
      <c r="O92" s="17" t="s">
        <v>484</v>
      </c>
      <c r="P92" s="8"/>
      <c r="Q92" s="18"/>
      <c r="R92" s="19"/>
      <c r="S92" s="20">
        <v>0.039378151289071</v>
      </c>
      <c r="T92" s="20">
        <v>0.0497190321444136</v>
      </c>
      <c r="U92" s="19"/>
      <c r="V92" s="20">
        <v>1.03690684867566</v>
      </c>
      <c r="W92" s="20">
        <v>0.424909942386592</v>
      </c>
      <c r="X92" s="20">
        <v>-0.173077882022651</v>
      </c>
      <c r="Y92" s="20">
        <v>-0.0257893601991616</v>
      </c>
      <c r="Z92" s="20">
        <v>0.0987834439615625</v>
      </c>
    </row>
    <row r="93" ht="18" spans="2:26">
      <c r="B93" s="17" t="s">
        <v>485</v>
      </c>
      <c r="C93" s="8"/>
      <c r="D93" s="18"/>
      <c r="E93" s="19"/>
      <c r="F93" s="20">
        <v>0.678731067179482</v>
      </c>
      <c r="G93" s="20">
        <v>0.157286619005272</v>
      </c>
      <c r="H93" s="19"/>
      <c r="I93" s="20">
        <v>-0.0435425466457832</v>
      </c>
      <c r="J93" s="20">
        <v>-0.0719435530484768</v>
      </c>
      <c r="K93" s="20">
        <v>-0.220950293015196</v>
      </c>
      <c r="L93" s="20">
        <v>-0.251022440336098</v>
      </c>
      <c r="M93" s="20">
        <v>1.62630696542461</v>
      </c>
      <c r="N93" s="8"/>
      <c r="O93" s="17" t="s">
        <v>485</v>
      </c>
      <c r="P93" s="8"/>
      <c r="Q93" s="18"/>
      <c r="R93" s="19"/>
      <c r="S93" s="20">
        <v>0.67161445900244</v>
      </c>
      <c r="T93" s="20">
        <v>0.0586524925822669</v>
      </c>
      <c r="U93" s="19"/>
      <c r="V93" s="20">
        <v>-0.0686952839730471</v>
      </c>
      <c r="W93" s="20">
        <v>-0.0611825923639501</v>
      </c>
      <c r="X93" s="20">
        <v>-0.311333103986939</v>
      </c>
      <c r="Y93" s="20">
        <v>-0.255515318471113</v>
      </c>
      <c r="Z93" s="20">
        <v>69.3720901262701</v>
      </c>
    </row>
    <row r="94" ht="18" spans="2:26">
      <c r="B94" s="17" t="s">
        <v>486</v>
      </c>
      <c r="C94" s="8"/>
      <c r="D94" s="18"/>
      <c r="E94" s="19"/>
      <c r="F94" s="20">
        <v>-0.0828695104213308</v>
      </c>
      <c r="G94" s="20">
        <v>-0.251525499162886</v>
      </c>
      <c r="H94" s="19"/>
      <c r="I94" s="20">
        <v>0.0129784377179556</v>
      </c>
      <c r="J94" s="20">
        <v>-0.186619791679886</v>
      </c>
      <c r="K94" s="20">
        <v>-0.231805588947163</v>
      </c>
      <c r="L94" s="20">
        <v>-0.286928763732007</v>
      </c>
      <c r="M94" s="20">
        <v>-0.0928264449387172</v>
      </c>
      <c r="N94" s="8"/>
      <c r="O94" s="17" t="s">
        <v>486</v>
      </c>
      <c r="P94" s="8"/>
      <c r="Q94" s="18"/>
      <c r="R94" s="19"/>
      <c r="S94" s="20">
        <v>-0.0683659881106209</v>
      </c>
      <c r="T94" s="20">
        <v>-0.259982495043106</v>
      </c>
      <c r="U94" s="19"/>
      <c r="V94" s="20">
        <v>-0.0131180520283642</v>
      </c>
      <c r="W94" s="20">
        <v>-0.135962367539227</v>
      </c>
      <c r="X94" s="20">
        <v>-0.302335045959323</v>
      </c>
      <c r="Y94" s="20">
        <v>-0.268745370211583</v>
      </c>
      <c r="Z94" s="20">
        <v>0.088773251907398</v>
      </c>
    </row>
    <row r="95" ht="18" spans="2:26">
      <c r="B95" s="17" t="s">
        <v>487</v>
      </c>
      <c r="C95" s="8"/>
      <c r="D95" s="18"/>
      <c r="E95" s="19"/>
      <c r="F95" s="20">
        <v>0.0967447449692167</v>
      </c>
      <c r="G95" s="20">
        <v>-0.295540997601294</v>
      </c>
      <c r="H95" s="19"/>
      <c r="I95" s="20">
        <v>0.372811900708814</v>
      </c>
      <c r="J95" s="20">
        <v>0.0478442749199111</v>
      </c>
      <c r="K95" s="20">
        <v>-0.301874181368652</v>
      </c>
      <c r="L95" s="20">
        <v>-0.319834374455421</v>
      </c>
      <c r="M95" s="20">
        <v>0.0730890670406141</v>
      </c>
      <c r="N95" s="8"/>
      <c r="O95" s="17" t="s">
        <v>487</v>
      </c>
      <c r="P95" s="8"/>
      <c r="Q95" s="18"/>
      <c r="R95" s="19"/>
      <c r="S95" s="20">
        <v>0.0972267436252201</v>
      </c>
      <c r="T95" s="20">
        <v>-0.244865898229178</v>
      </c>
      <c r="U95" s="19"/>
      <c r="V95" s="20">
        <v>0.0154367607563586</v>
      </c>
      <c r="W95" s="20">
        <v>0.343198310914123</v>
      </c>
      <c r="X95" s="20">
        <v>-0.378049239357245</v>
      </c>
      <c r="Y95" s="20">
        <v>-0.347892253520924</v>
      </c>
      <c r="Z95" s="20">
        <v>0.374843975090573</v>
      </c>
    </row>
    <row r="96" ht="18" spans="2:26">
      <c r="B96" s="17" t="s">
        <v>488</v>
      </c>
      <c r="C96" s="8"/>
      <c r="D96" s="18"/>
      <c r="E96" s="19"/>
      <c r="F96" s="20">
        <v>-0.0667267106327365</v>
      </c>
      <c r="G96" s="20">
        <v>0.112792948472157</v>
      </c>
      <c r="H96" s="19"/>
      <c r="I96" s="20">
        <v>-0.424166660317958</v>
      </c>
      <c r="J96" s="20">
        <v>-0.38440518638815</v>
      </c>
      <c r="K96" s="20">
        <v>-0.585846702227135</v>
      </c>
      <c r="L96" s="20">
        <v>-0.37968441540104</v>
      </c>
      <c r="M96" s="20">
        <v>-0.262757735221082</v>
      </c>
      <c r="N96" s="8"/>
      <c r="O96" s="17" t="s">
        <v>488</v>
      </c>
      <c r="P96" s="8"/>
      <c r="Q96" s="18"/>
      <c r="R96" s="19"/>
      <c r="S96" s="20">
        <v>-0.0505875616283887</v>
      </c>
      <c r="T96" s="20">
        <v>0.0201586413131294</v>
      </c>
      <c r="U96" s="19"/>
      <c r="V96" s="20">
        <v>-0.392608947573036</v>
      </c>
      <c r="W96" s="20">
        <v>-0.34195341130136</v>
      </c>
      <c r="X96" s="20">
        <v>-0.552696097982515</v>
      </c>
      <c r="Y96" s="20">
        <v>-0.36020799651038</v>
      </c>
      <c r="Z96" s="20">
        <v>-0.191186238155972</v>
      </c>
    </row>
    <row r="97" ht="18" spans="2:26">
      <c r="B97" s="17" t="s">
        <v>490</v>
      </c>
      <c r="C97" s="8"/>
      <c r="D97" s="18"/>
      <c r="E97" s="19"/>
      <c r="F97" s="20">
        <v>0.0981429526594284</v>
      </c>
      <c r="G97" s="20">
        <v>0.225352666454959</v>
      </c>
      <c r="H97" s="19"/>
      <c r="I97" s="20">
        <v>0.596888062957185</v>
      </c>
      <c r="J97" s="20">
        <v>-0.230699105785579</v>
      </c>
      <c r="K97" s="20">
        <v>-0.491529941653555</v>
      </c>
      <c r="L97" s="20">
        <v>-0.435402642509907</v>
      </c>
      <c r="M97" s="20">
        <v>0.216599336193752</v>
      </c>
      <c r="N97" s="8"/>
      <c r="O97" s="17" t="s">
        <v>490</v>
      </c>
      <c r="P97" s="8"/>
      <c r="Q97" s="18"/>
      <c r="R97" s="19"/>
      <c r="S97" s="20">
        <v>0.0997321305604433</v>
      </c>
      <c r="T97" s="20">
        <v>0.216957812877639</v>
      </c>
      <c r="U97" s="19"/>
      <c r="V97" s="20">
        <v>-0.08697909086847</v>
      </c>
      <c r="W97" s="20">
        <v>-0.329999438781619</v>
      </c>
      <c r="X97" s="20">
        <v>-0.569428981447309</v>
      </c>
      <c r="Y97" s="20">
        <v>-0.541303053587062</v>
      </c>
      <c r="Z97" s="20">
        <v>2.41995078445609</v>
      </c>
    </row>
    <row r="98" ht="18" spans="2:26">
      <c r="B98" s="21" t="s">
        <v>492</v>
      </c>
      <c r="C98" s="8"/>
      <c r="D98" s="18"/>
      <c r="E98" s="19"/>
      <c r="F98" s="20">
        <v>0.126024556832027</v>
      </c>
      <c r="G98" s="20">
        <v>0.124339746754916</v>
      </c>
      <c r="H98" s="19"/>
      <c r="I98" s="20">
        <v>0.24263978574116</v>
      </c>
      <c r="J98" s="20">
        <v>0.21500151288123</v>
      </c>
      <c r="K98" s="20">
        <v>-0.222875656938284</v>
      </c>
      <c r="L98" s="20">
        <v>0.228899971787166</v>
      </c>
      <c r="M98" s="20">
        <v>0.153331433751774</v>
      </c>
      <c r="N98" s="8"/>
      <c r="O98" s="21" t="s">
        <v>492</v>
      </c>
      <c r="P98" s="8"/>
      <c r="Q98" s="18"/>
      <c r="R98" s="19"/>
      <c r="S98" s="20">
        <v>0.512782490043427</v>
      </c>
      <c r="T98" s="20">
        <v>0.0511919455298022</v>
      </c>
      <c r="U98" s="19"/>
      <c r="V98" s="20">
        <v>0.167218826126417</v>
      </c>
      <c r="W98" s="20">
        <v>0.154563864962903</v>
      </c>
      <c r="X98" s="20">
        <v>-0.267794858356321</v>
      </c>
      <c r="Y98" s="20">
        <v>0.121949063180724</v>
      </c>
      <c r="Z98" s="20">
        <v>0.231278168067426</v>
      </c>
    </row>
    <row r="99" ht="18" spans="2:26">
      <c r="B99" s="17" t="s">
        <v>493</v>
      </c>
      <c r="C99" s="8"/>
      <c r="D99" s="18"/>
      <c r="E99" s="19"/>
      <c r="F99" s="20">
        <v>0.295305292269809</v>
      </c>
      <c r="G99" s="20">
        <v>0.155509153366371</v>
      </c>
      <c r="H99" s="19"/>
      <c r="I99" s="20">
        <v>0.0422245628745326</v>
      </c>
      <c r="J99" s="20">
        <v>0.26968490200391</v>
      </c>
      <c r="K99" s="20">
        <v>-0.429538402267958</v>
      </c>
      <c r="L99" s="20">
        <v>-0.135145359479431</v>
      </c>
      <c r="M99" s="20">
        <v>0.218023337992657</v>
      </c>
      <c r="N99" s="8"/>
      <c r="O99" s="17" t="s">
        <v>493</v>
      </c>
      <c r="P99" s="8"/>
      <c r="Q99" s="18"/>
      <c r="R99" s="19"/>
      <c r="S99" s="20">
        <v>0.269123391437858</v>
      </c>
      <c r="T99" s="20">
        <v>0.121028913150897</v>
      </c>
      <c r="U99" s="19"/>
      <c r="V99" s="20">
        <v>0.0172567232091276</v>
      </c>
      <c r="W99" s="20">
        <v>0.242884652864864</v>
      </c>
      <c r="X99" s="20">
        <v>0.0523781876824776</v>
      </c>
      <c r="Y99" s="20">
        <v>-0.162402744206027</v>
      </c>
      <c r="Z99" s="20">
        <v>0.33718967047416</v>
      </c>
    </row>
    <row r="100" ht="16.35" spans="2:26">
      <c r="B100" s="22"/>
      <c r="C100" s="22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16"/>
      <c r="O100" s="22"/>
      <c r="P100" s="22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15"/>
    <row r="102" ht="17.4" spans="2:26">
      <c r="B102" s="5" t="s">
        <v>511</v>
      </c>
      <c r="C102" s="6"/>
      <c r="D102" s="5" t="s">
        <v>271</v>
      </c>
      <c r="E102" s="6"/>
      <c r="F102" s="7" t="s">
        <v>463</v>
      </c>
      <c r="G102" s="7"/>
      <c r="H102" s="6"/>
      <c r="I102" s="7" t="s">
        <v>464</v>
      </c>
      <c r="J102" s="7"/>
      <c r="K102" s="7"/>
      <c r="L102" s="7"/>
      <c r="M102" s="7"/>
      <c r="N102" s="8"/>
      <c r="O102" s="5" t="s">
        <v>512</v>
      </c>
      <c r="P102" s="9"/>
      <c r="Q102" s="5" t="s">
        <v>271</v>
      </c>
      <c r="R102" s="6"/>
      <c r="S102" s="7" t="s">
        <v>463</v>
      </c>
      <c r="T102" s="7"/>
      <c r="U102" s="6"/>
      <c r="V102" s="7" t="s">
        <v>464</v>
      </c>
      <c r="W102" s="7"/>
      <c r="X102" s="7"/>
      <c r="Y102" s="7"/>
      <c r="Z102" s="7"/>
    </row>
    <row r="103" ht="18.15" spans="2:26">
      <c r="B103" s="10"/>
      <c r="C103" s="11"/>
      <c r="D103" s="10"/>
      <c r="E103" s="11"/>
      <c r="F103" s="12" t="s">
        <v>461</v>
      </c>
      <c r="G103" s="12" t="s">
        <v>462</v>
      </c>
      <c r="H103" s="11"/>
      <c r="I103" s="12" t="s">
        <v>3</v>
      </c>
      <c r="J103" s="12" t="s">
        <v>4</v>
      </c>
      <c r="K103" s="12" t="s">
        <v>5</v>
      </c>
      <c r="L103" s="12" t="s">
        <v>6</v>
      </c>
      <c r="M103" s="12" t="s">
        <v>7</v>
      </c>
      <c r="N103" s="8"/>
      <c r="O103" s="10"/>
      <c r="P103" s="13"/>
      <c r="Q103" s="10"/>
      <c r="R103" s="11"/>
      <c r="S103" s="12" t="s">
        <v>461</v>
      </c>
      <c r="T103" s="12" t="s">
        <v>462</v>
      </c>
      <c r="U103" s="11"/>
      <c r="V103" s="12" t="s">
        <v>3</v>
      </c>
      <c r="W103" s="12" t="s">
        <v>4</v>
      </c>
      <c r="X103" s="12" t="s">
        <v>5</v>
      </c>
      <c r="Y103" s="12" t="s">
        <v>6</v>
      </c>
      <c r="Z103" s="12" t="s">
        <v>7</v>
      </c>
    </row>
    <row r="104" spans="2:26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6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36" spans="2:26">
      <c r="B105" s="17" t="s">
        <v>466</v>
      </c>
      <c r="C105" s="8"/>
      <c r="D105" s="56" t="str">
        <f>IF('article 1-A'!D5&gt;1,"Elastic","NON elastic")</f>
        <v>NON elastic</v>
      </c>
      <c r="E105" s="19"/>
      <c r="F105" s="20" t="str">
        <f>IF('article 1-A'!F5&gt;1,"Elastic","NON elastic")</f>
        <v>NON elastic</v>
      </c>
      <c r="G105" s="20" t="str">
        <f>IF('article 1-A'!G5&gt;1,"Elastic","NON elastic")</f>
        <v>NON elastic</v>
      </c>
      <c r="H105" s="19"/>
      <c r="I105" s="20" t="str">
        <f>IF('article 1-A'!I5&gt;1,"Elastic","NON elastic")</f>
        <v>Elastic</v>
      </c>
      <c r="J105" s="20" t="str">
        <f>IF('article 1-A'!J5&gt;1,"Elastic","NON elastic")</f>
        <v>Elastic</v>
      </c>
      <c r="K105" s="20" t="str">
        <f>IF('article 1-A'!K5&gt;1,"Elastic","NON elastic")</f>
        <v>NON elastic</v>
      </c>
      <c r="L105" s="20" t="str">
        <f>IF('article 1-A'!L5&gt;1,"Elastic","NON elastic")</f>
        <v>NON elastic</v>
      </c>
      <c r="M105" s="20" t="str">
        <f>IF('article 1-A'!M5&gt;1,"Elastic","NON elastic")</f>
        <v>NON elastic</v>
      </c>
      <c r="N105" s="8"/>
      <c r="O105" s="17" t="s">
        <v>466</v>
      </c>
      <c r="P105" s="8"/>
      <c r="Q105" s="56" t="str">
        <f>IF('article 1-A'!Q5&gt;1,"Elastic","NON elastic")</f>
        <v>NON elastic</v>
      </c>
      <c r="R105" s="19"/>
      <c r="S105" s="20" t="str">
        <f>IF('article 1-A'!S5&gt;1,"Elastic","NON elastic")</f>
        <v>NON elastic</v>
      </c>
      <c r="T105" s="20" t="str">
        <f>IF('article 1-A'!T5&gt;1,"Elastic","NON elastic")</f>
        <v>NON elastic</v>
      </c>
      <c r="U105" s="19"/>
      <c r="V105" s="20" t="str">
        <f>IF('article 1-A'!V5&gt;1,"Elastic","NON elastic")</f>
        <v>NON elastic</v>
      </c>
      <c r="W105" s="20" t="str">
        <f>IF('article 1-A'!W5&gt;1,"Elastic","NON elastic")</f>
        <v>NON elastic</v>
      </c>
      <c r="X105" s="20" t="str">
        <f>IF('article 1-A'!X5&gt;1,"Elastic","NON elastic")</f>
        <v>NON elastic</v>
      </c>
      <c r="Y105" s="20" t="str">
        <f>IF('article 1-A'!Y5&gt;1,"Elastic","NON elastic")</f>
        <v>NON elastic</v>
      </c>
      <c r="Z105" s="20" t="str">
        <f>IF('article 1-A'!Z5&gt;1,"Elastic","NON elastic")</f>
        <v>NON elastic</v>
      </c>
    </row>
    <row r="106" ht="36" spans="2:26">
      <c r="B106" s="17" t="s">
        <v>468</v>
      </c>
      <c r="C106" s="8"/>
      <c r="D106" s="56" t="str">
        <f>IF('article 1-A'!D6&gt;1,"Elastic","NON elastic")</f>
        <v>NON elastic</v>
      </c>
      <c r="E106" s="19"/>
      <c r="F106" s="20" t="str">
        <f>IF('article 1-A'!F6&gt;1,"Elastic","NON elastic")</f>
        <v>NON elastic</v>
      </c>
      <c r="G106" s="20" t="str">
        <f>IF('article 1-A'!G6&gt;1,"Elastic","NON elastic")</f>
        <v>NON elastic</v>
      </c>
      <c r="H106" s="19"/>
      <c r="I106" s="20" t="str">
        <f>IF('article 1-A'!I6&gt;1,"Elastic","NON elastic")</f>
        <v>Elastic</v>
      </c>
      <c r="J106" s="20" t="str">
        <f>IF('article 1-A'!J6&gt;1,"Elastic","NON elastic")</f>
        <v>NON elastic</v>
      </c>
      <c r="K106" s="20" t="str">
        <f>IF('article 1-A'!K6&gt;1,"Elastic","NON elastic")</f>
        <v>Elastic</v>
      </c>
      <c r="L106" s="20" t="str">
        <f>IF('article 1-A'!L6&gt;1,"Elastic","NON elastic")</f>
        <v>NON elastic</v>
      </c>
      <c r="M106" s="20" t="str">
        <f>IF('article 1-A'!M6&gt;1,"Elastic","NON elastic")</f>
        <v>NON elastic</v>
      </c>
      <c r="N106" s="8"/>
      <c r="O106" s="17" t="s">
        <v>468</v>
      </c>
      <c r="P106" s="8"/>
      <c r="Q106" s="56" t="str">
        <f>IF('article 1-A'!Q6&gt;1,"Elastic","NON elastic")</f>
        <v>NON elastic</v>
      </c>
      <c r="R106" s="19"/>
      <c r="S106" s="20" t="str">
        <f>IF('article 1-A'!S6&gt;1,"Elastic","NON elastic")</f>
        <v>NON elastic</v>
      </c>
      <c r="T106" s="20" t="str">
        <f>IF('article 1-A'!T6&gt;1,"Elastic","NON elastic")</f>
        <v>NON elastic</v>
      </c>
      <c r="U106" s="19"/>
      <c r="V106" s="20" t="str">
        <f>IF('article 1-A'!V6&gt;1,"Elastic","NON elastic")</f>
        <v>NON elastic</v>
      </c>
      <c r="W106" s="20" t="str">
        <f>IF('article 1-A'!W6&gt;1,"Elastic","NON elastic")</f>
        <v>NON elastic</v>
      </c>
      <c r="X106" s="20" t="str">
        <f>IF('article 1-A'!X6&gt;1,"Elastic","NON elastic")</f>
        <v>NON elastic</v>
      </c>
      <c r="Y106" s="20" t="str">
        <f>IF('article 1-A'!Y6&gt;1,"Elastic","NON elastic")</f>
        <v>NON elastic</v>
      </c>
      <c r="Z106" s="20" t="str">
        <f>IF('article 1-A'!Z6&gt;1,"Elastic","NON elastic")</f>
        <v>NON elastic</v>
      </c>
    </row>
    <row r="107" ht="36" spans="2:26">
      <c r="B107" s="17" t="s">
        <v>469</v>
      </c>
      <c r="C107" s="8"/>
      <c r="D107" s="56" t="str">
        <f>IF('article 1-A'!D7&gt;1,"Elastic","NON elastic")</f>
        <v>NON elastic</v>
      </c>
      <c r="E107" s="19"/>
      <c r="F107" s="20" t="str">
        <f>IF('article 1-A'!F7&gt;1,"Elastic","NON elastic")</f>
        <v>NON elastic</v>
      </c>
      <c r="G107" s="20" t="str">
        <f>IF('article 1-A'!G7&gt;1,"Elastic","NON elastic")</f>
        <v>NON elastic</v>
      </c>
      <c r="H107" s="19"/>
      <c r="I107" s="20" t="str">
        <f>IF('article 1-A'!I7&gt;1,"Elastic","NON elastic")</f>
        <v>NON elastic</v>
      </c>
      <c r="J107" s="20" t="str">
        <f>IF('article 1-A'!J7&gt;1,"Elastic","NON elastic")</f>
        <v>NON elastic</v>
      </c>
      <c r="K107" s="20" t="str">
        <f>IF('article 1-A'!K7&gt;1,"Elastic","NON elastic")</f>
        <v>NON elastic</v>
      </c>
      <c r="L107" s="20" t="str">
        <f>IF('article 1-A'!L7&gt;1,"Elastic","NON elastic")</f>
        <v>NON elastic</v>
      </c>
      <c r="M107" s="20" t="str">
        <f>IF('article 1-A'!M7&gt;1,"Elastic","NON elastic")</f>
        <v>NON elastic</v>
      </c>
      <c r="N107" s="8"/>
      <c r="O107" s="17" t="s">
        <v>469</v>
      </c>
      <c r="P107" s="8"/>
      <c r="Q107" s="56" t="str">
        <f>IF('article 1-A'!Q7&gt;1,"Elastic","NON elastic")</f>
        <v>NON elastic</v>
      </c>
      <c r="R107" s="19"/>
      <c r="S107" s="20" t="str">
        <f>IF('article 1-A'!S7&gt;1,"Elastic","NON elastic")</f>
        <v>NON elastic</v>
      </c>
      <c r="T107" s="20" t="str">
        <f>IF('article 1-A'!T7&gt;1,"Elastic","NON elastic")</f>
        <v>NON elastic</v>
      </c>
      <c r="U107" s="19"/>
      <c r="V107" s="20" t="str">
        <f>IF('article 1-A'!V7&gt;1,"Elastic","NON elastic")</f>
        <v>NON elastic</v>
      </c>
      <c r="W107" s="20" t="str">
        <f>IF('article 1-A'!W7&gt;1,"Elastic","NON elastic")</f>
        <v>NON elastic</v>
      </c>
      <c r="X107" s="20" t="str">
        <f>IF('article 1-A'!X7&gt;1,"Elastic","NON elastic")</f>
        <v>NON elastic</v>
      </c>
      <c r="Y107" s="20" t="str">
        <f>IF('article 1-A'!Y7&gt;1,"Elastic","NON elastic")</f>
        <v>NON elastic</v>
      </c>
      <c r="Z107" s="20" t="str">
        <f>IF('article 1-A'!Z7&gt;1,"Elastic","NON elastic")</f>
        <v>Elastic</v>
      </c>
    </row>
    <row r="108" ht="36" spans="2:26">
      <c r="B108" s="17" t="s">
        <v>470</v>
      </c>
      <c r="C108" s="8"/>
      <c r="D108" s="56" t="str">
        <f>IF('article 1-A'!D8&gt;1,"Elastic","NON elastic")</f>
        <v>NON elastic</v>
      </c>
      <c r="E108" s="19"/>
      <c r="F108" s="20" t="str">
        <f>IF('article 1-A'!F8&gt;1,"Elastic","NON elastic")</f>
        <v>NON elastic</v>
      </c>
      <c r="G108" s="20" t="str">
        <f>IF('article 1-A'!G8&gt;1,"Elastic","NON elastic")</f>
        <v>NON elastic</v>
      </c>
      <c r="H108" s="19"/>
      <c r="I108" s="20" t="str">
        <f>IF('article 1-A'!I8&gt;1,"Elastic","NON elastic")</f>
        <v>NON elastic</v>
      </c>
      <c r="J108" s="20" t="str">
        <f>IF('article 1-A'!J8&gt;1,"Elastic","NON elastic")</f>
        <v>NON elastic</v>
      </c>
      <c r="K108" s="20" t="str">
        <f>IF('article 1-A'!K8&gt;1,"Elastic","NON elastic")</f>
        <v>NON elastic</v>
      </c>
      <c r="L108" s="20" t="str">
        <f>IF('article 1-A'!L8&gt;1,"Elastic","NON elastic")</f>
        <v>NON elastic</v>
      </c>
      <c r="M108" s="20" t="str">
        <f>IF('article 1-A'!M8&gt;1,"Elastic","NON elastic")</f>
        <v>NON elastic</v>
      </c>
      <c r="N108" s="8"/>
      <c r="O108" s="17" t="s">
        <v>470</v>
      </c>
      <c r="P108" s="8"/>
      <c r="Q108" s="56" t="str">
        <f>IF('article 1-A'!Q8&gt;1,"Elastic","NON elastic")</f>
        <v>NON elastic</v>
      </c>
      <c r="R108" s="19"/>
      <c r="S108" s="20" t="str">
        <f>IF('article 1-A'!S8&gt;1,"Elastic","NON elastic")</f>
        <v>NON elastic</v>
      </c>
      <c r="T108" s="20" t="str">
        <f>IF('article 1-A'!T8&gt;1,"Elastic","NON elastic")</f>
        <v>NON elastic</v>
      </c>
      <c r="U108" s="19"/>
      <c r="V108" s="20" t="str">
        <f>IF('article 1-A'!V8&gt;1,"Elastic","NON elastic")</f>
        <v>NON elastic</v>
      </c>
      <c r="W108" s="20" t="str">
        <f>IF('article 1-A'!W8&gt;1,"Elastic","NON elastic")</f>
        <v>NON elastic</v>
      </c>
      <c r="X108" s="20" t="str">
        <f>IF('article 1-A'!X8&gt;1,"Elastic","NON elastic")</f>
        <v>NON elastic</v>
      </c>
      <c r="Y108" s="20" t="str">
        <f>IF('article 1-A'!Y8&gt;1,"Elastic","NON elastic")</f>
        <v>NON elastic</v>
      </c>
      <c r="Z108" s="20" t="str">
        <f>IF('article 1-A'!Z8&gt;1,"Elastic","NON elastic")</f>
        <v>NON elastic</v>
      </c>
    </row>
    <row r="109" ht="36" spans="2:26">
      <c r="B109" s="17" t="s">
        <v>471</v>
      </c>
      <c r="C109" s="8"/>
      <c r="D109" s="56" t="str">
        <f>IF('article 1-A'!D9&gt;1,"Elastic","NON elastic")</f>
        <v>Elastic</v>
      </c>
      <c r="E109" s="19"/>
      <c r="F109" s="20" t="str">
        <f>IF('article 1-A'!F9&gt;1,"Elastic","NON elastic")</f>
        <v>Elastic</v>
      </c>
      <c r="G109" s="20" t="str">
        <f>IF('article 1-A'!G9&gt;1,"Elastic","NON elastic")</f>
        <v>Elastic</v>
      </c>
      <c r="H109" s="19"/>
      <c r="I109" s="20" t="str">
        <f>IF('article 1-A'!I9&gt;1,"Elastic","NON elastic")</f>
        <v>Elastic</v>
      </c>
      <c r="J109" s="20" t="str">
        <f>IF('article 1-A'!J9&gt;1,"Elastic","NON elastic")</f>
        <v>Elastic</v>
      </c>
      <c r="K109" s="20" t="str">
        <f>IF('article 1-A'!K9&gt;1,"Elastic","NON elastic")</f>
        <v>Elastic</v>
      </c>
      <c r="L109" s="20" t="str">
        <f>IF('article 1-A'!L9&gt;1,"Elastic","NON elastic")</f>
        <v>Elastic</v>
      </c>
      <c r="M109" s="20" t="str">
        <f>IF('article 1-A'!M9&gt;1,"Elastic","NON elastic")</f>
        <v>NON elastic</v>
      </c>
      <c r="N109" s="8"/>
      <c r="O109" s="17" t="s">
        <v>471</v>
      </c>
      <c r="P109" s="8"/>
      <c r="Q109" s="56" t="str">
        <f>IF('article 1-A'!Q9&gt;1,"Elastic","NON elastic")</f>
        <v>NON elastic</v>
      </c>
      <c r="R109" s="19"/>
      <c r="S109" s="20" t="str">
        <f>IF('article 1-A'!S9&gt;1,"Elastic","NON elastic")</f>
        <v>NON elastic</v>
      </c>
      <c r="T109" s="20" t="str">
        <f>IF('article 1-A'!T9&gt;1,"Elastic","NON elastic")</f>
        <v>NON elastic</v>
      </c>
      <c r="U109" s="19"/>
      <c r="V109" s="20" t="str">
        <f>IF('article 1-A'!V9&gt;1,"Elastic","NON elastic")</f>
        <v>NON elastic</v>
      </c>
      <c r="W109" s="20" t="str">
        <f>IF('article 1-A'!W9&gt;1,"Elastic","NON elastic")</f>
        <v>NON elastic</v>
      </c>
      <c r="X109" s="20" t="str">
        <f>IF('article 1-A'!X9&gt;1,"Elastic","NON elastic")</f>
        <v>NON elastic</v>
      </c>
      <c r="Y109" s="20" t="str">
        <f>IF('article 1-A'!Y9&gt;1,"Elastic","NON elastic")</f>
        <v>NON elastic</v>
      </c>
      <c r="Z109" s="20" t="str">
        <f>IF('article 1-A'!Z9&gt;1,"Elastic","NON elastic")</f>
        <v>NON elastic</v>
      </c>
    </row>
    <row r="110" ht="36" spans="2:26">
      <c r="B110" s="17" t="s">
        <v>473</v>
      </c>
      <c r="C110" s="8"/>
      <c r="D110" s="56" t="str">
        <f>IF('article 1-A'!D10&gt;1,"Elastic","NON elastic")</f>
        <v>NON elastic</v>
      </c>
      <c r="E110" s="19"/>
      <c r="F110" s="20" t="str">
        <f>IF('article 1-A'!F10&gt;1,"Elastic","NON elastic")</f>
        <v>NON elastic</v>
      </c>
      <c r="G110" s="20" t="str">
        <f>IF('article 1-A'!G10&gt;1,"Elastic","NON elastic")</f>
        <v>NON elastic</v>
      </c>
      <c r="H110" s="19"/>
      <c r="I110" s="20" t="str">
        <f>IF('article 1-A'!I10&gt;1,"Elastic","NON elastic")</f>
        <v>Elastic</v>
      </c>
      <c r="J110" s="20" t="str">
        <f>IF('article 1-A'!J10&gt;1,"Elastic","NON elastic")</f>
        <v>NON elastic</v>
      </c>
      <c r="K110" s="20" t="str">
        <f>IF('article 1-A'!K10&gt;1,"Elastic","NON elastic")</f>
        <v>Elastic</v>
      </c>
      <c r="L110" s="20" t="str">
        <f>IF('article 1-A'!L10&gt;1,"Elastic","NON elastic")</f>
        <v>Elastic</v>
      </c>
      <c r="M110" s="20" t="str">
        <f>IF('article 1-A'!M10&gt;1,"Elastic","NON elastic")</f>
        <v>NON elastic</v>
      </c>
      <c r="N110" s="8"/>
      <c r="O110" s="17" t="s">
        <v>473</v>
      </c>
      <c r="P110" s="8"/>
      <c r="Q110" s="56" t="str">
        <f>IF('article 1-A'!Q10&gt;1,"Elastic","NON elastic")</f>
        <v>NON elastic</v>
      </c>
      <c r="R110" s="19"/>
      <c r="S110" s="20" t="str">
        <f>IF('article 1-A'!S10&gt;1,"Elastic","NON elastic")</f>
        <v>NON elastic</v>
      </c>
      <c r="T110" s="20" t="str">
        <f>IF('article 1-A'!T10&gt;1,"Elastic","NON elastic")</f>
        <v>NON elastic</v>
      </c>
      <c r="U110" s="19"/>
      <c r="V110" s="20" t="str">
        <f>IF('article 1-A'!V10&gt;1,"Elastic","NON elastic")</f>
        <v>NON elastic</v>
      </c>
      <c r="W110" s="20" t="str">
        <f>IF('article 1-A'!W10&gt;1,"Elastic","NON elastic")</f>
        <v>NON elastic</v>
      </c>
      <c r="X110" s="20" t="str">
        <f>IF('article 1-A'!X10&gt;1,"Elastic","NON elastic")</f>
        <v>NON elastic</v>
      </c>
      <c r="Y110" s="20" t="str">
        <f>IF('article 1-A'!Y10&gt;1,"Elastic","NON elastic")</f>
        <v>NON elastic</v>
      </c>
      <c r="Z110" s="20" t="str">
        <f>IF('article 1-A'!Z10&gt;1,"Elastic","NON elastic")</f>
        <v>NON elastic</v>
      </c>
    </row>
    <row r="111" ht="36" spans="2:26">
      <c r="B111" s="17" t="s">
        <v>474</v>
      </c>
      <c r="C111" s="8"/>
      <c r="D111" s="56" t="str">
        <f>IF('article 1-A'!D11&gt;1,"Elastic","NON elastic")</f>
        <v>Elastic</v>
      </c>
      <c r="E111" s="19"/>
      <c r="F111" s="20" t="str">
        <f>IF('article 1-A'!F11&gt;1,"Elastic","NON elastic")</f>
        <v>Elastic</v>
      </c>
      <c r="G111" s="20" t="str">
        <f>IF('article 1-A'!G11&gt;1,"Elastic","NON elastic")</f>
        <v>Elastic</v>
      </c>
      <c r="H111" s="19"/>
      <c r="I111" s="20" t="str">
        <f>IF('article 1-A'!I11&gt;1,"Elastic","NON elastic")</f>
        <v>Elastic</v>
      </c>
      <c r="J111" s="20" t="str">
        <f>IF('article 1-A'!J11&gt;1,"Elastic","NON elastic")</f>
        <v>Elastic</v>
      </c>
      <c r="K111" s="20" t="str">
        <f>IF('article 1-A'!K11&gt;1,"Elastic","NON elastic")</f>
        <v>Elastic</v>
      </c>
      <c r="L111" s="20" t="str">
        <f>IF('article 1-A'!L11&gt;1,"Elastic","NON elastic")</f>
        <v>Elastic</v>
      </c>
      <c r="M111" s="20" t="str">
        <f>IF('article 1-A'!M11&gt;1,"Elastic","NON elastic")</f>
        <v>Elastic</v>
      </c>
      <c r="N111" s="8"/>
      <c r="O111" s="17" t="s">
        <v>474</v>
      </c>
      <c r="P111" s="8"/>
      <c r="Q111" s="56" t="str">
        <f>IF('article 1-A'!Q11&gt;1,"Elastic","NON elastic")</f>
        <v>NON elastic</v>
      </c>
      <c r="R111" s="19"/>
      <c r="S111" s="20" t="str">
        <f>IF('article 1-A'!S11&gt;1,"Elastic","NON elastic")</f>
        <v>NON elastic</v>
      </c>
      <c r="T111" s="20" t="str">
        <f>IF('article 1-A'!T11&gt;1,"Elastic","NON elastic")</f>
        <v>NON elastic</v>
      </c>
      <c r="U111" s="19"/>
      <c r="V111" s="20" t="str">
        <f>IF('article 1-A'!V11&gt;1,"Elastic","NON elastic")</f>
        <v>NON elastic</v>
      </c>
      <c r="W111" s="20" t="str">
        <f>IF('article 1-A'!W11&gt;1,"Elastic","NON elastic")</f>
        <v>NON elastic</v>
      </c>
      <c r="X111" s="20" t="str">
        <f>IF('article 1-A'!X11&gt;1,"Elastic","NON elastic")</f>
        <v>NON elastic</v>
      </c>
      <c r="Y111" s="20" t="str">
        <f>IF('article 1-A'!Y11&gt;1,"Elastic","NON elastic")</f>
        <v>NON elastic</v>
      </c>
      <c r="Z111" s="20" t="str">
        <f>IF('article 1-A'!Z11&gt;1,"Elastic","NON elastic")</f>
        <v>NON elastic</v>
      </c>
    </row>
    <row r="112" ht="36" spans="2:26">
      <c r="B112" s="17" t="s">
        <v>475</v>
      </c>
      <c r="C112" s="8"/>
      <c r="D112" s="56" t="str">
        <f>IF('article 1-A'!D12&gt;1,"Elastic","NON elastic")</f>
        <v>Elastic</v>
      </c>
      <c r="E112" s="19"/>
      <c r="F112" s="20" t="str">
        <f>IF('article 1-A'!F12&gt;1,"Elastic","NON elastic")</f>
        <v>Elastic</v>
      </c>
      <c r="G112" s="20" t="str">
        <f>IF('article 1-A'!G12&gt;1,"Elastic","NON elastic")</f>
        <v>Elastic</v>
      </c>
      <c r="H112" s="19"/>
      <c r="I112" s="20" t="str">
        <f>IF('article 1-A'!I12&gt;1,"Elastic","NON elastic")</f>
        <v>Elastic</v>
      </c>
      <c r="J112" s="20" t="str">
        <f>IF('article 1-A'!J12&gt;1,"Elastic","NON elastic")</f>
        <v>Elastic</v>
      </c>
      <c r="K112" s="20" t="str">
        <f>IF('article 1-A'!K12&gt;1,"Elastic","NON elastic")</f>
        <v>Elastic</v>
      </c>
      <c r="L112" s="20" t="str">
        <f>IF('article 1-A'!L12&gt;1,"Elastic","NON elastic")</f>
        <v>Elastic</v>
      </c>
      <c r="M112" s="20" t="str">
        <f>IF('article 1-A'!M12&gt;1,"Elastic","NON elastic")</f>
        <v>Elastic</v>
      </c>
      <c r="N112" s="8"/>
      <c r="O112" s="17" t="s">
        <v>475</v>
      </c>
      <c r="P112" s="8"/>
      <c r="Q112" s="56" t="str">
        <f>IF('article 1-A'!Q12&gt;1,"Elastic","NON elastic")</f>
        <v>NON elastic</v>
      </c>
      <c r="R112" s="19"/>
      <c r="S112" s="20" t="str">
        <f>IF('article 1-A'!S12&gt;1,"Elastic","NON elastic")</f>
        <v>NON elastic</v>
      </c>
      <c r="T112" s="20" t="str">
        <f>IF('article 1-A'!T12&gt;1,"Elastic","NON elastic")</f>
        <v>NON elastic</v>
      </c>
      <c r="U112" s="19"/>
      <c r="V112" s="20" t="str">
        <f>IF('article 1-A'!V12&gt;1,"Elastic","NON elastic")</f>
        <v>NON elastic</v>
      </c>
      <c r="W112" s="20" t="str">
        <f>IF('article 1-A'!W12&gt;1,"Elastic","NON elastic")</f>
        <v>NON elastic</v>
      </c>
      <c r="X112" s="20" t="str">
        <f>IF('article 1-A'!X12&gt;1,"Elastic","NON elastic")</f>
        <v>NON elastic</v>
      </c>
      <c r="Y112" s="20" t="str">
        <f>IF('article 1-A'!Y12&gt;1,"Elastic","NON elastic")</f>
        <v>NON elastic</v>
      </c>
      <c r="Z112" s="20" t="str">
        <f>IF('article 1-A'!Z12&gt;1,"Elastic","NON elastic")</f>
        <v>NON elastic</v>
      </c>
    </row>
    <row r="113" ht="36" spans="2:26">
      <c r="B113" s="17" t="s">
        <v>477</v>
      </c>
      <c r="C113" s="8"/>
      <c r="D113" s="56" t="str">
        <f>IF('article 1-A'!D13&gt;1,"Elastic","NON elastic")</f>
        <v>Elastic</v>
      </c>
      <c r="E113" s="19"/>
      <c r="F113" s="20" t="str">
        <f>IF('article 1-A'!F13&gt;1,"Elastic","NON elastic")</f>
        <v>Elastic</v>
      </c>
      <c r="G113" s="20" t="str">
        <f>IF('article 1-A'!G13&gt;1,"Elastic","NON elastic")</f>
        <v>Elastic</v>
      </c>
      <c r="H113" s="19"/>
      <c r="I113" s="20" t="str">
        <f>IF('article 1-A'!I13&gt;1,"Elastic","NON elastic")</f>
        <v>NON elastic</v>
      </c>
      <c r="J113" s="20" t="str">
        <f>IF('article 1-A'!J13&gt;1,"Elastic","NON elastic")</f>
        <v>NON elastic</v>
      </c>
      <c r="K113" s="20" t="str">
        <f>IF('article 1-A'!K13&gt;1,"Elastic","NON elastic")</f>
        <v>NON elastic</v>
      </c>
      <c r="L113" s="20" t="str">
        <f>IF('article 1-A'!L13&gt;1,"Elastic","NON elastic")</f>
        <v>NON elastic</v>
      </c>
      <c r="M113" s="20" t="str">
        <f>IF('article 1-A'!M13&gt;1,"Elastic","NON elastic")</f>
        <v>Elastic</v>
      </c>
      <c r="N113" s="8"/>
      <c r="O113" s="17" t="s">
        <v>477</v>
      </c>
      <c r="P113" s="8"/>
      <c r="Q113" s="56" t="str">
        <f>IF('article 1-A'!Q13&gt;1,"Elastic","NON elastic")</f>
        <v>NON elastic</v>
      </c>
      <c r="R113" s="19"/>
      <c r="S113" s="20" t="str">
        <f>IF('article 1-A'!S13&gt;1,"Elastic","NON elastic")</f>
        <v>NON elastic</v>
      </c>
      <c r="T113" s="20" t="str">
        <f>IF('article 1-A'!T13&gt;1,"Elastic","NON elastic")</f>
        <v>NON elastic</v>
      </c>
      <c r="U113" s="19"/>
      <c r="V113" s="20" t="str">
        <f>IF('article 1-A'!V13&gt;1,"Elastic","NON elastic")</f>
        <v>NON elastic</v>
      </c>
      <c r="W113" s="20" t="str">
        <f>IF('article 1-A'!W13&gt;1,"Elastic","NON elastic")</f>
        <v>NON elastic</v>
      </c>
      <c r="X113" s="20" t="str">
        <f>IF('article 1-A'!X13&gt;1,"Elastic","NON elastic")</f>
        <v>NON elastic</v>
      </c>
      <c r="Y113" s="20" t="str">
        <f>IF('article 1-A'!Y13&gt;1,"Elastic","NON elastic")</f>
        <v>NON elastic</v>
      </c>
      <c r="Z113" s="20" t="str">
        <f>IF('article 1-A'!Z13&gt;1,"Elastic","NON elastic")</f>
        <v>NON elastic</v>
      </c>
    </row>
    <row r="114" ht="36" spans="2:26">
      <c r="B114" s="17" t="s">
        <v>479</v>
      </c>
      <c r="C114" s="8"/>
      <c r="D114" s="56" t="str">
        <f>IF('article 1-A'!D14&gt;1,"Elastic","NON elastic")</f>
        <v>NON elastic</v>
      </c>
      <c r="E114" s="19"/>
      <c r="F114" s="20" t="str">
        <f>IF('article 1-A'!F14&gt;1,"Elastic","NON elastic")</f>
        <v>NON elastic</v>
      </c>
      <c r="G114" s="20" t="str">
        <f>IF('article 1-A'!G14&gt;1,"Elastic","NON elastic")</f>
        <v>NON elastic</v>
      </c>
      <c r="H114" s="19"/>
      <c r="I114" s="20" t="str">
        <f>IF('article 1-A'!I14&gt;1,"Elastic","NON elastic")</f>
        <v>NON elastic</v>
      </c>
      <c r="J114" s="20" t="str">
        <f>IF('article 1-A'!J14&gt;1,"Elastic","NON elastic")</f>
        <v>NON elastic</v>
      </c>
      <c r="K114" s="20" t="str">
        <f>IF('article 1-A'!K14&gt;1,"Elastic","NON elastic")</f>
        <v>NON elastic</v>
      </c>
      <c r="L114" s="20" t="str">
        <f>IF('article 1-A'!L14&gt;1,"Elastic","NON elastic")</f>
        <v>NON elastic</v>
      </c>
      <c r="M114" s="20" t="str">
        <f>IF('article 1-A'!M14&gt;1,"Elastic","NON elastic")</f>
        <v>NON elastic</v>
      </c>
      <c r="N114" s="8"/>
      <c r="O114" s="17" t="s">
        <v>479</v>
      </c>
      <c r="P114" s="8"/>
      <c r="Q114" s="56" t="str">
        <f>IF('article 1-A'!Q14&gt;1,"Elastic","NON elastic")</f>
        <v>NON elastic</v>
      </c>
      <c r="R114" s="19"/>
      <c r="S114" s="20" t="str">
        <f>IF('article 1-A'!S14&gt;1,"Elastic","NON elastic")</f>
        <v>NON elastic</v>
      </c>
      <c r="T114" s="20" t="str">
        <f>IF('article 1-A'!T14&gt;1,"Elastic","NON elastic")</f>
        <v>NON elastic</v>
      </c>
      <c r="U114" s="19"/>
      <c r="V114" s="20" t="str">
        <f>IF('article 1-A'!V14&gt;1,"Elastic","NON elastic")</f>
        <v>NON elastic</v>
      </c>
      <c r="W114" s="20" t="str">
        <f>IF('article 1-A'!W14&gt;1,"Elastic","NON elastic")</f>
        <v>NON elastic</v>
      </c>
      <c r="X114" s="20" t="str">
        <f>IF('article 1-A'!X14&gt;1,"Elastic","NON elastic")</f>
        <v>NON elastic</v>
      </c>
      <c r="Y114" s="20" t="str">
        <f>IF('article 1-A'!Y14&gt;1,"Elastic","NON elastic")</f>
        <v>NON elastic</v>
      </c>
      <c r="Z114" s="20" t="str">
        <f>IF('article 1-A'!Z14&gt;1,"Elastic","NON elastic")</f>
        <v>NON elastic</v>
      </c>
    </row>
    <row r="115" ht="36" spans="2:26">
      <c r="B115" s="17" t="s">
        <v>481</v>
      </c>
      <c r="C115" s="8"/>
      <c r="D115" s="56" t="str">
        <f>IF('article 1-A'!D15&gt;1,"Elastic","NON elastic")</f>
        <v>Elastic</v>
      </c>
      <c r="E115" s="19"/>
      <c r="F115" s="20" t="str">
        <f>IF('article 1-A'!F15&gt;1,"Elastic","NON elastic")</f>
        <v>Elastic</v>
      </c>
      <c r="G115" s="20" t="str">
        <f>IF('article 1-A'!G15&gt;1,"Elastic","NON elastic")</f>
        <v>Elastic</v>
      </c>
      <c r="H115" s="19"/>
      <c r="I115" s="20" t="str">
        <f>IF('article 1-A'!I15&gt;1,"Elastic","NON elastic")</f>
        <v>Elastic</v>
      </c>
      <c r="J115" s="20" t="str">
        <f>IF('article 1-A'!J15&gt;1,"Elastic","NON elastic")</f>
        <v>Elastic</v>
      </c>
      <c r="K115" s="20" t="str">
        <f>IF('article 1-A'!K15&gt;1,"Elastic","NON elastic")</f>
        <v>Elastic</v>
      </c>
      <c r="L115" s="20" t="str">
        <f>IF('article 1-A'!L15&gt;1,"Elastic","NON elastic")</f>
        <v>NON elastic</v>
      </c>
      <c r="M115" s="20" t="str">
        <f>IF('article 1-A'!M15&gt;1,"Elastic","NON elastic")</f>
        <v>NON elastic</v>
      </c>
      <c r="N115" s="8"/>
      <c r="O115" s="17" t="s">
        <v>481</v>
      </c>
      <c r="P115" s="8"/>
      <c r="Q115" s="56" t="str">
        <f>IF('article 1-A'!Q15&gt;1,"Elastic","NON elastic")</f>
        <v>NON elastic</v>
      </c>
      <c r="R115" s="19"/>
      <c r="S115" s="20" t="str">
        <f>IF('article 1-A'!S15&gt;1,"Elastic","NON elastic")</f>
        <v>NON elastic</v>
      </c>
      <c r="T115" s="20" t="str">
        <f>IF('article 1-A'!T15&gt;1,"Elastic","NON elastic")</f>
        <v>NON elastic</v>
      </c>
      <c r="U115" s="19"/>
      <c r="V115" s="20" t="str">
        <f>IF('article 1-A'!V15&gt;1,"Elastic","NON elastic")</f>
        <v>NON elastic</v>
      </c>
      <c r="W115" s="20" t="str">
        <f>IF('article 1-A'!W15&gt;1,"Elastic","NON elastic")</f>
        <v>NON elastic</v>
      </c>
      <c r="X115" s="20" t="str">
        <f>IF('article 1-A'!X15&gt;1,"Elastic","NON elastic")</f>
        <v>NON elastic</v>
      </c>
      <c r="Y115" s="20" t="str">
        <f>IF('article 1-A'!Y15&gt;1,"Elastic","NON elastic")</f>
        <v>NON elastic</v>
      </c>
      <c r="Z115" s="20" t="str">
        <f>IF('article 1-A'!Z15&gt;1,"Elastic","NON elastic")</f>
        <v>NON elastic</v>
      </c>
    </row>
    <row r="116" ht="36" spans="2:26">
      <c r="B116" s="17" t="s">
        <v>482</v>
      </c>
      <c r="C116" s="8"/>
      <c r="D116" s="56" t="str">
        <f>IF('article 1-A'!D16&gt;1,"Elastic","NON elastic")</f>
        <v>Elastic</v>
      </c>
      <c r="E116" s="19"/>
      <c r="F116" s="20" t="str">
        <f>IF('article 1-A'!F16&gt;1,"Elastic","NON elastic")</f>
        <v>Elastic</v>
      </c>
      <c r="G116" s="20" t="str">
        <f>IF('article 1-A'!G16&gt;1,"Elastic","NON elastic")</f>
        <v>Elastic</v>
      </c>
      <c r="H116" s="19"/>
      <c r="I116" s="20" t="str">
        <f>IF('article 1-A'!I16&gt;1,"Elastic","NON elastic")</f>
        <v>Elastic</v>
      </c>
      <c r="J116" s="20" t="str">
        <f>IF('article 1-A'!J16&gt;1,"Elastic","NON elastic")</f>
        <v>Elastic</v>
      </c>
      <c r="K116" s="20" t="str">
        <f>IF('article 1-A'!K16&gt;1,"Elastic","NON elastic")</f>
        <v>Elastic</v>
      </c>
      <c r="L116" s="20" t="str">
        <f>IF('article 1-A'!L16&gt;1,"Elastic","NON elastic")</f>
        <v>Elastic</v>
      </c>
      <c r="M116" s="20" t="str">
        <f>IF('article 1-A'!M16&gt;1,"Elastic","NON elastic")</f>
        <v>Elastic</v>
      </c>
      <c r="N116" s="8"/>
      <c r="O116" s="17" t="s">
        <v>482</v>
      </c>
      <c r="P116" s="8"/>
      <c r="Q116" s="56" t="str">
        <f>IF('article 1-A'!Q16&gt;1,"Elastic","NON elastic")</f>
        <v>NON elastic</v>
      </c>
      <c r="R116" s="19"/>
      <c r="S116" s="20" t="str">
        <f>IF('article 1-A'!S16&gt;1,"Elastic","NON elastic")</f>
        <v>NON elastic</v>
      </c>
      <c r="T116" s="20" t="str">
        <f>IF('article 1-A'!T16&gt;1,"Elastic","NON elastic")</f>
        <v>NON elastic</v>
      </c>
      <c r="U116" s="19"/>
      <c r="V116" s="20" t="str">
        <f>IF('article 1-A'!V16&gt;1,"Elastic","NON elastic")</f>
        <v>NON elastic</v>
      </c>
      <c r="W116" s="20" t="str">
        <f>IF('article 1-A'!W16&gt;1,"Elastic","NON elastic")</f>
        <v>NON elastic</v>
      </c>
      <c r="X116" s="20" t="str">
        <f>IF('article 1-A'!X16&gt;1,"Elastic","NON elastic")</f>
        <v>NON elastic</v>
      </c>
      <c r="Y116" s="20" t="str">
        <f>IF('article 1-A'!Y16&gt;1,"Elastic","NON elastic")</f>
        <v>NON elastic</v>
      </c>
      <c r="Z116" s="20" t="str">
        <f>IF('article 1-A'!Z16&gt;1,"Elastic","NON elastic")</f>
        <v>NON elastic</v>
      </c>
    </row>
    <row r="117" ht="36" spans="2:26">
      <c r="B117" s="17" t="s">
        <v>484</v>
      </c>
      <c r="C117" s="8"/>
      <c r="D117" s="56" t="str">
        <f>IF('article 1-A'!D17&gt;1,"Elastic","NON elastic")</f>
        <v>Elastic</v>
      </c>
      <c r="E117" s="19"/>
      <c r="F117" s="20" t="str">
        <f>IF('article 1-A'!F17&gt;1,"Elastic","NON elastic")</f>
        <v>Elastic</v>
      </c>
      <c r="G117" s="20" t="str">
        <f>IF('article 1-A'!G17&gt;1,"Elastic","NON elastic")</f>
        <v>Elastic</v>
      </c>
      <c r="H117" s="19"/>
      <c r="I117" s="20" t="str">
        <f>IF('article 1-A'!I17&gt;1,"Elastic","NON elastic")</f>
        <v>NON elastic</v>
      </c>
      <c r="J117" s="20" t="str">
        <f>IF('article 1-A'!J17&gt;1,"Elastic","NON elastic")</f>
        <v>Elastic</v>
      </c>
      <c r="K117" s="20" t="str">
        <f>IF('article 1-A'!K17&gt;1,"Elastic","NON elastic")</f>
        <v>Elastic</v>
      </c>
      <c r="L117" s="20" t="str">
        <f>IF('article 1-A'!L17&gt;1,"Elastic","NON elastic")</f>
        <v>Elastic</v>
      </c>
      <c r="M117" s="20" t="str">
        <f>IF('article 1-A'!M17&gt;1,"Elastic","NON elastic")</f>
        <v>Elastic</v>
      </c>
      <c r="N117" s="8"/>
      <c r="O117" s="17" t="s">
        <v>484</v>
      </c>
      <c r="P117" s="8"/>
      <c r="Q117" s="56" t="str">
        <f>IF('article 1-A'!Q17&gt;1,"Elastic","NON elastic")</f>
        <v>NON elastic</v>
      </c>
      <c r="R117" s="19"/>
      <c r="S117" s="20" t="str">
        <f>IF('article 1-A'!S17&gt;1,"Elastic","NON elastic")</f>
        <v>NON elastic</v>
      </c>
      <c r="T117" s="20" t="str">
        <f>IF('article 1-A'!T17&gt;1,"Elastic","NON elastic")</f>
        <v>NON elastic</v>
      </c>
      <c r="U117" s="19"/>
      <c r="V117" s="20" t="str">
        <f>IF('article 1-A'!V17&gt;1,"Elastic","NON elastic")</f>
        <v>NON elastic</v>
      </c>
      <c r="W117" s="20" t="str">
        <f>IF('article 1-A'!W17&gt;1,"Elastic","NON elastic")</f>
        <v>NON elastic</v>
      </c>
      <c r="X117" s="20" t="str">
        <f>IF('article 1-A'!X17&gt;1,"Elastic","NON elastic")</f>
        <v>NON elastic</v>
      </c>
      <c r="Y117" s="20" t="str">
        <f>IF('article 1-A'!Y17&gt;1,"Elastic","NON elastic")</f>
        <v>NON elastic</v>
      </c>
      <c r="Z117" s="20" t="str">
        <f>IF('article 1-A'!Z17&gt;1,"Elastic","NON elastic")</f>
        <v>NON elastic</v>
      </c>
    </row>
    <row r="118" ht="36" spans="2:26">
      <c r="B118" s="17" t="s">
        <v>485</v>
      </c>
      <c r="C118" s="8"/>
      <c r="D118" s="56" t="str">
        <f>IF('article 1-A'!D18&gt;1,"Elastic","NON elastic")</f>
        <v>NON elastic</v>
      </c>
      <c r="E118" s="19"/>
      <c r="F118" s="20" t="str">
        <f>IF('article 1-A'!F18&gt;1,"Elastic","NON elastic")</f>
        <v>NON elastic</v>
      </c>
      <c r="G118" s="20" t="str">
        <f>IF('article 1-A'!G18&gt;1,"Elastic","NON elastic")</f>
        <v>NON elastic</v>
      </c>
      <c r="H118" s="19"/>
      <c r="I118" s="20" t="str">
        <f>IF('article 1-A'!I18&gt;1,"Elastic","NON elastic")</f>
        <v>Elastic</v>
      </c>
      <c r="J118" s="20" t="str">
        <f>IF('article 1-A'!J18&gt;1,"Elastic","NON elastic")</f>
        <v>Elastic</v>
      </c>
      <c r="K118" s="20" t="str">
        <f>IF('article 1-A'!K18&gt;1,"Elastic","NON elastic")</f>
        <v>Elastic</v>
      </c>
      <c r="L118" s="20" t="str">
        <f>IF('article 1-A'!L18&gt;1,"Elastic","NON elastic")</f>
        <v>Elastic</v>
      </c>
      <c r="M118" s="20" t="str">
        <f>IF('article 1-A'!M18&gt;1,"Elastic","NON elastic")</f>
        <v>NON elastic</v>
      </c>
      <c r="N118" s="8"/>
      <c r="O118" s="17" t="s">
        <v>485</v>
      </c>
      <c r="P118" s="8"/>
      <c r="Q118" s="56" t="str">
        <f>IF('article 1-A'!Q18&gt;1,"Elastic","NON elastic")</f>
        <v>NON elastic</v>
      </c>
      <c r="R118" s="19"/>
      <c r="S118" s="20" t="str">
        <f>IF('article 1-A'!S18&gt;1,"Elastic","NON elastic")</f>
        <v>NON elastic</v>
      </c>
      <c r="T118" s="20" t="str">
        <f>IF('article 1-A'!T18&gt;1,"Elastic","NON elastic")</f>
        <v>NON elastic</v>
      </c>
      <c r="U118" s="19"/>
      <c r="V118" s="20" t="str">
        <f>IF('article 1-A'!V18&gt;1,"Elastic","NON elastic")</f>
        <v>NON elastic</v>
      </c>
      <c r="W118" s="20" t="str">
        <f>IF('article 1-A'!W18&gt;1,"Elastic","NON elastic")</f>
        <v>NON elastic</v>
      </c>
      <c r="X118" s="20" t="str">
        <f>IF('article 1-A'!X18&gt;1,"Elastic","NON elastic")</f>
        <v>NON elastic</v>
      </c>
      <c r="Y118" s="20" t="str">
        <f>IF('article 1-A'!Y18&gt;1,"Elastic","NON elastic")</f>
        <v>NON elastic</v>
      </c>
      <c r="Z118" s="20" t="str">
        <f>IF('article 1-A'!Z18&gt;1,"Elastic","NON elastic")</f>
        <v>NON elastic</v>
      </c>
    </row>
    <row r="119" ht="36" spans="2:26">
      <c r="B119" s="17" t="s">
        <v>486</v>
      </c>
      <c r="C119" s="8"/>
      <c r="D119" s="56" t="str">
        <f>IF('article 1-A'!D19&gt;1,"Elastic","NON elastic")</f>
        <v>Elastic</v>
      </c>
      <c r="E119" s="19"/>
      <c r="F119" s="20" t="str">
        <f>IF('article 1-A'!F19&gt;1,"Elastic","NON elastic")</f>
        <v>Elastic</v>
      </c>
      <c r="G119" s="20" t="str">
        <f>IF('article 1-A'!G19&gt;1,"Elastic","NON elastic")</f>
        <v>Elastic</v>
      </c>
      <c r="H119" s="19"/>
      <c r="I119" s="20" t="str">
        <f>IF('article 1-A'!I19&gt;1,"Elastic","NON elastic")</f>
        <v>Elastic</v>
      </c>
      <c r="J119" s="20" t="str">
        <f>IF('article 1-A'!J19&gt;1,"Elastic","NON elastic")</f>
        <v>Elastic</v>
      </c>
      <c r="K119" s="20" t="str">
        <f>IF('article 1-A'!K19&gt;1,"Elastic","NON elastic")</f>
        <v>Elastic</v>
      </c>
      <c r="L119" s="20" t="str">
        <f>IF('article 1-A'!L19&gt;1,"Elastic","NON elastic")</f>
        <v>Elastic</v>
      </c>
      <c r="M119" s="20" t="str">
        <f>IF('article 1-A'!M19&gt;1,"Elastic","NON elastic")</f>
        <v>Elastic</v>
      </c>
      <c r="N119" s="8"/>
      <c r="O119" s="17" t="s">
        <v>486</v>
      </c>
      <c r="P119" s="8"/>
      <c r="Q119" s="56" t="str">
        <f>IF('article 1-A'!Q19&gt;1,"Elastic","NON elastic")</f>
        <v>NON elastic</v>
      </c>
      <c r="R119" s="19"/>
      <c r="S119" s="20" t="str">
        <f>IF('article 1-A'!S19&gt;1,"Elastic","NON elastic")</f>
        <v>NON elastic</v>
      </c>
      <c r="T119" s="20" t="str">
        <f>IF('article 1-A'!T19&gt;1,"Elastic","NON elastic")</f>
        <v>NON elastic</v>
      </c>
      <c r="U119" s="19"/>
      <c r="V119" s="20" t="str">
        <f>IF('article 1-A'!V19&gt;1,"Elastic","NON elastic")</f>
        <v>NON elastic</v>
      </c>
      <c r="W119" s="20" t="str">
        <f>IF('article 1-A'!W19&gt;1,"Elastic","NON elastic")</f>
        <v>NON elastic</v>
      </c>
      <c r="X119" s="20" t="str">
        <f>IF('article 1-A'!X19&gt;1,"Elastic","NON elastic")</f>
        <v>NON elastic</v>
      </c>
      <c r="Y119" s="20" t="str">
        <f>IF('article 1-A'!Y19&gt;1,"Elastic","NON elastic")</f>
        <v>NON elastic</v>
      </c>
      <c r="Z119" s="20" t="str">
        <f>IF('article 1-A'!Z19&gt;1,"Elastic","NON elastic")</f>
        <v>NON elastic</v>
      </c>
    </row>
    <row r="120" ht="36" spans="2:26">
      <c r="B120" s="17" t="s">
        <v>487</v>
      </c>
      <c r="C120" s="8"/>
      <c r="D120" s="56" t="str">
        <f>IF('article 1-A'!D20&gt;1,"Elastic","NON elastic")</f>
        <v>Elastic</v>
      </c>
      <c r="E120" s="19"/>
      <c r="F120" s="20" t="str">
        <f>IF('article 1-A'!F20&gt;1,"Elastic","NON elastic")</f>
        <v>Elastic</v>
      </c>
      <c r="G120" s="20" t="str">
        <f>IF('article 1-A'!G20&gt;1,"Elastic","NON elastic")</f>
        <v>Elastic</v>
      </c>
      <c r="H120" s="19"/>
      <c r="I120" s="20" t="str">
        <f>IF('article 1-A'!I20&gt;1,"Elastic","NON elastic")</f>
        <v>Elastic</v>
      </c>
      <c r="J120" s="20" t="str">
        <f>IF('article 1-A'!J20&gt;1,"Elastic","NON elastic")</f>
        <v>Elastic</v>
      </c>
      <c r="K120" s="20" t="str">
        <f>IF('article 1-A'!K20&gt;1,"Elastic","NON elastic")</f>
        <v>Elastic</v>
      </c>
      <c r="L120" s="20" t="str">
        <f>IF('article 1-A'!L20&gt;1,"Elastic","NON elastic")</f>
        <v>Elastic</v>
      </c>
      <c r="M120" s="20" t="str">
        <f>IF('article 1-A'!M20&gt;1,"Elastic","NON elastic")</f>
        <v>Elastic</v>
      </c>
      <c r="N120" s="8"/>
      <c r="O120" s="17" t="s">
        <v>487</v>
      </c>
      <c r="P120" s="8"/>
      <c r="Q120" s="56" t="str">
        <f>IF('article 1-A'!Q20&gt;1,"Elastic","NON elastic")</f>
        <v>NON elastic</v>
      </c>
      <c r="R120" s="19"/>
      <c r="S120" s="20" t="str">
        <f>IF('article 1-A'!S20&gt;1,"Elastic","NON elastic")</f>
        <v>NON elastic</v>
      </c>
      <c r="T120" s="20" t="str">
        <f>IF('article 1-A'!T20&gt;1,"Elastic","NON elastic")</f>
        <v>NON elastic</v>
      </c>
      <c r="U120" s="19"/>
      <c r="V120" s="20" t="str">
        <f>IF('article 1-A'!V20&gt;1,"Elastic","NON elastic")</f>
        <v>NON elastic</v>
      </c>
      <c r="W120" s="20" t="str">
        <f>IF('article 1-A'!W20&gt;1,"Elastic","NON elastic")</f>
        <v>NON elastic</v>
      </c>
      <c r="X120" s="20" t="str">
        <f>IF('article 1-A'!X20&gt;1,"Elastic","NON elastic")</f>
        <v>NON elastic</v>
      </c>
      <c r="Y120" s="20" t="str">
        <f>IF('article 1-A'!Y20&gt;1,"Elastic","NON elastic")</f>
        <v>NON elastic</v>
      </c>
      <c r="Z120" s="20" t="str">
        <f>IF('article 1-A'!Z20&gt;1,"Elastic","NON elastic")</f>
        <v>NON elastic</v>
      </c>
    </row>
    <row r="121" ht="36" spans="2:26">
      <c r="B121" s="17" t="s">
        <v>488</v>
      </c>
      <c r="C121" s="8"/>
      <c r="D121" s="56" t="str">
        <f>IF('article 1-A'!D21&gt;1,"Elastic","NON elastic")</f>
        <v>NON elastic</v>
      </c>
      <c r="E121" s="19"/>
      <c r="F121" s="20" t="str">
        <f>IF('article 1-A'!F21&gt;1,"Elastic","NON elastic")</f>
        <v>NON elastic</v>
      </c>
      <c r="G121" s="20" t="str">
        <f>IF('article 1-A'!G21&gt;1,"Elastic","NON elastic")</f>
        <v>NON elastic</v>
      </c>
      <c r="H121" s="19"/>
      <c r="I121" s="20" t="str">
        <f>IF('article 1-A'!I21&gt;1,"Elastic","NON elastic")</f>
        <v>NON elastic</v>
      </c>
      <c r="J121" s="20" t="str">
        <f>IF('article 1-A'!J21&gt;1,"Elastic","NON elastic")</f>
        <v>NON elastic</v>
      </c>
      <c r="K121" s="20" t="str">
        <f>IF('article 1-A'!K21&gt;1,"Elastic","NON elastic")</f>
        <v>Elastic</v>
      </c>
      <c r="L121" s="20" t="str">
        <f>IF('article 1-A'!L21&gt;1,"Elastic","NON elastic")</f>
        <v>NON elastic</v>
      </c>
      <c r="M121" s="20" t="str">
        <f>IF('article 1-A'!M21&gt;1,"Elastic","NON elastic")</f>
        <v>Elastic</v>
      </c>
      <c r="N121" s="8"/>
      <c r="O121" s="17" t="s">
        <v>488</v>
      </c>
      <c r="P121" s="8"/>
      <c r="Q121" s="56" t="str">
        <f>IF('article 1-A'!Q21&gt;1,"Elastic","NON elastic")</f>
        <v>NON elastic</v>
      </c>
      <c r="R121" s="19"/>
      <c r="S121" s="20" t="str">
        <f>IF('article 1-A'!S21&gt;1,"Elastic","NON elastic")</f>
        <v>NON elastic</v>
      </c>
      <c r="T121" s="20" t="str">
        <f>IF('article 1-A'!T21&gt;1,"Elastic","NON elastic")</f>
        <v>NON elastic</v>
      </c>
      <c r="U121" s="19"/>
      <c r="V121" s="20" t="str">
        <f>IF('article 1-A'!V21&gt;1,"Elastic","NON elastic")</f>
        <v>NON elastic</v>
      </c>
      <c r="W121" s="20" t="str">
        <f>IF('article 1-A'!W21&gt;1,"Elastic","NON elastic")</f>
        <v>NON elastic</v>
      </c>
      <c r="X121" s="20" t="str">
        <f>IF('article 1-A'!X21&gt;1,"Elastic","NON elastic")</f>
        <v>NON elastic</v>
      </c>
      <c r="Y121" s="20" t="str">
        <f>IF('article 1-A'!Y21&gt;1,"Elastic","NON elastic")</f>
        <v>NON elastic</v>
      </c>
      <c r="Z121" s="20" t="str">
        <f>IF('article 1-A'!Z21&gt;1,"Elastic","NON elastic")</f>
        <v>NON elastic</v>
      </c>
    </row>
    <row r="122" ht="36" spans="2:26">
      <c r="B122" s="17" t="s">
        <v>490</v>
      </c>
      <c r="C122" s="8"/>
      <c r="D122" s="56" t="str">
        <f>IF('article 1-A'!D22&gt;1,"Elastic","NON elastic")</f>
        <v>Elastic</v>
      </c>
      <c r="E122" s="19"/>
      <c r="F122" s="20" t="str">
        <f>IF('article 1-A'!F22&gt;1,"Elastic","NON elastic")</f>
        <v>Elastic</v>
      </c>
      <c r="G122" s="20" t="str">
        <f>IF('article 1-A'!G22&gt;1,"Elastic","NON elastic")</f>
        <v>Elastic</v>
      </c>
      <c r="H122" s="19"/>
      <c r="I122" s="20" t="str">
        <f>IF('article 1-A'!I22&gt;1,"Elastic","NON elastic")</f>
        <v>NON elastic</v>
      </c>
      <c r="J122" s="20" t="str">
        <f>IF('article 1-A'!J22&gt;1,"Elastic","NON elastic")</f>
        <v>Elastic</v>
      </c>
      <c r="K122" s="20" t="str">
        <f>IF('article 1-A'!K22&gt;1,"Elastic","NON elastic")</f>
        <v>Elastic</v>
      </c>
      <c r="L122" s="20" t="str">
        <f>IF('article 1-A'!L22&gt;1,"Elastic","NON elastic")</f>
        <v>Elastic</v>
      </c>
      <c r="M122" s="20" t="str">
        <f>IF('article 1-A'!M22&gt;1,"Elastic","NON elastic")</f>
        <v>Elastic</v>
      </c>
      <c r="N122" s="8"/>
      <c r="O122" s="17" t="s">
        <v>490</v>
      </c>
      <c r="P122" s="8"/>
      <c r="Q122" s="56" t="str">
        <f>IF('article 1-A'!Q22&gt;1,"Elastic","NON elastic")</f>
        <v>NON elastic</v>
      </c>
      <c r="R122" s="19"/>
      <c r="S122" s="20" t="str">
        <f>IF('article 1-A'!S22&gt;1,"Elastic","NON elastic")</f>
        <v>NON elastic</v>
      </c>
      <c r="T122" s="20" t="str">
        <f>IF('article 1-A'!T22&gt;1,"Elastic","NON elastic")</f>
        <v>NON elastic</v>
      </c>
      <c r="U122" s="19"/>
      <c r="V122" s="20" t="str">
        <f>IF('article 1-A'!V22&gt;1,"Elastic","NON elastic")</f>
        <v>NON elastic</v>
      </c>
      <c r="W122" s="20" t="str">
        <f>IF('article 1-A'!W22&gt;1,"Elastic","NON elastic")</f>
        <v>NON elastic</v>
      </c>
      <c r="X122" s="20" t="str">
        <f>IF('article 1-A'!X22&gt;1,"Elastic","NON elastic")</f>
        <v>NON elastic</v>
      </c>
      <c r="Y122" s="20" t="str">
        <f>IF('article 1-A'!Y22&gt;1,"Elastic","NON elastic")</f>
        <v>NON elastic</v>
      </c>
      <c r="Z122" s="20" t="str">
        <f>IF('article 1-A'!Z22&gt;1,"Elastic","NON elastic")</f>
        <v>NON elastic</v>
      </c>
    </row>
    <row r="123" ht="36" spans="2:26">
      <c r="B123" s="21" t="s">
        <v>492</v>
      </c>
      <c r="C123" s="8"/>
      <c r="D123" s="56" t="str">
        <f>IF('article 1-A'!D23&gt;1,"Elastic","NON elastic")</f>
        <v>Elastic</v>
      </c>
      <c r="E123" s="19"/>
      <c r="F123" s="20" t="str">
        <f>IF('article 1-A'!F23&gt;1,"Elastic","NON elastic")</f>
        <v>Elastic</v>
      </c>
      <c r="G123" s="20" t="str">
        <f>IF('article 1-A'!G23&gt;1,"Elastic","NON elastic")</f>
        <v>Elastic</v>
      </c>
      <c r="H123" s="19"/>
      <c r="I123" s="20" t="str">
        <f>IF('article 1-A'!I23&gt;1,"Elastic","NON elastic")</f>
        <v>Elastic</v>
      </c>
      <c r="J123" s="20" t="str">
        <f>IF('article 1-A'!J23&gt;1,"Elastic","NON elastic")</f>
        <v>Elastic</v>
      </c>
      <c r="K123" s="20" t="str">
        <f>IF('article 1-A'!K23&gt;1,"Elastic","NON elastic")</f>
        <v>Elastic</v>
      </c>
      <c r="L123" s="20" t="str">
        <f>IF('article 1-A'!L23&gt;1,"Elastic","NON elastic")</f>
        <v>Elastic</v>
      </c>
      <c r="M123" s="20" t="str">
        <f>IF('article 1-A'!M23&gt;1,"Elastic","NON elastic")</f>
        <v>Elastic</v>
      </c>
      <c r="N123" s="8"/>
      <c r="O123" s="21" t="s">
        <v>492</v>
      </c>
      <c r="P123" s="8"/>
      <c r="Q123" s="56" t="str">
        <f>IF('article 1-A'!Q23&gt;1,"Elastic","NON elastic")</f>
        <v>NON elastic</v>
      </c>
      <c r="R123" s="19"/>
      <c r="S123" s="20" t="str">
        <f>IF('article 1-A'!S23&gt;1,"Elastic","NON elastic")</f>
        <v>NON elastic</v>
      </c>
      <c r="T123" s="20" t="str">
        <f>IF('article 1-A'!T23&gt;1,"Elastic","NON elastic")</f>
        <v>NON elastic</v>
      </c>
      <c r="U123" s="19"/>
      <c r="V123" s="20" t="str">
        <f>IF('article 1-A'!V23&gt;1,"Elastic","NON elastic")</f>
        <v>NON elastic</v>
      </c>
      <c r="W123" s="20" t="str">
        <f>IF('article 1-A'!W23&gt;1,"Elastic","NON elastic")</f>
        <v>NON elastic</v>
      </c>
      <c r="X123" s="20" t="str">
        <f>IF('article 1-A'!X23&gt;1,"Elastic","NON elastic")</f>
        <v>NON elastic</v>
      </c>
      <c r="Y123" s="20" t="str">
        <f>IF('article 1-A'!Y23&gt;1,"Elastic","NON elastic")</f>
        <v>NON elastic</v>
      </c>
      <c r="Z123" s="20" t="str">
        <f>IF('article 1-A'!Z23&gt;1,"Elastic","NON elastic")</f>
        <v>NON elastic</v>
      </c>
    </row>
    <row r="124" ht="36" spans="2:26">
      <c r="B124" s="17" t="s">
        <v>493</v>
      </c>
      <c r="C124" s="8"/>
      <c r="D124" s="56" t="str">
        <f>IF('article 1-A'!D24&gt;1,"Elastic","NON elastic")</f>
        <v>Elastic</v>
      </c>
      <c r="E124" s="19"/>
      <c r="F124" s="20" t="str">
        <f>IF('article 1-A'!F24&gt;1,"Elastic","NON elastic")</f>
        <v>Elastic</v>
      </c>
      <c r="G124" s="20" t="str">
        <f>IF('article 1-A'!G24&gt;1,"Elastic","NON elastic")</f>
        <v>Elastic</v>
      </c>
      <c r="H124" s="19"/>
      <c r="I124" s="20" t="str">
        <f>IF('article 1-A'!I24&gt;1,"Elastic","NON elastic")</f>
        <v>Elastic</v>
      </c>
      <c r="J124" s="20" t="str">
        <f>IF('article 1-A'!J24&gt;1,"Elastic","NON elastic")</f>
        <v>Elastic</v>
      </c>
      <c r="K124" s="20" t="str">
        <f>IF('article 1-A'!K24&gt;1,"Elastic","NON elastic")</f>
        <v>Elastic</v>
      </c>
      <c r="L124" s="20" t="str">
        <f>IF('article 1-A'!L24&gt;1,"Elastic","NON elastic")</f>
        <v>Elastic</v>
      </c>
      <c r="M124" s="20" t="str">
        <f>IF('article 1-A'!M24&gt;1,"Elastic","NON elastic")</f>
        <v>Elastic</v>
      </c>
      <c r="N124" s="8"/>
      <c r="O124" s="17" t="s">
        <v>493</v>
      </c>
      <c r="P124" s="8"/>
      <c r="Q124" s="56" t="str">
        <f>IF('article 1-A'!Q24&gt;1,"Elastic","NON elastic")</f>
        <v>NON elastic</v>
      </c>
      <c r="R124" s="19"/>
      <c r="S124" s="20" t="str">
        <f>IF('article 1-A'!S24&gt;1,"Elastic","NON elastic")</f>
        <v>NON elastic</v>
      </c>
      <c r="T124" s="20" t="str">
        <f>IF('article 1-A'!T24&gt;1,"Elastic","NON elastic")</f>
        <v>NON elastic</v>
      </c>
      <c r="U124" s="19"/>
      <c r="V124" s="20" t="str">
        <f>IF('article 1-A'!V24&gt;1,"Elastic","NON elastic")</f>
        <v>NON elastic</v>
      </c>
      <c r="W124" s="20" t="str">
        <f>IF('article 1-A'!W24&gt;1,"Elastic","NON elastic")</f>
        <v>NON elastic</v>
      </c>
      <c r="X124" s="20" t="str">
        <f>IF('article 1-A'!X24&gt;1,"Elastic","NON elastic")</f>
        <v>NON elastic</v>
      </c>
      <c r="Y124" s="20" t="str">
        <f>IF('article 1-A'!Y24&gt;1,"Elastic","NON elastic")</f>
        <v>NON elastic</v>
      </c>
      <c r="Z124" s="20" t="str">
        <f>IF('article 1-A'!Z24&gt;1,"Elastic","NON elastic")</f>
        <v>NON elastic</v>
      </c>
    </row>
    <row r="125" ht="16.35" spans="2:26">
      <c r="B125" s="22"/>
      <c r="C125" s="22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16"/>
      <c r="O125" s="22"/>
      <c r="P125" s="22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</sheetData>
  <sortState ref="O55:Z74">
    <sortCondition ref="Q55:Q74" descending="1"/>
  </sortState>
  <mergeCells count="40">
    <mergeCell ref="F2:G2"/>
    <mergeCell ref="I2:M2"/>
    <mergeCell ref="S2:T2"/>
    <mergeCell ref="V2:Z2"/>
    <mergeCell ref="F27:G27"/>
    <mergeCell ref="I27:M27"/>
    <mergeCell ref="S27:T27"/>
    <mergeCell ref="V27:Z27"/>
    <mergeCell ref="F52:G52"/>
    <mergeCell ref="I52:M52"/>
    <mergeCell ref="S52:T52"/>
    <mergeCell ref="V52:Z52"/>
    <mergeCell ref="F77:G77"/>
    <mergeCell ref="I77:M77"/>
    <mergeCell ref="S77:T77"/>
    <mergeCell ref="V77:Z77"/>
    <mergeCell ref="F102:G102"/>
    <mergeCell ref="I102:M102"/>
    <mergeCell ref="S102:T102"/>
    <mergeCell ref="V102:Z102"/>
    <mergeCell ref="B2:B3"/>
    <mergeCell ref="B27:B28"/>
    <mergeCell ref="B52:B53"/>
    <mergeCell ref="B77:B78"/>
    <mergeCell ref="B102:B103"/>
    <mergeCell ref="D2:D3"/>
    <mergeCell ref="D27:D28"/>
    <mergeCell ref="D52:D53"/>
    <mergeCell ref="D77:D78"/>
    <mergeCell ref="D102:D103"/>
    <mergeCell ref="O2:O3"/>
    <mergeCell ref="O27:O28"/>
    <mergeCell ref="O52:O53"/>
    <mergeCell ref="O77:O78"/>
    <mergeCell ref="O102:O103"/>
    <mergeCell ref="Q2:Q3"/>
    <mergeCell ref="Q27:Q28"/>
    <mergeCell ref="Q52:Q53"/>
    <mergeCell ref="Q77:Q78"/>
    <mergeCell ref="Q102:Q10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20pdts2007</vt:lpstr>
      <vt:lpstr>20pdts2014</vt:lpstr>
      <vt:lpstr>60pdts2007</vt:lpstr>
      <vt:lpstr>60pdts2014</vt:lpstr>
      <vt:lpstr>TOTAL-20-pdts</vt:lpstr>
      <vt:lpstr>TOTAL-60-pdts</vt:lpstr>
      <vt:lpstr>Cmoyen</vt:lpstr>
      <vt:lpstr>Synthèse-20</vt:lpstr>
      <vt:lpstr>Synthèse-60</vt:lpstr>
      <vt:lpstr>Result-Corresp_20-60</vt:lpstr>
      <vt:lpstr>Res global</vt:lpstr>
      <vt:lpstr>Nomenclature 60</vt:lpstr>
      <vt:lpstr>FINAL</vt:lpstr>
      <vt:lpstr>article 1-A</vt:lpstr>
      <vt:lpstr>ANNEXE 1-A</vt:lpstr>
      <vt:lpstr>Analyse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MOUADE</cp:lastModifiedBy>
  <dcterms:created xsi:type="dcterms:W3CDTF">2022-06-05T13:16:00Z</dcterms:created>
  <dcterms:modified xsi:type="dcterms:W3CDTF">2026-04-21T16:59:16Z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5AEF47EF47D540BB97BB5ED5A4AE90CA_12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